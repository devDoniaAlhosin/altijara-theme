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752C6DEB-BC36-4613-BC70-7CB386BC4DDB}" xr6:coauthVersionLast="47" xr6:coauthVersionMax="47" xr10:uidLastSave="{00000000-0000-0000-0000-000000000000}"/>
  <bookViews>
    <workbookView xWindow="12" yWindow="12" windowWidth="23016" windowHeight="12216" xr2:uid="{00000000-000D-0000-FFFF-FFFF00000000}"/>
  </bookViews>
  <sheets>
    <sheet name="Executive Dashboard" sheetId="1" r:id="rId1"/>
    <sheet name="Master Tracker" sheetId="2" r:id="rId2"/>
    <sheet name="P1 Theme Foundation" sheetId="3" r:id="rId3"/>
    <sheet name="P2 Homepage &amp; Sections" sheetId="4" r:id="rId4"/>
    <sheet name="P3 Editorial Templates" sheetId="5" r:id="rId5"/>
    <sheet name="P4 Issues Archive" sheetId="6" r:id="rId6"/>
    <sheet name="P5 Auth Subs AdOps" sheetId="7" r:id="rId7"/>
    <sheet name="P6 Cleanup &amp; Cutover" sheetId="8" r:id="rId8"/>
    <sheet name="QA &amp; Testing" sheetId="9" r:id="rId9"/>
    <sheet name="Deployment &amp; Rollback" sheetId="10" r:id="rId10"/>
    <sheet name="Risks &amp; Blockers" sheetId="11" r:id="rId11"/>
    <sheet name="Requirement Map" sheetId="12" r:id="rId12"/>
    <sheet name="Lists" sheetId="13" state="hidden" r:id="rId13"/>
  </sheets>
  <definedNames>
    <definedName name="Deadline">'Executive Dashboard'!$N$7</definedName>
    <definedName name="ProjectStart">Lists!$M$2</definedName>
    <definedName name="StatusDate">'Executive Dashboard'!$H$7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2" i="12" l="1"/>
  <c r="E72" i="12"/>
  <c r="F71" i="12"/>
  <c r="E71" i="12"/>
  <c r="G71" i="12" s="1"/>
  <c r="F70" i="12"/>
  <c r="G70" i="12" s="1"/>
  <c r="E70" i="12"/>
  <c r="F69" i="12"/>
  <c r="E69" i="12"/>
  <c r="G69" i="12" s="1"/>
  <c r="F68" i="12"/>
  <c r="E68" i="12"/>
  <c r="F67" i="12"/>
  <c r="E67" i="12"/>
  <c r="F66" i="12"/>
  <c r="E66" i="12"/>
  <c r="F65" i="12"/>
  <c r="E65" i="12"/>
  <c r="G65" i="12" s="1"/>
  <c r="F64" i="12"/>
  <c r="E64" i="12"/>
  <c r="F63" i="12"/>
  <c r="E63" i="12"/>
  <c r="F62" i="12"/>
  <c r="E62" i="12"/>
  <c r="F61" i="12"/>
  <c r="E61" i="12"/>
  <c r="F60" i="12"/>
  <c r="E60" i="12"/>
  <c r="F59" i="12"/>
  <c r="E59" i="12"/>
  <c r="G59" i="12" s="1"/>
  <c r="F58" i="12"/>
  <c r="G58" i="12" s="1"/>
  <c r="E58" i="12"/>
  <c r="F57" i="12"/>
  <c r="E57" i="12"/>
  <c r="G57" i="12" s="1"/>
  <c r="F56" i="12"/>
  <c r="E56" i="12"/>
  <c r="G56" i="12" s="1"/>
  <c r="F55" i="12"/>
  <c r="E55" i="12"/>
  <c r="F54" i="12"/>
  <c r="E54" i="12"/>
  <c r="F53" i="12"/>
  <c r="E53" i="12"/>
  <c r="F52" i="12"/>
  <c r="E52" i="12"/>
  <c r="F51" i="12"/>
  <c r="E51" i="12"/>
  <c r="F50" i="12"/>
  <c r="E50" i="12"/>
  <c r="G50" i="12" s="1"/>
  <c r="F49" i="12"/>
  <c r="E49" i="12"/>
  <c r="F48" i="12"/>
  <c r="E48" i="12"/>
  <c r="F47" i="12"/>
  <c r="E47" i="12"/>
  <c r="F46" i="12"/>
  <c r="E46" i="12"/>
  <c r="G46" i="12" s="1"/>
  <c r="F45" i="12"/>
  <c r="E45" i="12"/>
  <c r="G45" i="12" s="1"/>
  <c r="F44" i="12"/>
  <c r="E44" i="12"/>
  <c r="F43" i="12"/>
  <c r="E43" i="12"/>
  <c r="F42" i="12"/>
  <c r="G42" i="12" s="1"/>
  <c r="E42" i="12"/>
  <c r="F41" i="12"/>
  <c r="E41" i="12"/>
  <c r="F40" i="12"/>
  <c r="E40" i="12"/>
  <c r="F39" i="12"/>
  <c r="E39" i="12"/>
  <c r="G39" i="12" s="1"/>
  <c r="F38" i="12"/>
  <c r="E38" i="12"/>
  <c r="G38" i="12" s="1"/>
  <c r="F37" i="12"/>
  <c r="E37" i="12"/>
  <c r="F36" i="12"/>
  <c r="E36" i="12"/>
  <c r="F35" i="12"/>
  <c r="E35" i="12"/>
  <c r="F34" i="12"/>
  <c r="E34" i="12"/>
  <c r="G34" i="12" s="1"/>
  <c r="F33" i="12"/>
  <c r="E33" i="12"/>
  <c r="G33" i="12" s="1"/>
  <c r="F32" i="12"/>
  <c r="E32" i="12"/>
  <c r="G32" i="12" s="1"/>
  <c r="F31" i="12"/>
  <c r="E31" i="12"/>
  <c r="F30" i="12"/>
  <c r="E30" i="12"/>
  <c r="F29" i="12"/>
  <c r="E29" i="12"/>
  <c r="F28" i="12"/>
  <c r="E28" i="12"/>
  <c r="F27" i="12"/>
  <c r="E27" i="12"/>
  <c r="F26" i="12"/>
  <c r="G26" i="12" s="1"/>
  <c r="E26" i="12"/>
  <c r="F25" i="12"/>
  <c r="E25" i="12"/>
  <c r="F24" i="12"/>
  <c r="E24" i="12"/>
  <c r="F23" i="12"/>
  <c r="E23" i="12"/>
  <c r="F22" i="12"/>
  <c r="E22" i="12"/>
  <c r="F21" i="12"/>
  <c r="E21" i="12"/>
  <c r="G21" i="12" s="1"/>
  <c r="F20" i="12"/>
  <c r="E20" i="12"/>
  <c r="F19" i="12"/>
  <c r="E19" i="12"/>
  <c r="F18" i="12"/>
  <c r="E18" i="12"/>
  <c r="F17" i="12"/>
  <c r="E17" i="12"/>
  <c r="F16" i="12"/>
  <c r="E16" i="12"/>
  <c r="G16" i="12" s="1"/>
  <c r="F15" i="12"/>
  <c r="E15" i="12"/>
  <c r="G15" i="12" s="1"/>
  <c r="F14" i="12"/>
  <c r="E14" i="12"/>
  <c r="F13" i="12"/>
  <c r="E13" i="12"/>
  <c r="F12" i="12"/>
  <c r="E12" i="12"/>
  <c r="F11" i="12"/>
  <c r="E11" i="12"/>
  <c r="F10" i="12"/>
  <c r="G10" i="12" s="1"/>
  <c r="E10" i="12"/>
  <c r="F9" i="12"/>
  <c r="E9" i="12"/>
  <c r="G9" i="12" s="1"/>
  <c r="F8" i="12"/>
  <c r="E8" i="12"/>
  <c r="F7" i="12"/>
  <c r="E7" i="12"/>
  <c r="F6" i="12"/>
  <c r="E6" i="12"/>
  <c r="C3" i="11"/>
  <c r="D3" i="10"/>
  <c r="G27" i="9"/>
  <c r="F27" i="9"/>
  <c r="E27" i="9"/>
  <c r="D27" i="9"/>
  <c r="C27" i="9"/>
  <c r="H27" i="9" s="1"/>
  <c r="H26" i="9"/>
  <c r="G26" i="9"/>
  <c r="F26" i="9"/>
  <c r="E26" i="9"/>
  <c r="D26" i="9"/>
  <c r="C26" i="9"/>
  <c r="G25" i="9"/>
  <c r="F25" i="9"/>
  <c r="E25" i="9"/>
  <c r="D25" i="9"/>
  <c r="C25" i="9"/>
  <c r="H25" i="9" s="1"/>
  <c r="H24" i="9"/>
  <c r="G24" i="9"/>
  <c r="F24" i="9"/>
  <c r="E24" i="9"/>
  <c r="D24" i="9"/>
  <c r="C24" i="9"/>
  <c r="G23" i="9"/>
  <c r="F23" i="9"/>
  <c r="E23" i="9"/>
  <c r="D23" i="9"/>
  <c r="C23" i="9"/>
  <c r="H23" i="9" s="1"/>
  <c r="G22" i="9"/>
  <c r="F22" i="9"/>
  <c r="E22" i="9"/>
  <c r="D22" i="9"/>
  <c r="C22" i="9"/>
  <c r="H22" i="9" s="1"/>
  <c r="G21" i="9"/>
  <c r="F21" i="9"/>
  <c r="E21" i="9"/>
  <c r="D21" i="9"/>
  <c r="C21" i="9"/>
  <c r="H21" i="9" s="1"/>
  <c r="G20" i="9"/>
  <c r="F20" i="9"/>
  <c r="E20" i="9"/>
  <c r="D20" i="9"/>
  <c r="C20" i="9"/>
  <c r="H20" i="9" s="1"/>
  <c r="G19" i="9"/>
  <c r="F19" i="9"/>
  <c r="E19" i="9"/>
  <c r="D19" i="9"/>
  <c r="C19" i="9"/>
  <c r="H19" i="9" s="1"/>
  <c r="G18" i="9"/>
  <c r="F18" i="9"/>
  <c r="E18" i="9"/>
  <c r="D18" i="9"/>
  <c r="C18" i="9"/>
  <c r="H18" i="9" s="1"/>
  <c r="G17" i="9"/>
  <c r="F17" i="9"/>
  <c r="E17" i="9"/>
  <c r="D17" i="9"/>
  <c r="C17" i="9"/>
  <c r="H17" i="9" s="1"/>
  <c r="G16" i="9"/>
  <c r="F16" i="9"/>
  <c r="E16" i="9"/>
  <c r="D16" i="9"/>
  <c r="C16" i="9"/>
  <c r="H16" i="9" s="1"/>
  <c r="G15" i="9"/>
  <c r="F15" i="9"/>
  <c r="E15" i="9"/>
  <c r="D15" i="9"/>
  <c r="C15" i="9"/>
  <c r="H15" i="9" s="1"/>
  <c r="H14" i="9"/>
  <c r="G14" i="9"/>
  <c r="F14" i="9"/>
  <c r="E14" i="9"/>
  <c r="D14" i="9"/>
  <c r="C14" i="9"/>
  <c r="G13" i="9"/>
  <c r="F13" i="9"/>
  <c r="E13" i="9"/>
  <c r="D13" i="9"/>
  <c r="C13" i="9"/>
  <c r="H13" i="9" s="1"/>
  <c r="H12" i="9"/>
  <c r="G12" i="9"/>
  <c r="F12" i="9"/>
  <c r="E12" i="9"/>
  <c r="D12" i="9"/>
  <c r="C12" i="9"/>
  <c r="G11" i="9"/>
  <c r="F11" i="9"/>
  <c r="E11" i="9"/>
  <c r="D11" i="9"/>
  <c r="C11" i="9"/>
  <c r="H11" i="9" s="1"/>
  <c r="G10" i="9"/>
  <c r="F10" i="9"/>
  <c r="E10" i="9"/>
  <c r="D10" i="9"/>
  <c r="C10" i="9"/>
  <c r="H10" i="9" s="1"/>
  <c r="G9" i="9"/>
  <c r="F9" i="9"/>
  <c r="E9" i="9"/>
  <c r="D9" i="9"/>
  <c r="C9" i="9"/>
  <c r="H9" i="9" s="1"/>
  <c r="H8" i="9"/>
  <c r="G8" i="9"/>
  <c r="F8" i="9"/>
  <c r="E8" i="9"/>
  <c r="D8" i="9"/>
  <c r="C8" i="9"/>
  <c r="G7" i="9"/>
  <c r="F7" i="9"/>
  <c r="E7" i="9"/>
  <c r="D7" i="9"/>
  <c r="C7" i="9"/>
  <c r="H6" i="9"/>
  <c r="G6" i="9"/>
  <c r="F6" i="9"/>
  <c r="E6" i="9"/>
  <c r="D6" i="9"/>
  <c r="D28" i="9" s="1"/>
  <c r="C6" i="9"/>
  <c r="O6" i="8"/>
  <c r="N6" i="8"/>
  <c r="M6" i="8"/>
  <c r="J6" i="8"/>
  <c r="H6" i="8"/>
  <c r="G6" i="8"/>
  <c r="E6" i="8"/>
  <c r="O6" i="7"/>
  <c r="N6" i="7"/>
  <c r="M6" i="7"/>
  <c r="J6" i="7"/>
  <c r="H6" i="7"/>
  <c r="G6" i="7"/>
  <c r="E6" i="7"/>
  <c r="O6" i="6"/>
  <c r="N6" i="6"/>
  <c r="M6" i="6"/>
  <c r="J6" i="6"/>
  <c r="H6" i="6"/>
  <c r="G6" i="6"/>
  <c r="E6" i="6"/>
  <c r="O6" i="5"/>
  <c r="N6" i="5"/>
  <c r="M6" i="5"/>
  <c r="J6" i="5"/>
  <c r="H6" i="5"/>
  <c r="G6" i="5"/>
  <c r="E6" i="5"/>
  <c r="O6" i="4"/>
  <c r="N6" i="4"/>
  <c r="M6" i="4"/>
  <c r="J6" i="4"/>
  <c r="H6" i="4"/>
  <c r="G6" i="4"/>
  <c r="E6" i="4"/>
  <c r="S53" i="3"/>
  <c r="S48" i="3"/>
  <c r="M48" i="3" s="1"/>
  <c r="O6" i="3"/>
  <c r="N6" i="3"/>
  <c r="M6" i="3"/>
  <c r="J6" i="3"/>
  <c r="H6" i="3"/>
  <c r="G6" i="3"/>
  <c r="E6" i="3"/>
  <c r="AC146" i="2"/>
  <c r="AB146" i="2"/>
  <c r="AA146" i="2"/>
  <c r="Z146" i="2"/>
  <c r="Y146" i="2"/>
  <c r="X146" i="2"/>
  <c r="W146" i="2"/>
  <c r="V146" i="2"/>
  <c r="U146" i="2"/>
  <c r="AC145" i="2"/>
  <c r="AB145" i="2"/>
  <c r="AA145" i="2"/>
  <c r="Z145" i="2"/>
  <c r="Y145" i="2"/>
  <c r="X145" i="2"/>
  <c r="W145" i="2"/>
  <c r="V145" i="2"/>
  <c r="U145" i="2"/>
  <c r="AC144" i="2"/>
  <c r="AB144" i="2"/>
  <c r="AA144" i="2"/>
  <c r="Z144" i="2"/>
  <c r="Y144" i="2"/>
  <c r="X144" i="2"/>
  <c r="W144" i="2"/>
  <c r="V144" i="2"/>
  <c r="U144" i="2"/>
  <c r="AC143" i="2"/>
  <c r="AB143" i="2"/>
  <c r="AA143" i="2"/>
  <c r="Z143" i="2"/>
  <c r="Y143" i="2"/>
  <c r="X143" i="2"/>
  <c r="W143" i="2"/>
  <c r="V143" i="2"/>
  <c r="U143" i="2"/>
  <c r="AC142" i="2"/>
  <c r="AB142" i="2"/>
  <c r="AA142" i="2"/>
  <c r="Z142" i="2"/>
  <c r="Y142" i="2"/>
  <c r="X142" i="2"/>
  <c r="W142" i="2"/>
  <c r="V142" i="2"/>
  <c r="U142" i="2"/>
  <c r="AC141" i="2"/>
  <c r="AB141" i="2"/>
  <c r="AA141" i="2"/>
  <c r="Z141" i="2"/>
  <c r="Y141" i="2"/>
  <c r="X141" i="2"/>
  <c r="W141" i="2"/>
  <c r="V141" i="2"/>
  <c r="U141" i="2"/>
  <c r="AC140" i="2"/>
  <c r="AB140" i="2"/>
  <c r="AA140" i="2"/>
  <c r="Z140" i="2"/>
  <c r="Y140" i="2"/>
  <c r="X140" i="2"/>
  <c r="W140" i="2"/>
  <c r="V140" i="2"/>
  <c r="U140" i="2"/>
  <c r="AC139" i="2"/>
  <c r="AB139" i="2"/>
  <c r="AA139" i="2"/>
  <c r="Z139" i="2"/>
  <c r="Y139" i="2"/>
  <c r="X139" i="2"/>
  <c r="W139" i="2"/>
  <c r="V139" i="2"/>
  <c r="U139" i="2"/>
  <c r="AC138" i="2"/>
  <c r="AB138" i="2"/>
  <c r="AA138" i="2"/>
  <c r="Z138" i="2"/>
  <c r="Y138" i="2"/>
  <c r="X138" i="2"/>
  <c r="W138" i="2"/>
  <c r="V138" i="2"/>
  <c r="U138" i="2"/>
  <c r="AC137" i="2"/>
  <c r="AB137" i="2"/>
  <c r="AA137" i="2"/>
  <c r="Z137" i="2"/>
  <c r="Y137" i="2"/>
  <c r="X137" i="2"/>
  <c r="W137" i="2"/>
  <c r="V137" i="2"/>
  <c r="U137" i="2"/>
  <c r="AC136" i="2"/>
  <c r="AB136" i="2"/>
  <c r="AA136" i="2"/>
  <c r="Z136" i="2"/>
  <c r="Y136" i="2"/>
  <c r="X136" i="2"/>
  <c r="W136" i="2"/>
  <c r="V136" i="2"/>
  <c r="U136" i="2"/>
  <c r="AC135" i="2"/>
  <c r="AB135" i="2"/>
  <c r="AA135" i="2"/>
  <c r="Z135" i="2"/>
  <c r="Y135" i="2"/>
  <c r="X135" i="2"/>
  <c r="W135" i="2"/>
  <c r="V135" i="2"/>
  <c r="U135" i="2"/>
  <c r="AC134" i="2"/>
  <c r="AB134" i="2"/>
  <c r="AA134" i="2"/>
  <c r="Z134" i="2"/>
  <c r="Y134" i="2"/>
  <c r="X134" i="2"/>
  <c r="W134" i="2"/>
  <c r="V134" i="2"/>
  <c r="U134" i="2"/>
  <c r="AC133" i="2"/>
  <c r="AB133" i="2"/>
  <c r="AA133" i="2"/>
  <c r="Z133" i="2"/>
  <c r="Y133" i="2"/>
  <c r="X133" i="2"/>
  <c r="W133" i="2"/>
  <c r="V133" i="2"/>
  <c r="U133" i="2"/>
  <c r="AC132" i="2"/>
  <c r="AB132" i="2"/>
  <c r="AA132" i="2"/>
  <c r="Z132" i="2"/>
  <c r="Y132" i="2"/>
  <c r="X132" i="2"/>
  <c r="W132" i="2"/>
  <c r="V132" i="2"/>
  <c r="U132" i="2"/>
  <c r="AC131" i="2"/>
  <c r="AB131" i="2"/>
  <c r="AA131" i="2"/>
  <c r="Z131" i="2"/>
  <c r="Y131" i="2"/>
  <c r="X131" i="2"/>
  <c r="W131" i="2"/>
  <c r="V131" i="2"/>
  <c r="U131" i="2"/>
  <c r="AC130" i="2"/>
  <c r="AB130" i="2"/>
  <c r="AA130" i="2"/>
  <c r="Z130" i="2"/>
  <c r="Y130" i="2"/>
  <c r="X130" i="2"/>
  <c r="W130" i="2"/>
  <c r="V130" i="2"/>
  <c r="U130" i="2"/>
  <c r="AC129" i="2"/>
  <c r="AB129" i="2"/>
  <c r="AA129" i="2"/>
  <c r="Z129" i="2"/>
  <c r="Y129" i="2"/>
  <c r="X129" i="2"/>
  <c r="W129" i="2"/>
  <c r="V129" i="2"/>
  <c r="U129" i="2"/>
  <c r="AC128" i="2"/>
  <c r="AB128" i="2"/>
  <c r="AA128" i="2"/>
  <c r="Z128" i="2"/>
  <c r="Y128" i="2"/>
  <c r="X128" i="2"/>
  <c r="W128" i="2"/>
  <c r="V128" i="2"/>
  <c r="U128" i="2"/>
  <c r="AC127" i="2"/>
  <c r="AB127" i="2"/>
  <c r="AA127" i="2"/>
  <c r="Z127" i="2"/>
  <c r="Y127" i="2"/>
  <c r="X127" i="2"/>
  <c r="W127" i="2"/>
  <c r="V127" i="2"/>
  <c r="U127" i="2"/>
  <c r="AC126" i="2"/>
  <c r="AB126" i="2"/>
  <c r="AA126" i="2"/>
  <c r="Z126" i="2"/>
  <c r="Y126" i="2"/>
  <c r="X126" i="2"/>
  <c r="W126" i="2"/>
  <c r="V126" i="2"/>
  <c r="U126" i="2"/>
  <c r="AC125" i="2"/>
  <c r="AB125" i="2"/>
  <c r="AA125" i="2"/>
  <c r="Z125" i="2"/>
  <c r="Y125" i="2"/>
  <c r="X125" i="2"/>
  <c r="W125" i="2"/>
  <c r="V125" i="2"/>
  <c r="U125" i="2"/>
  <c r="AC124" i="2"/>
  <c r="AB124" i="2"/>
  <c r="AA124" i="2"/>
  <c r="Z124" i="2"/>
  <c r="Y124" i="2"/>
  <c r="X124" i="2"/>
  <c r="W124" i="2"/>
  <c r="V124" i="2"/>
  <c r="U124" i="2"/>
  <c r="AC123" i="2"/>
  <c r="AB123" i="2"/>
  <c r="AA123" i="2"/>
  <c r="Z123" i="2"/>
  <c r="Y123" i="2"/>
  <c r="X123" i="2"/>
  <c r="W123" i="2"/>
  <c r="V123" i="2"/>
  <c r="U123" i="2"/>
  <c r="AC122" i="2"/>
  <c r="AB122" i="2"/>
  <c r="AA122" i="2"/>
  <c r="Z122" i="2"/>
  <c r="Y122" i="2"/>
  <c r="X122" i="2"/>
  <c r="W122" i="2"/>
  <c r="V122" i="2"/>
  <c r="U122" i="2"/>
  <c r="AC121" i="2"/>
  <c r="AB121" i="2"/>
  <c r="AA121" i="2"/>
  <c r="Z121" i="2"/>
  <c r="Y121" i="2"/>
  <c r="X121" i="2"/>
  <c r="W121" i="2"/>
  <c r="V121" i="2"/>
  <c r="U121" i="2"/>
  <c r="AC120" i="2"/>
  <c r="AB120" i="2"/>
  <c r="AA120" i="2"/>
  <c r="Z120" i="2"/>
  <c r="Y120" i="2"/>
  <c r="X120" i="2"/>
  <c r="W120" i="2"/>
  <c r="V120" i="2"/>
  <c r="U120" i="2"/>
  <c r="AC119" i="2"/>
  <c r="AB119" i="2"/>
  <c r="AA119" i="2"/>
  <c r="Z119" i="2"/>
  <c r="Y119" i="2"/>
  <c r="X119" i="2"/>
  <c r="W119" i="2"/>
  <c r="V119" i="2"/>
  <c r="U119" i="2"/>
  <c r="AC118" i="2"/>
  <c r="AB118" i="2"/>
  <c r="AA118" i="2"/>
  <c r="Z118" i="2"/>
  <c r="Y118" i="2"/>
  <c r="X118" i="2"/>
  <c r="W118" i="2"/>
  <c r="V118" i="2"/>
  <c r="U118" i="2"/>
  <c r="AC117" i="2"/>
  <c r="AB117" i="2"/>
  <c r="AA117" i="2"/>
  <c r="Z117" i="2"/>
  <c r="Y117" i="2"/>
  <c r="X117" i="2"/>
  <c r="W117" i="2"/>
  <c r="V117" i="2"/>
  <c r="U117" i="2"/>
  <c r="AB116" i="2"/>
  <c r="Z116" i="2"/>
  <c r="Y116" i="2"/>
  <c r="U116" i="2"/>
  <c r="AB115" i="2"/>
  <c r="Z115" i="2"/>
  <c r="Y115" i="2"/>
  <c r="U115" i="2"/>
  <c r="AB114" i="2"/>
  <c r="Z114" i="2"/>
  <c r="Y114" i="2"/>
  <c r="U114" i="2"/>
  <c r="AB113" i="2"/>
  <c r="Z113" i="2"/>
  <c r="Y113" i="2"/>
  <c r="U113" i="2"/>
  <c r="AB112" i="2"/>
  <c r="Z112" i="2"/>
  <c r="Y112" i="2"/>
  <c r="U112" i="2"/>
  <c r="AB111" i="2"/>
  <c r="Z111" i="2"/>
  <c r="Y111" i="2"/>
  <c r="U111" i="2"/>
  <c r="AB110" i="2"/>
  <c r="Z110" i="2"/>
  <c r="Y110" i="2"/>
  <c r="U110" i="2"/>
  <c r="AB109" i="2"/>
  <c r="Z109" i="2"/>
  <c r="Y109" i="2"/>
  <c r="U109" i="2"/>
  <c r="AB108" i="2"/>
  <c r="Z108" i="2"/>
  <c r="Y108" i="2"/>
  <c r="U108" i="2"/>
  <c r="AB107" i="2"/>
  <c r="Z107" i="2"/>
  <c r="Y107" i="2"/>
  <c r="U107" i="2"/>
  <c r="AB106" i="2"/>
  <c r="Z106" i="2"/>
  <c r="Y106" i="2"/>
  <c r="U106" i="2"/>
  <c r="AB105" i="2"/>
  <c r="Z105" i="2"/>
  <c r="Y105" i="2"/>
  <c r="U105" i="2"/>
  <c r="AB104" i="2"/>
  <c r="Z104" i="2"/>
  <c r="Y104" i="2"/>
  <c r="U104" i="2"/>
  <c r="AB103" i="2"/>
  <c r="Z103" i="2"/>
  <c r="Y103" i="2"/>
  <c r="U103" i="2"/>
  <c r="AB102" i="2"/>
  <c r="Z102" i="2"/>
  <c r="Y102" i="2"/>
  <c r="U102" i="2"/>
  <c r="AB101" i="2"/>
  <c r="Z101" i="2"/>
  <c r="Y101" i="2"/>
  <c r="U101" i="2"/>
  <c r="AB100" i="2"/>
  <c r="Z100" i="2"/>
  <c r="Y100" i="2"/>
  <c r="U100" i="2"/>
  <c r="AB99" i="2"/>
  <c r="Z99" i="2"/>
  <c r="Y99" i="2"/>
  <c r="U99" i="2"/>
  <c r="AB98" i="2"/>
  <c r="Z98" i="2"/>
  <c r="Y98" i="2"/>
  <c r="U98" i="2"/>
  <c r="AB97" i="2"/>
  <c r="Z97" i="2"/>
  <c r="Y97" i="2"/>
  <c r="U97" i="2"/>
  <c r="AB96" i="2"/>
  <c r="Z96" i="2"/>
  <c r="Y96" i="2"/>
  <c r="U96" i="2"/>
  <c r="AB95" i="2"/>
  <c r="Z95" i="2"/>
  <c r="Y95" i="2"/>
  <c r="U95" i="2"/>
  <c r="AB94" i="2"/>
  <c r="Z94" i="2"/>
  <c r="Y94" i="2"/>
  <c r="U94" i="2"/>
  <c r="AB93" i="2"/>
  <c r="Z93" i="2"/>
  <c r="Y93" i="2"/>
  <c r="U93" i="2"/>
  <c r="AB92" i="2"/>
  <c r="Z92" i="2"/>
  <c r="Y92" i="2"/>
  <c r="U92" i="2"/>
  <c r="AB91" i="2"/>
  <c r="Z91" i="2"/>
  <c r="Y91" i="2"/>
  <c r="U91" i="2"/>
  <c r="AB90" i="2"/>
  <c r="Z90" i="2"/>
  <c r="Y90" i="2"/>
  <c r="U90" i="2"/>
  <c r="AB89" i="2"/>
  <c r="Z89" i="2"/>
  <c r="Y89" i="2"/>
  <c r="U89" i="2"/>
  <c r="AB88" i="2"/>
  <c r="Z88" i="2"/>
  <c r="Y88" i="2"/>
  <c r="U88" i="2"/>
  <c r="AB87" i="2"/>
  <c r="Z87" i="2"/>
  <c r="Y87" i="2"/>
  <c r="U87" i="2"/>
  <c r="AB86" i="2"/>
  <c r="Z86" i="2"/>
  <c r="Y86" i="2"/>
  <c r="U86" i="2"/>
  <c r="AB85" i="2"/>
  <c r="Z85" i="2"/>
  <c r="Y85" i="2"/>
  <c r="U85" i="2"/>
  <c r="AB84" i="2"/>
  <c r="Z84" i="2"/>
  <c r="Y84" i="2"/>
  <c r="U84" i="2"/>
  <c r="AB83" i="2"/>
  <c r="Z83" i="2"/>
  <c r="Y83" i="2"/>
  <c r="U83" i="2"/>
  <c r="AB82" i="2"/>
  <c r="Z82" i="2"/>
  <c r="Y82" i="2"/>
  <c r="U82" i="2"/>
  <c r="AB81" i="2"/>
  <c r="Z81" i="2"/>
  <c r="Y81" i="2"/>
  <c r="U81" i="2"/>
  <c r="AB80" i="2"/>
  <c r="Z80" i="2"/>
  <c r="Y80" i="2"/>
  <c r="U80" i="2"/>
  <c r="AB79" i="2"/>
  <c r="Z79" i="2"/>
  <c r="Y79" i="2"/>
  <c r="U79" i="2"/>
  <c r="AB78" i="2"/>
  <c r="Z78" i="2"/>
  <c r="Y78" i="2"/>
  <c r="U78" i="2"/>
  <c r="AB77" i="2"/>
  <c r="Z77" i="2"/>
  <c r="Y77" i="2"/>
  <c r="U77" i="2"/>
  <c r="AB76" i="2"/>
  <c r="Z76" i="2"/>
  <c r="Y76" i="2"/>
  <c r="U76" i="2"/>
  <c r="AB75" i="2"/>
  <c r="Z75" i="2"/>
  <c r="Y75" i="2"/>
  <c r="U75" i="2"/>
  <c r="AB74" i="2"/>
  <c r="Z74" i="2"/>
  <c r="Y74" i="2"/>
  <c r="U74" i="2"/>
  <c r="AB73" i="2"/>
  <c r="Z73" i="2"/>
  <c r="Y73" i="2"/>
  <c r="U73" i="2"/>
  <c r="AB72" i="2"/>
  <c r="Z72" i="2"/>
  <c r="Y72" i="2"/>
  <c r="U72" i="2"/>
  <c r="AB71" i="2"/>
  <c r="Z71" i="2"/>
  <c r="Y71" i="2"/>
  <c r="U71" i="2"/>
  <c r="AB70" i="2"/>
  <c r="Z70" i="2"/>
  <c r="Y70" i="2"/>
  <c r="U70" i="2"/>
  <c r="AB69" i="2"/>
  <c r="Z69" i="2"/>
  <c r="Y69" i="2"/>
  <c r="U69" i="2"/>
  <c r="AB68" i="2"/>
  <c r="Z68" i="2"/>
  <c r="Y68" i="2"/>
  <c r="U68" i="2"/>
  <c r="AB67" i="2"/>
  <c r="Z67" i="2"/>
  <c r="Y67" i="2"/>
  <c r="U67" i="2"/>
  <c r="AB66" i="2"/>
  <c r="Z66" i="2"/>
  <c r="Y66" i="2"/>
  <c r="U66" i="2"/>
  <c r="AB65" i="2"/>
  <c r="Z65" i="2"/>
  <c r="Y65" i="2"/>
  <c r="U65" i="2"/>
  <c r="AB64" i="2"/>
  <c r="Z64" i="2"/>
  <c r="Y64" i="2"/>
  <c r="U64" i="2"/>
  <c r="AB63" i="2"/>
  <c r="Z63" i="2"/>
  <c r="Y63" i="2"/>
  <c r="U63" i="2"/>
  <c r="AB62" i="2"/>
  <c r="Z62" i="2"/>
  <c r="Y62" i="2"/>
  <c r="U62" i="2"/>
  <c r="AB61" i="2"/>
  <c r="Z61" i="2"/>
  <c r="Y61" i="2"/>
  <c r="U61" i="2"/>
  <c r="AB60" i="2"/>
  <c r="Z60" i="2"/>
  <c r="Y60" i="2"/>
  <c r="U60" i="2"/>
  <c r="AB59" i="2"/>
  <c r="Z59" i="2"/>
  <c r="Y59" i="2"/>
  <c r="U59" i="2"/>
  <c r="AB58" i="2"/>
  <c r="Z58" i="2"/>
  <c r="Y58" i="2"/>
  <c r="U58" i="2"/>
  <c r="AB57" i="2"/>
  <c r="Z57" i="2"/>
  <c r="Y57" i="2"/>
  <c r="U57" i="2"/>
  <c r="AB56" i="2"/>
  <c r="Z56" i="2"/>
  <c r="Y56" i="2"/>
  <c r="U56" i="2"/>
  <c r="AB55" i="2"/>
  <c r="Z55" i="2"/>
  <c r="Y55" i="2"/>
  <c r="U55" i="2"/>
  <c r="AB54" i="2"/>
  <c r="Z54" i="2"/>
  <c r="Y54" i="2"/>
  <c r="U54" i="2"/>
  <c r="AB53" i="2"/>
  <c r="Z53" i="2"/>
  <c r="Y53" i="2"/>
  <c r="U53" i="2"/>
  <c r="AB52" i="2"/>
  <c r="Z52" i="2"/>
  <c r="Y52" i="2"/>
  <c r="U52" i="2"/>
  <c r="AB51" i="2"/>
  <c r="Z51" i="2"/>
  <c r="Y51" i="2"/>
  <c r="U51" i="2"/>
  <c r="AB50" i="2"/>
  <c r="Z50" i="2"/>
  <c r="Y50" i="2"/>
  <c r="U50" i="2"/>
  <c r="AB49" i="2"/>
  <c r="Z49" i="2"/>
  <c r="Y49" i="2"/>
  <c r="U49" i="2"/>
  <c r="AB48" i="2"/>
  <c r="Z48" i="2"/>
  <c r="Y48" i="2"/>
  <c r="U48" i="2"/>
  <c r="AB47" i="2"/>
  <c r="Z47" i="2"/>
  <c r="Y47" i="2"/>
  <c r="U47" i="2"/>
  <c r="AB46" i="2"/>
  <c r="Z46" i="2"/>
  <c r="Y46" i="2"/>
  <c r="U46" i="2"/>
  <c r="AB45" i="2"/>
  <c r="Z45" i="2"/>
  <c r="Y45" i="2"/>
  <c r="U45" i="2"/>
  <c r="AB44" i="2"/>
  <c r="Z44" i="2"/>
  <c r="Y44" i="2"/>
  <c r="U44" i="2"/>
  <c r="AB43" i="2"/>
  <c r="Z43" i="2"/>
  <c r="Y43" i="2"/>
  <c r="U43" i="2"/>
  <c r="AB42" i="2"/>
  <c r="Z42" i="2"/>
  <c r="Y42" i="2"/>
  <c r="U42" i="2"/>
  <c r="AB41" i="2"/>
  <c r="Z41" i="2"/>
  <c r="Y41" i="2"/>
  <c r="U41" i="2"/>
  <c r="AB40" i="2"/>
  <c r="Z40" i="2"/>
  <c r="Y40" i="2"/>
  <c r="U40" i="2"/>
  <c r="AB39" i="2"/>
  <c r="Z39" i="2"/>
  <c r="Y39" i="2"/>
  <c r="U39" i="2"/>
  <c r="AB38" i="2"/>
  <c r="Z38" i="2"/>
  <c r="Y38" i="2"/>
  <c r="U38" i="2"/>
  <c r="AB37" i="2"/>
  <c r="Z37" i="2"/>
  <c r="Y37" i="2"/>
  <c r="U37" i="2"/>
  <c r="AB36" i="2"/>
  <c r="Z36" i="2"/>
  <c r="Y36" i="2"/>
  <c r="U36" i="2"/>
  <c r="AB35" i="2"/>
  <c r="Z35" i="2"/>
  <c r="Y35" i="2"/>
  <c r="U35" i="2"/>
  <c r="AB34" i="2"/>
  <c r="Z34" i="2"/>
  <c r="Y34" i="2"/>
  <c r="U34" i="2"/>
  <c r="AB33" i="2"/>
  <c r="Z33" i="2"/>
  <c r="Y33" i="2"/>
  <c r="U33" i="2"/>
  <c r="AB32" i="2"/>
  <c r="Z32" i="2"/>
  <c r="Y32" i="2"/>
  <c r="U32" i="2"/>
  <c r="AB31" i="2"/>
  <c r="Z31" i="2"/>
  <c r="Y31" i="2"/>
  <c r="U31" i="2"/>
  <c r="AB30" i="2"/>
  <c r="Z30" i="2"/>
  <c r="Y30" i="2"/>
  <c r="U30" i="2"/>
  <c r="AB29" i="2"/>
  <c r="Z29" i="2"/>
  <c r="Y29" i="2"/>
  <c r="U29" i="2"/>
  <c r="AB28" i="2"/>
  <c r="Z28" i="2"/>
  <c r="Y28" i="2"/>
  <c r="U28" i="2"/>
  <c r="AB27" i="2"/>
  <c r="Z27" i="2"/>
  <c r="Y27" i="2"/>
  <c r="U27" i="2"/>
  <c r="AB26" i="2"/>
  <c r="Z26" i="2"/>
  <c r="Y26" i="2"/>
  <c r="U26" i="2"/>
  <c r="AB25" i="2"/>
  <c r="Z25" i="2"/>
  <c r="Y25" i="2"/>
  <c r="U25" i="2"/>
  <c r="AB24" i="2"/>
  <c r="Z24" i="2"/>
  <c r="Y24" i="2"/>
  <c r="U24" i="2"/>
  <c r="AB23" i="2"/>
  <c r="Z23" i="2"/>
  <c r="Y23" i="2"/>
  <c r="U23" i="2"/>
  <c r="AB22" i="2"/>
  <c r="Z22" i="2"/>
  <c r="Y22" i="2"/>
  <c r="U22" i="2"/>
  <c r="AB21" i="2"/>
  <c r="Z21" i="2"/>
  <c r="Y21" i="2"/>
  <c r="U21" i="2"/>
  <c r="AB20" i="2"/>
  <c r="Z20" i="2"/>
  <c r="Y20" i="2"/>
  <c r="U20" i="2"/>
  <c r="AB19" i="2"/>
  <c r="Z19" i="2"/>
  <c r="Y19" i="2"/>
  <c r="U19" i="2"/>
  <c r="AB18" i="2"/>
  <c r="Z18" i="2"/>
  <c r="Y18" i="2"/>
  <c r="U18" i="2"/>
  <c r="AB17" i="2"/>
  <c r="Z17" i="2"/>
  <c r="Y17" i="2"/>
  <c r="U17" i="2"/>
  <c r="AB16" i="2"/>
  <c r="Z16" i="2"/>
  <c r="Y16" i="2"/>
  <c r="U16" i="2"/>
  <c r="AB15" i="2"/>
  <c r="Z15" i="2"/>
  <c r="Y15" i="2"/>
  <c r="U15" i="2"/>
  <c r="AB14" i="2"/>
  <c r="Z14" i="2"/>
  <c r="Y14" i="2"/>
  <c r="U14" i="2"/>
  <c r="AB13" i="2"/>
  <c r="Z13" i="2"/>
  <c r="Y13" i="2"/>
  <c r="U13" i="2"/>
  <c r="AB12" i="2"/>
  <c r="Z12" i="2"/>
  <c r="Y12" i="2"/>
  <c r="U12" i="2"/>
  <c r="AB11" i="2"/>
  <c r="Z11" i="2"/>
  <c r="Y11" i="2"/>
  <c r="U11" i="2"/>
  <c r="AB10" i="2"/>
  <c r="Z10" i="2"/>
  <c r="Y10" i="2"/>
  <c r="U10" i="2"/>
  <c r="AB9" i="2"/>
  <c r="Z9" i="2"/>
  <c r="Y9" i="2"/>
  <c r="U9" i="2"/>
  <c r="AB8" i="2"/>
  <c r="Z8" i="2"/>
  <c r="Y8" i="2"/>
  <c r="U8" i="2"/>
  <c r="AB7" i="2"/>
  <c r="Z7" i="2"/>
  <c r="S47" i="5" s="1"/>
  <c r="Y7" i="2"/>
  <c r="U7" i="2"/>
  <c r="AB6" i="2"/>
  <c r="Z6" i="2"/>
  <c r="S53" i="5" s="1"/>
  <c r="Y6" i="2"/>
  <c r="U6" i="2"/>
  <c r="T65" i="1"/>
  <c r="O65" i="1" s="1"/>
  <c r="K36" i="1"/>
  <c r="L36" i="1" s="1"/>
  <c r="P35" i="1"/>
  <c r="Q35" i="1" s="1"/>
  <c r="K35" i="1"/>
  <c r="P34" i="1"/>
  <c r="Q34" i="1" s="1"/>
  <c r="K34" i="1"/>
  <c r="L34" i="1" s="1"/>
  <c r="P33" i="1"/>
  <c r="Q33" i="1" s="1"/>
  <c r="K33" i="1"/>
  <c r="L33" i="1" s="1"/>
  <c r="F33" i="1"/>
  <c r="E33" i="1"/>
  <c r="P32" i="1"/>
  <c r="Q32" i="1" s="1"/>
  <c r="K32" i="1"/>
  <c r="L32" i="1" s="1"/>
  <c r="F32" i="1"/>
  <c r="E32" i="1"/>
  <c r="P31" i="1"/>
  <c r="Q31" i="1" s="1"/>
  <c r="K31" i="1"/>
  <c r="F31" i="1"/>
  <c r="E31" i="1"/>
  <c r="L26" i="1"/>
  <c r="K26" i="1"/>
  <c r="I26" i="1"/>
  <c r="H26" i="1"/>
  <c r="G26" i="1"/>
  <c r="F26" i="1"/>
  <c r="L25" i="1"/>
  <c r="K25" i="1"/>
  <c r="I25" i="1"/>
  <c r="H25" i="1"/>
  <c r="G25" i="1"/>
  <c r="F25" i="1"/>
  <c r="L24" i="1"/>
  <c r="K24" i="1"/>
  <c r="I24" i="1"/>
  <c r="H24" i="1"/>
  <c r="G24" i="1"/>
  <c r="F24" i="1"/>
  <c r="L23" i="1"/>
  <c r="K23" i="1"/>
  <c r="I23" i="1"/>
  <c r="H23" i="1"/>
  <c r="G23" i="1"/>
  <c r="F23" i="1"/>
  <c r="L22" i="1"/>
  <c r="K22" i="1"/>
  <c r="I22" i="1"/>
  <c r="H22" i="1"/>
  <c r="G22" i="1"/>
  <c r="F22" i="1"/>
  <c r="L21" i="1"/>
  <c r="K21" i="1"/>
  <c r="I21" i="1"/>
  <c r="H21" i="1"/>
  <c r="G21" i="1"/>
  <c r="F21" i="1"/>
  <c r="P16" i="1"/>
  <c r="P17" i="1" s="1"/>
  <c r="L16" i="1"/>
  <c r="J16" i="1"/>
  <c r="J17" i="1" s="1"/>
  <c r="H16" i="1"/>
  <c r="H17" i="1" s="1"/>
  <c r="F16" i="1"/>
  <c r="F17" i="1" s="1"/>
  <c r="D16" i="1"/>
  <c r="D17" i="1" s="1"/>
  <c r="B16" i="1"/>
  <c r="H7" i="1"/>
  <c r="V111" i="2" s="1"/>
  <c r="AA58" i="2" l="1"/>
  <c r="W77" i="2"/>
  <c r="H32" i="1"/>
  <c r="H33" i="1"/>
  <c r="W33" i="2"/>
  <c r="W104" i="2"/>
  <c r="AA30" i="2"/>
  <c r="H31" i="1"/>
  <c r="V19" i="2"/>
  <c r="W63" i="2"/>
  <c r="B11" i="1"/>
  <c r="T66" i="1"/>
  <c r="L66" i="1" s="1"/>
  <c r="X84" i="2"/>
  <c r="T62" i="1"/>
  <c r="O62" i="1" s="1"/>
  <c r="G6" i="12"/>
  <c r="G18" i="12"/>
  <c r="G30" i="12"/>
  <c r="G48" i="12"/>
  <c r="G54" i="12"/>
  <c r="G72" i="12"/>
  <c r="L35" i="1"/>
  <c r="V26" i="2"/>
  <c r="N21" i="1"/>
  <c r="O21" i="1" s="1"/>
  <c r="H27" i="1"/>
  <c r="T67" i="1"/>
  <c r="G11" i="12"/>
  <c r="G17" i="12"/>
  <c r="G23" i="12"/>
  <c r="G29" i="12"/>
  <c r="G41" i="12"/>
  <c r="I27" i="1"/>
  <c r="A6" i="3"/>
  <c r="AA49" i="2"/>
  <c r="W92" i="2"/>
  <c r="AA70" i="2"/>
  <c r="W75" i="2"/>
  <c r="V36" i="2"/>
  <c r="W38" i="2"/>
  <c r="X45" i="2"/>
  <c r="V52" i="2"/>
  <c r="V57" i="2"/>
  <c r="V29" i="2"/>
  <c r="X36" i="2"/>
  <c r="W90" i="2"/>
  <c r="W29" i="2"/>
  <c r="V48" i="2"/>
  <c r="W50" i="2"/>
  <c r="X57" i="2"/>
  <c r="V64" i="2"/>
  <c r="V69" i="2"/>
  <c r="AA73" i="2"/>
  <c r="V83" i="2"/>
  <c r="V95" i="2"/>
  <c r="K27" i="1"/>
  <c r="N23" i="1"/>
  <c r="O23" i="1" s="1"/>
  <c r="V13" i="2"/>
  <c r="AA22" i="2"/>
  <c r="W27" i="2"/>
  <c r="V41" i="2"/>
  <c r="X48" i="2"/>
  <c r="V62" i="2"/>
  <c r="AA66" i="2"/>
  <c r="W69" i="2"/>
  <c r="W81" i="2"/>
  <c r="W83" i="2"/>
  <c r="V88" i="2"/>
  <c r="V93" i="2"/>
  <c r="W95" i="2"/>
  <c r="X105" i="2"/>
  <c r="X104" i="2"/>
  <c r="AC104" i="2" s="1"/>
  <c r="AA42" i="2"/>
  <c r="W45" i="2"/>
  <c r="AA61" i="2"/>
  <c r="W6" i="2"/>
  <c r="AA10" i="2"/>
  <c r="V50" i="2"/>
  <c r="L27" i="1"/>
  <c r="V9" i="2"/>
  <c r="V11" i="2"/>
  <c r="W9" i="2"/>
  <c r="W11" i="2"/>
  <c r="V53" i="2"/>
  <c r="X60" i="2"/>
  <c r="V74" i="2"/>
  <c r="V108" i="2"/>
  <c r="AA25" i="2"/>
  <c r="W98" i="2"/>
  <c r="AA105" i="2"/>
  <c r="W21" i="2"/>
  <c r="AA93" i="2"/>
  <c r="G60" i="12"/>
  <c r="G66" i="12"/>
  <c r="G33" i="1"/>
  <c r="V8" i="2"/>
  <c r="X12" i="2"/>
  <c r="V24" i="2"/>
  <c r="W26" i="2"/>
  <c r="X33" i="2"/>
  <c r="V40" i="2"/>
  <c r="V45" i="2"/>
  <c r="X77" i="2"/>
  <c r="K11" i="1"/>
  <c r="W8" i="2"/>
  <c r="AA14" i="2"/>
  <c r="W17" i="2"/>
  <c r="X24" i="2"/>
  <c r="V38" i="2"/>
  <c r="AA82" i="2"/>
  <c r="V102" i="2"/>
  <c r="V6" i="2"/>
  <c r="X17" i="2"/>
  <c r="V90" i="2"/>
  <c r="V97" i="2"/>
  <c r="W102" i="2"/>
  <c r="AA109" i="2"/>
  <c r="AA54" i="2"/>
  <c r="W57" i="2"/>
  <c r="W41" i="2"/>
  <c r="V60" i="2"/>
  <c r="W62" i="2"/>
  <c r="X69" i="2"/>
  <c r="V76" i="2"/>
  <c r="X81" i="2"/>
  <c r="W93" i="2"/>
  <c r="AA34" i="2"/>
  <c r="W39" i="2"/>
  <c r="V98" i="2"/>
  <c r="N26" i="1"/>
  <c r="O26" i="1" s="1"/>
  <c r="V16" i="2"/>
  <c r="V21" i="2"/>
  <c r="W53" i="2"/>
  <c r="V72" i="2"/>
  <c r="W74" i="2"/>
  <c r="W86" i="2"/>
  <c r="AA46" i="2"/>
  <c r="W51" i="2"/>
  <c r="V65" i="2"/>
  <c r="X72" i="2"/>
  <c r="AA9" i="2"/>
  <c r="W14" i="2"/>
  <c r="X21" i="2"/>
  <c r="V28" i="2"/>
  <c r="V33" i="2"/>
  <c r="AA37" i="2"/>
  <c r="W65" i="2"/>
  <c r="W84" i="2"/>
  <c r="AC84" i="2" s="1"/>
  <c r="G7" i="12"/>
  <c r="G13" i="12"/>
  <c r="G19" i="12"/>
  <c r="G25" i="12"/>
  <c r="G37" i="12"/>
  <c r="G49" i="12"/>
  <c r="G55" i="12"/>
  <c r="N66" i="1"/>
  <c r="O66" i="1"/>
  <c r="K66" i="1"/>
  <c r="N27" i="1"/>
  <c r="L67" i="1"/>
  <c r="N67" i="1"/>
  <c r="O67" i="1"/>
  <c r="K67" i="1"/>
  <c r="L53" i="5"/>
  <c r="C53" i="5"/>
  <c r="I53" i="5"/>
  <c r="E53" i="5"/>
  <c r="N53" i="5"/>
  <c r="K53" i="5"/>
  <c r="J53" i="5"/>
  <c r="G53" i="5"/>
  <c r="F53" i="5"/>
  <c r="D53" i="5"/>
  <c r="M53" i="5"/>
  <c r="H53" i="5"/>
  <c r="O53" i="5"/>
  <c r="B53" i="5"/>
  <c r="L47" i="5"/>
  <c r="G47" i="5"/>
  <c r="E47" i="5"/>
  <c r="O47" i="5"/>
  <c r="J47" i="5"/>
  <c r="M47" i="5"/>
  <c r="K47" i="5"/>
  <c r="H47" i="5"/>
  <c r="F47" i="5"/>
  <c r="D47" i="5"/>
  <c r="I47" i="5"/>
  <c r="C47" i="5"/>
  <c r="N47" i="5"/>
  <c r="B47" i="5"/>
  <c r="K62" i="1"/>
  <c r="V107" i="2"/>
  <c r="V109" i="2"/>
  <c r="S49" i="3"/>
  <c r="S54" i="3"/>
  <c r="S48" i="6"/>
  <c r="S44" i="7"/>
  <c r="AA115" i="2"/>
  <c r="X114" i="2"/>
  <c r="AA111" i="2"/>
  <c r="X110" i="2"/>
  <c r="AA107" i="2"/>
  <c r="X106" i="2"/>
  <c r="AA103" i="2"/>
  <c r="X102" i="2"/>
  <c r="AA99" i="2"/>
  <c r="X98" i="2"/>
  <c r="AA95" i="2"/>
  <c r="X94" i="2"/>
  <c r="AA91" i="2"/>
  <c r="X90" i="2"/>
  <c r="AA87" i="2"/>
  <c r="X86" i="2"/>
  <c r="AA83" i="2"/>
  <c r="X82" i="2"/>
  <c r="AA79" i="2"/>
  <c r="X78" i="2"/>
  <c r="AA75" i="2"/>
  <c r="X74" i="2"/>
  <c r="AA71" i="2"/>
  <c r="X70" i="2"/>
  <c r="AA67" i="2"/>
  <c r="X66" i="2"/>
  <c r="AA63" i="2"/>
  <c r="X62" i="2"/>
  <c r="AA59" i="2"/>
  <c r="X58" i="2"/>
  <c r="AA55" i="2"/>
  <c r="X54" i="2"/>
  <c r="AA51" i="2"/>
  <c r="X50" i="2"/>
  <c r="AA47" i="2"/>
  <c r="X46" i="2"/>
  <c r="AA43" i="2"/>
  <c r="X42" i="2"/>
  <c r="AA39" i="2"/>
  <c r="X38" i="2"/>
  <c r="AA35" i="2"/>
  <c r="X34" i="2"/>
  <c r="AA31" i="2"/>
  <c r="X30" i="2"/>
  <c r="AA27" i="2"/>
  <c r="X26" i="2"/>
  <c r="AA23" i="2"/>
  <c r="X22" i="2"/>
  <c r="AA19" i="2"/>
  <c r="X18" i="2"/>
  <c r="AA15" i="2"/>
  <c r="X14" i="2"/>
  <c r="AA11" i="2"/>
  <c r="X10" i="2"/>
  <c r="AA7" i="2"/>
  <c r="X6" i="2"/>
  <c r="AA116" i="2"/>
  <c r="X115" i="2"/>
  <c r="AA112" i="2"/>
  <c r="X111" i="2"/>
  <c r="AA108" i="2"/>
  <c r="X107" i="2"/>
  <c r="AA104" i="2"/>
  <c r="X103" i="2"/>
  <c r="AA100" i="2"/>
  <c r="X99" i="2"/>
  <c r="AA96" i="2"/>
  <c r="X95" i="2"/>
  <c r="AA92" i="2"/>
  <c r="X91" i="2"/>
  <c r="AA88" i="2"/>
  <c r="X87" i="2"/>
  <c r="AA84" i="2"/>
  <c r="X83" i="2"/>
  <c r="AA80" i="2"/>
  <c r="X79" i="2"/>
  <c r="AA76" i="2"/>
  <c r="X75" i="2"/>
  <c r="AA72" i="2"/>
  <c r="X71" i="2"/>
  <c r="AA68" i="2"/>
  <c r="X67" i="2"/>
  <c r="AA64" i="2"/>
  <c r="X63" i="2"/>
  <c r="AA60" i="2"/>
  <c r="X59" i="2"/>
  <c r="AA56" i="2"/>
  <c r="X55" i="2"/>
  <c r="AA52" i="2"/>
  <c r="X51" i="2"/>
  <c r="AA48" i="2"/>
  <c r="X47" i="2"/>
  <c r="AA44" i="2"/>
  <c r="X43" i="2"/>
  <c r="AA40" i="2"/>
  <c r="X39" i="2"/>
  <c r="AA36" i="2"/>
  <c r="X35" i="2"/>
  <c r="AA32" i="2"/>
  <c r="X31" i="2"/>
  <c r="AA28" i="2"/>
  <c r="X27" i="2"/>
  <c r="AA24" i="2"/>
  <c r="X23" i="2"/>
  <c r="AA20" i="2"/>
  <c r="X19" i="2"/>
  <c r="AA16" i="2"/>
  <c r="X15" i="2"/>
  <c r="AA12" i="2"/>
  <c r="X11" i="2"/>
  <c r="AA8" i="2"/>
  <c r="X7" i="2"/>
  <c r="W116" i="2"/>
  <c r="W112" i="2"/>
  <c r="X109" i="2"/>
  <c r="W106" i="2"/>
  <c r="W103" i="2"/>
  <c r="X100" i="2"/>
  <c r="X97" i="2"/>
  <c r="W94" i="2"/>
  <c r="W91" i="2"/>
  <c r="X88" i="2"/>
  <c r="X85" i="2"/>
  <c r="W82" i="2"/>
  <c r="W79" i="2"/>
  <c r="X76" i="2"/>
  <c r="X73" i="2"/>
  <c r="W70" i="2"/>
  <c r="W67" i="2"/>
  <c r="X64" i="2"/>
  <c r="X61" i="2"/>
  <c r="W58" i="2"/>
  <c r="W55" i="2"/>
  <c r="X52" i="2"/>
  <c r="X49" i="2"/>
  <c r="W46" i="2"/>
  <c r="W43" i="2"/>
  <c r="X40" i="2"/>
  <c r="X37" i="2"/>
  <c r="W34" i="2"/>
  <c r="W31" i="2"/>
  <c r="X28" i="2"/>
  <c r="X25" i="2"/>
  <c r="W22" i="2"/>
  <c r="W19" i="2"/>
  <c r="X16" i="2"/>
  <c r="X13" i="2"/>
  <c r="W10" i="2"/>
  <c r="W7" i="2"/>
  <c r="AA110" i="2"/>
  <c r="W109" i="2"/>
  <c r="V106" i="2"/>
  <c r="V103" i="2"/>
  <c r="AA101" i="2"/>
  <c r="W100" i="2"/>
  <c r="AA98" i="2"/>
  <c r="W97" i="2"/>
  <c r="V94" i="2"/>
  <c r="V91" i="2"/>
  <c r="AA89" i="2"/>
  <c r="W88" i="2"/>
  <c r="AA86" i="2"/>
  <c r="W85" i="2"/>
  <c r="V82" i="2"/>
  <c r="V79" i="2"/>
  <c r="AA77" i="2"/>
  <c r="W76" i="2"/>
  <c r="AA74" i="2"/>
  <c r="W73" i="2"/>
  <c r="V70" i="2"/>
  <c r="V67" i="2"/>
  <c r="AA65" i="2"/>
  <c r="W64" i="2"/>
  <c r="AA62" i="2"/>
  <c r="W61" i="2"/>
  <c r="V58" i="2"/>
  <c r="V55" i="2"/>
  <c r="AA53" i="2"/>
  <c r="W52" i="2"/>
  <c r="AA50" i="2"/>
  <c r="W49" i="2"/>
  <c r="V46" i="2"/>
  <c r="V43" i="2"/>
  <c r="AA41" i="2"/>
  <c r="W40" i="2"/>
  <c r="AA38" i="2"/>
  <c r="W37" i="2"/>
  <c r="V34" i="2"/>
  <c r="V31" i="2"/>
  <c r="AA29" i="2"/>
  <c r="W28" i="2"/>
  <c r="AA26" i="2"/>
  <c r="W25" i="2"/>
  <c r="V22" i="2"/>
  <c r="AA17" i="2"/>
  <c r="W16" i="2"/>
  <c r="W115" i="2"/>
  <c r="AA113" i="2"/>
  <c r="V112" i="2"/>
  <c r="V115" i="2"/>
  <c r="W110" i="2"/>
  <c r="W107" i="2"/>
  <c r="X113" i="2"/>
  <c r="V104" i="2"/>
  <c r="V101" i="2"/>
  <c r="V92" i="2"/>
  <c r="V89" i="2"/>
  <c r="V80" i="2"/>
  <c r="V77" i="2"/>
  <c r="X116" i="2"/>
  <c r="V113" i="2"/>
  <c r="N24" i="1"/>
  <c r="O24" i="1" s="1"/>
  <c r="T60" i="1"/>
  <c r="X9" i="2"/>
  <c r="V14" i="2"/>
  <c r="W24" i="2"/>
  <c r="X29" i="2"/>
  <c r="W36" i="2"/>
  <c r="X41" i="2"/>
  <c r="W48" i="2"/>
  <c r="X53" i="2"/>
  <c r="W60" i="2"/>
  <c r="X65" i="2"/>
  <c r="AC65" i="2" s="1"/>
  <c r="W72" i="2"/>
  <c r="V81" i="2"/>
  <c r="V86" i="2"/>
  <c r="X93" i="2"/>
  <c r="V100" i="2"/>
  <c r="W111" i="2"/>
  <c r="W113" i="2"/>
  <c r="H7" i="9"/>
  <c r="C28" i="9"/>
  <c r="H28" i="9" s="1"/>
  <c r="G32" i="1"/>
  <c r="N25" i="1"/>
  <c r="O25" i="1" s="1"/>
  <c r="V23" i="2"/>
  <c r="V35" i="2"/>
  <c r="V47" i="2"/>
  <c r="V59" i="2"/>
  <c r="V71" i="2"/>
  <c r="V78" i="2"/>
  <c r="AA81" i="2"/>
  <c r="V85" i="2"/>
  <c r="X92" i="2"/>
  <c r="V99" i="2"/>
  <c r="AA102" i="2"/>
  <c r="W108" i="2"/>
  <c r="V114" i="2"/>
  <c r="V116" i="2"/>
  <c r="S48" i="4"/>
  <c r="O53" i="3"/>
  <c r="C53" i="3"/>
  <c r="J53" i="3"/>
  <c r="I53" i="3"/>
  <c r="H53" i="3"/>
  <c r="G53" i="3"/>
  <c r="E53" i="3"/>
  <c r="D53" i="3"/>
  <c r="N53" i="3"/>
  <c r="F53" i="3"/>
  <c r="B53" i="3"/>
  <c r="S51" i="3"/>
  <c r="S56" i="3"/>
  <c r="S54" i="4"/>
  <c r="S40" i="5"/>
  <c r="K65" i="1"/>
  <c r="AA6" i="2"/>
  <c r="X8" i="2"/>
  <c r="W13" i="2"/>
  <c r="V18" i="2"/>
  <c r="L17" i="1"/>
  <c r="L65" i="1"/>
  <c r="T69" i="1"/>
  <c r="T63" i="1"/>
  <c r="W18" i="2"/>
  <c r="W23" i="2"/>
  <c r="V30" i="2"/>
  <c r="W35" i="2"/>
  <c r="V42" i="2"/>
  <c r="W47" i="2"/>
  <c r="V54" i="2"/>
  <c r="W59" i="2"/>
  <c r="V66" i="2"/>
  <c r="W71" i="2"/>
  <c r="W78" i="2"/>
  <c r="W80" i="2"/>
  <c r="AA97" i="2"/>
  <c r="W99" i="2"/>
  <c r="W101" i="2"/>
  <c r="X108" i="2"/>
  <c r="V110" i="2"/>
  <c r="X112" i="2"/>
  <c r="W114" i="2"/>
  <c r="S42" i="3"/>
  <c r="T64" i="1"/>
  <c r="T68" i="1"/>
  <c r="N22" i="1"/>
  <c r="O22" i="1" s="1"/>
  <c r="V20" i="2"/>
  <c r="AA21" i="2"/>
  <c r="V25" i="2"/>
  <c r="W30" i="2"/>
  <c r="V32" i="2"/>
  <c r="AA33" i="2"/>
  <c r="V37" i="2"/>
  <c r="W42" i="2"/>
  <c r="V44" i="2"/>
  <c r="AA45" i="2"/>
  <c r="V49" i="2"/>
  <c r="W54" i="2"/>
  <c r="V56" i="2"/>
  <c r="AA57" i="2"/>
  <c r="V61" i="2"/>
  <c r="W66" i="2"/>
  <c r="V68" i="2"/>
  <c r="AA69" i="2"/>
  <c r="V73" i="2"/>
  <c r="X80" i="2"/>
  <c r="V87" i="2"/>
  <c r="AA90" i="2"/>
  <c r="V96" i="2"/>
  <c r="X101" i="2"/>
  <c r="AA106" i="2"/>
  <c r="G48" i="3"/>
  <c r="K53" i="3"/>
  <c r="S65" i="8"/>
  <c r="S66" i="8"/>
  <c r="S56" i="8"/>
  <c r="S47" i="8"/>
  <c r="S38" i="8"/>
  <c r="S63" i="7"/>
  <c r="S54" i="7"/>
  <c r="S59" i="8"/>
  <c r="S58" i="8"/>
  <c r="S57" i="8"/>
  <c r="S55" i="8"/>
  <c r="S54" i="8"/>
  <c r="S52" i="7"/>
  <c r="S45" i="7"/>
  <c r="S55" i="7"/>
  <c r="S42" i="7"/>
  <c r="S62" i="8"/>
  <c r="S49" i="8"/>
  <c r="S40" i="6"/>
  <c r="S57" i="5"/>
  <c r="S48" i="5"/>
  <c r="S70" i="4"/>
  <c r="S67" i="4"/>
  <c r="S64" i="4"/>
  <c r="S61" i="4"/>
  <c r="S58" i="4"/>
  <c r="S55" i="4"/>
  <c r="S52" i="4"/>
  <c r="S49" i="4"/>
  <c r="S46" i="4"/>
  <c r="S43" i="4"/>
  <c r="S40" i="4"/>
  <c r="S45" i="8"/>
  <c r="S59" i="7"/>
  <c r="S43" i="6"/>
  <c r="S60" i="5"/>
  <c r="S37" i="8"/>
  <c r="S51" i="7"/>
  <c r="S45" i="6"/>
  <c r="S41" i="6"/>
  <c r="S39" i="6"/>
  <c r="S38" i="6"/>
  <c r="S63" i="5"/>
  <c r="S49" i="5"/>
  <c r="S52" i="8"/>
  <c r="S66" i="7"/>
  <c r="S62" i="7"/>
  <c r="S57" i="7"/>
  <c r="S48" i="7"/>
  <c r="S50" i="6"/>
  <c r="S54" i="5"/>
  <c r="S46" i="5"/>
  <c r="S53" i="8"/>
  <c r="S54" i="6"/>
  <c r="S51" i="5"/>
  <c r="S42" i="8"/>
  <c r="S60" i="7"/>
  <c r="S55" i="6"/>
  <c r="S53" i="4"/>
  <c r="S64" i="3"/>
  <c r="S55" i="3"/>
  <c r="S46" i="3"/>
  <c r="S40" i="8"/>
  <c r="S65" i="7"/>
  <c r="S53" i="7"/>
  <c r="S40" i="7"/>
  <c r="S52" i="6"/>
  <c r="S55" i="5"/>
  <c r="S69" i="4"/>
  <c r="S44" i="4"/>
  <c r="S46" i="7"/>
  <c r="S46" i="6"/>
  <c r="S56" i="5"/>
  <c r="S50" i="5"/>
  <c r="S64" i="8"/>
  <c r="S56" i="7"/>
  <c r="S56" i="6"/>
  <c r="S42" i="5"/>
  <c r="S41" i="5"/>
  <c r="S50" i="4"/>
  <c r="S42" i="4"/>
  <c r="S60" i="8"/>
  <c r="S43" i="8"/>
  <c r="S61" i="7"/>
  <c r="S49" i="7"/>
  <c r="S41" i="7"/>
  <c r="S53" i="6"/>
  <c r="S61" i="5"/>
  <c r="S43" i="5"/>
  <c r="S66" i="4"/>
  <c r="S61" i="8"/>
  <c r="S51" i="8"/>
  <c r="S48" i="8"/>
  <c r="S41" i="8"/>
  <c r="S47" i="7"/>
  <c r="S57" i="6"/>
  <c r="S47" i="6"/>
  <c r="S59" i="5"/>
  <c r="S63" i="4"/>
  <c r="S59" i="4"/>
  <c r="S50" i="7"/>
  <c r="S44" i="8"/>
  <c r="S42" i="6"/>
  <c r="S52" i="5"/>
  <c r="S44" i="5"/>
  <c r="S63" i="3"/>
  <c r="S63" i="8"/>
  <c r="S50" i="8"/>
  <c r="S49" i="6"/>
  <c r="S44" i="6"/>
  <c r="S68" i="4"/>
  <c r="S60" i="4"/>
  <c r="S56" i="4"/>
  <c r="S51" i="4"/>
  <c r="S65" i="3"/>
  <c r="S62" i="3"/>
  <c r="S61" i="3"/>
  <c r="S59" i="3"/>
  <c r="S58" i="3"/>
  <c r="S39" i="8"/>
  <c r="S43" i="7"/>
  <c r="S62" i="5"/>
  <c r="S45" i="5"/>
  <c r="S41" i="4"/>
  <c r="S47" i="3"/>
  <c r="S44" i="3"/>
  <c r="S43" i="3"/>
  <c r="S41" i="3"/>
  <c r="S51" i="6"/>
  <c r="S65" i="4"/>
  <c r="S39" i="4"/>
  <c r="S64" i="7"/>
  <c r="S58" i="7"/>
  <c r="S45" i="4"/>
  <c r="S57" i="3"/>
  <c r="S52" i="3"/>
  <c r="S47" i="4"/>
  <c r="S50" i="3"/>
  <c r="S62" i="4"/>
  <c r="S57" i="4"/>
  <c r="S60" i="3"/>
  <c r="S46" i="8"/>
  <c r="S58" i="5"/>
  <c r="S45" i="3"/>
  <c r="S67" i="7"/>
  <c r="V12" i="2"/>
  <c r="AA13" i="2"/>
  <c r="V15" i="2"/>
  <c r="W20" i="2"/>
  <c r="W32" i="2"/>
  <c r="W44" i="2"/>
  <c r="W56" i="2"/>
  <c r="W68" i="2"/>
  <c r="AA85" i="2"/>
  <c r="W87" i="2"/>
  <c r="W89" i="2"/>
  <c r="W96" i="2"/>
  <c r="V105" i="2"/>
  <c r="L53" i="3"/>
  <c r="K48" i="3"/>
  <c r="L48" i="3"/>
  <c r="J48" i="3"/>
  <c r="I48" i="3"/>
  <c r="H48" i="3"/>
  <c r="F48" i="3"/>
  <c r="E48" i="3"/>
  <c r="D48" i="3"/>
  <c r="C48" i="3"/>
  <c r="B48" i="3"/>
  <c r="O48" i="3"/>
  <c r="G27" i="1"/>
  <c r="N65" i="1"/>
  <c r="V10" i="2"/>
  <c r="G31" i="1"/>
  <c r="L31" i="1"/>
  <c r="T61" i="1"/>
  <c r="V7" i="2"/>
  <c r="W12" i="2"/>
  <c r="W15" i="2"/>
  <c r="V17" i="2"/>
  <c r="AA18" i="2"/>
  <c r="X20" i="2"/>
  <c r="V27" i="2"/>
  <c r="X32" i="2"/>
  <c r="V39" i="2"/>
  <c r="X44" i="2"/>
  <c r="V51" i="2"/>
  <c r="X56" i="2"/>
  <c r="AC56" i="2" s="1"/>
  <c r="V63" i="2"/>
  <c r="X68" i="2"/>
  <c r="V75" i="2"/>
  <c r="AA78" i="2"/>
  <c r="V84" i="2"/>
  <c r="X89" i="2"/>
  <c r="AA94" i="2"/>
  <c r="X96" i="2"/>
  <c r="W105" i="2"/>
  <c r="AA114" i="2"/>
  <c r="N48" i="3"/>
  <c r="M53" i="3"/>
  <c r="A6" i="8"/>
  <c r="A6" i="5"/>
  <c r="A6" i="4"/>
  <c r="A6" i="6"/>
  <c r="E28" i="9"/>
  <c r="A6" i="7"/>
  <c r="F28" i="9"/>
  <c r="G28" i="9"/>
  <c r="G27" i="12"/>
  <c r="G62" i="12"/>
  <c r="G22" i="12"/>
  <c r="G64" i="12"/>
  <c r="G53" i="12"/>
  <c r="G14" i="12"/>
  <c r="G43" i="12"/>
  <c r="G20" i="12"/>
  <c r="G36" i="12"/>
  <c r="G52" i="12"/>
  <c r="G68" i="12"/>
  <c r="G31" i="12"/>
  <c r="G47" i="12"/>
  <c r="G63" i="12"/>
  <c r="G12" i="12"/>
  <c r="G28" i="12"/>
  <c r="G44" i="12"/>
  <c r="G61" i="12"/>
  <c r="G8" i="12"/>
  <c r="G24" i="12"/>
  <c r="G40" i="12"/>
  <c r="G35" i="12"/>
  <c r="G51" i="12"/>
  <c r="G67" i="12"/>
  <c r="AC67" i="2" l="1"/>
  <c r="AC33" i="2"/>
  <c r="AC24" i="2"/>
  <c r="AC53" i="2"/>
  <c r="P46" i="5" s="1"/>
  <c r="AC62" i="2"/>
  <c r="P55" i="5" s="1"/>
  <c r="AC48" i="2"/>
  <c r="P41" i="5" s="1"/>
  <c r="AC29" i="2"/>
  <c r="P45" i="4" s="1"/>
  <c r="AC77" i="2"/>
  <c r="P42" i="7" s="1"/>
  <c r="AC50" i="2"/>
  <c r="AC12" i="2"/>
  <c r="P47" i="3" s="1"/>
  <c r="AC36" i="2"/>
  <c r="P52" i="4" s="1"/>
  <c r="L62" i="1"/>
  <c r="AC38" i="2"/>
  <c r="P54" i="4" s="1"/>
  <c r="N62" i="1"/>
  <c r="AC60" i="2"/>
  <c r="P53" i="5" s="1"/>
  <c r="AC116" i="2"/>
  <c r="P58" i="8" s="1"/>
  <c r="AC40" i="2"/>
  <c r="AC27" i="2"/>
  <c r="P43" i="4" s="1"/>
  <c r="AC51" i="2"/>
  <c r="P44" i="5" s="1"/>
  <c r="AC99" i="2"/>
  <c r="P41" i="8" s="1"/>
  <c r="AC10" i="2"/>
  <c r="P45" i="3" s="1"/>
  <c r="AC34" i="2"/>
  <c r="P50" i="4" s="1"/>
  <c r="AC58" i="2"/>
  <c r="P51" i="5" s="1"/>
  <c r="AC82" i="2"/>
  <c r="P47" i="7" s="1"/>
  <c r="AC106" i="2"/>
  <c r="P48" i="8" s="1"/>
  <c r="AC81" i="2"/>
  <c r="P46" i="7" s="1"/>
  <c r="AC17" i="2"/>
  <c r="AC45" i="2"/>
  <c r="P61" i="4" s="1"/>
  <c r="AC105" i="2"/>
  <c r="P47" i="8" s="1"/>
  <c r="D6" i="5"/>
  <c r="A7" i="5" s="1"/>
  <c r="AC80" i="2"/>
  <c r="P45" i="7" s="1"/>
  <c r="AC96" i="2"/>
  <c r="P38" i="8" s="1"/>
  <c r="AC92" i="2"/>
  <c r="P57" i="7" s="1"/>
  <c r="AC55" i="2"/>
  <c r="P48" i="5" s="1"/>
  <c r="AC14" i="2"/>
  <c r="P49" i="3" s="1"/>
  <c r="AC86" i="2"/>
  <c r="P51" i="7" s="1"/>
  <c r="AC73" i="2"/>
  <c r="P48" i="6" s="1"/>
  <c r="AC41" i="2"/>
  <c r="P57" i="4" s="1"/>
  <c r="AC49" i="2"/>
  <c r="AC57" i="2"/>
  <c r="P50" i="5" s="1"/>
  <c r="AC89" i="2"/>
  <c r="P54" i="7" s="1"/>
  <c r="AC11" i="2"/>
  <c r="P46" i="3" s="1"/>
  <c r="D6" i="6"/>
  <c r="A7" i="6" s="1"/>
  <c r="AC32" i="2"/>
  <c r="P48" i="4" s="1"/>
  <c r="AC83" i="2"/>
  <c r="P48" i="7" s="1"/>
  <c r="AC93" i="2"/>
  <c r="P58" i="7" s="1"/>
  <c r="AC113" i="2"/>
  <c r="P55" i="8" s="1"/>
  <c r="AC61" i="2"/>
  <c r="P54" i="5" s="1"/>
  <c r="AC112" i="2"/>
  <c r="P54" i="8" s="1"/>
  <c r="AC8" i="2"/>
  <c r="P43" i="3" s="1"/>
  <c r="AC20" i="2"/>
  <c r="P55" i="3" s="1"/>
  <c r="AC69" i="2"/>
  <c r="P44" i="6" s="1"/>
  <c r="AC39" i="2"/>
  <c r="P55" i="4" s="1"/>
  <c r="AC111" i="2"/>
  <c r="P53" i="8" s="1"/>
  <c r="AC101" i="2"/>
  <c r="P43" i="8" s="1"/>
  <c r="AC21" i="2"/>
  <c r="P56" i="3" s="1"/>
  <c r="AC90" i="2"/>
  <c r="P55" i="7" s="1"/>
  <c r="M24" i="1"/>
  <c r="AC25" i="2"/>
  <c r="P41" i="4" s="1"/>
  <c r="AC97" i="2"/>
  <c r="P39" i="8" s="1"/>
  <c r="D6" i="3"/>
  <c r="A7" i="3" s="1"/>
  <c r="AC9" i="2"/>
  <c r="P44" i="3" s="1"/>
  <c r="AC64" i="2"/>
  <c r="P39" i="6" s="1"/>
  <c r="AC19" i="2"/>
  <c r="P54" i="3" s="1"/>
  <c r="AC43" i="2"/>
  <c r="P59" i="4" s="1"/>
  <c r="AC91" i="2"/>
  <c r="P56" i="7" s="1"/>
  <c r="AC115" i="2"/>
  <c r="P57" i="8" s="1"/>
  <c r="AC26" i="2"/>
  <c r="P42" i="4" s="1"/>
  <c r="AC74" i="2"/>
  <c r="P49" i="6" s="1"/>
  <c r="AC98" i="2"/>
  <c r="P40" i="8" s="1"/>
  <c r="AC72" i="2"/>
  <c r="P47" i="6" s="1"/>
  <c r="AC78" i="2"/>
  <c r="P43" i="7" s="1"/>
  <c r="AC102" i="2"/>
  <c r="P44" i="8" s="1"/>
  <c r="P58" i="5"/>
  <c r="D58" i="5"/>
  <c r="N58" i="5"/>
  <c r="J58" i="5"/>
  <c r="C58" i="5"/>
  <c r="M58" i="5"/>
  <c r="H58" i="5"/>
  <c r="K58" i="5"/>
  <c r="I58" i="5"/>
  <c r="F58" i="5"/>
  <c r="E58" i="5"/>
  <c r="B58" i="5"/>
  <c r="L58" i="5"/>
  <c r="G58" i="5"/>
  <c r="O58" i="5"/>
  <c r="I39" i="4"/>
  <c r="L39" i="4"/>
  <c r="M39" i="4"/>
  <c r="K39" i="4"/>
  <c r="G39" i="4"/>
  <c r="E39" i="4"/>
  <c r="D39" i="4"/>
  <c r="B39" i="4"/>
  <c r="N39" i="4"/>
  <c r="O39" i="4"/>
  <c r="J39" i="4"/>
  <c r="H39" i="4"/>
  <c r="F39" i="4"/>
  <c r="C39" i="4"/>
  <c r="K47" i="7"/>
  <c r="L47" i="7"/>
  <c r="C47" i="7"/>
  <c r="I47" i="7"/>
  <c r="E47" i="7"/>
  <c r="M47" i="7"/>
  <c r="F47" i="7"/>
  <c r="G47" i="7"/>
  <c r="D47" i="7"/>
  <c r="N47" i="7"/>
  <c r="J47" i="7"/>
  <c r="O47" i="7"/>
  <c r="H47" i="7"/>
  <c r="B47" i="7"/>
  <c r="M53" i="4"/>
  <c r="J53" i="4"/>
  <c r="C53" i="4"/>
  <c r="B53" i="4"/>
  <c r="L53" i="4"/>
  <c r="I53" i="4"/>
  <c r="H53" i="4"/>
  <c r="F53" i="4"/>
  <c r="E53" i="4"/>
  <c r="O53" i="4"/>
  <c r="N53" i="4"/>
  <c r="K53" i="4"/>
  <c r="D53" i="4"/>
  <c r="G53" i="4"/>
  <c r="H43" i="6"/>
  <c r="I43" i="6"/>
  <c r="D43" i="6"/>
  <c r="O43" i="6"/>
  <c r="K43" i="6"/>
  <c r="E43" i="6"/>
  <c r="C43" i="6"/>
  <c r="B43" i="6"/>
  <c r="J43" i="6"/>
  <c r="G43" i="6"/>
  <c r="M43" i="6"/>
  <c r="L43" i="6"/>
  <c r="F43" i="6"/>
  <c r="N43" i="6"/>
  <c r="M65" i="4"/>
  <c r="O65" i="4"/>
  <c r="B65" i="4"/>
  <c r="J65" i="4"/>
  <c r="I65" i="4"/>
  <c r="F65" i="4"/>
  <c r="E65" i="4"/>
  <c r="H65" i="4"/>
  <c r="G65" i="4"/>
  <c r="C65" i="4"/>
  <c r="P65" i="4"/>
  <c r="N65" i="4"/>
  <c r="L65" i="4"/>
  <c r="K65" i="4"/>
  <c r="D65" i="4"/>
  <c r="J60" i="8"/>
  <c r="G60" i="8"/>
  <c r="K60" i="8"/>
  <c r="P60" i="8"/>
  <c r="E60" i="8"/>
  <c r="L60" i="8"/>
  <c r="D60" i="8"/>
  <c r="M60" i="8"/>
  <c r="C60" i="8"/>
  <c r="O60" i="8"/>
  <c r="N60" i="8"/>
  <c r="I60" i="8"/>
  <c r="H60" i="8"/>
  <c r="F60" i="8"/>
  <c r="B60" i="8"/>
  <c r="M44" i="4"/>
  <c r="J44" i="4"/>
  <c r="D44" i="4"/>
  <c r="C44" i="4"/>
  <c r="N44" i="4"/>
  <c r="B44" i="4"/>
  <c r="O44" i="4"/>
  <c r="H44" i="4"/>
  <c r="G44" i="4"/>
  <c r="F44" i="4"/>
  <c r="E44" i="4"/>
  <c r="L44" i="4"/>
  <c r="K44" i="4"/>
  <c r="I44" i="4"/>
  <c r="F59" i="7"/>
  <c r="O59" i="7"/>
  <c r="B59" i="7"/>
  <c r="E59" i="7"/>
  <c r="J59" i="7"/>
  <c r="G59" i="7"/>
  <c r="L59" i="7"/>
  <c r="D59" i="7"/>
  <c r="H59" i="7"/>
  <c r="C59" i="7"/>
  <c r="N59" i="7"/>
  <c r="M59" i="7"/>
  <c r="K59" i="7"/>
  <c r="I59" i="7"/>
  <c r="AC100" i="2"/>
  <c r="P42" i="8" s="1"/>
  <c r="K54" i="3"/>
  <c r="G54" i="3"/>
  <c r="F54" i="3"/>
  <c r="I54" i="3"/>
  <c r="H54" i="3"/>
  <c r="D54" i="3"/>
  <c r="C54" i="3"/>
  <c r="N54" i="3"/>
  <c r="O54" i="3"/>
  <c r="M54" i="3"/>
  <c r="L54" i="3"/>
  <c r="J54" i="3"/>
  <c r="E54" i="3"/>
  <c r="B54" i="3"/>
  <c r="AC44" i="2"/>
  <c r="P60" i="4" s="1"/>
  <c r="K60" i="3"/>
  <c r="P60" i="3"/>
  <c r="C60" i="3"/>
  <c r="O60" i="3"/>
  <c r="B60" i="3"/>
  <c r="G60" i="3"/>
  <c r="F60" i="3"/>
  <c r="D60" i="3"/>
  <c r="L60" i="3"/>
  <c r="N60" i="3"/>
  <c r="J60" i="3"/>
  <c r="M60" i="3"/>
  <c r="I60" i="3"/>
  <c r="H60" i="3"/>
  <c r="E60" i="3"/>
  <c r="L51" i="6"/>
  <c r="P51" i="6"/>
  <c r="D51" i="6"/>
  <c r="H51" i="6"/>
  <c r="C51" i="6"/>
  <c r="G51" i="6"/>
  <c r="M51" i="6"/>
  <c r="K51" i="6"/>
  <c r="J51" i="6"/>
  <c r="F51" i="6"/>
  <c r="E51" i="6"/>
  <c r="B51" i="6"/>
  <c r="N51" i="6"/>
  <c r="O51" i="6"/>
  <c r="I51" i="6"/>
  <c r="G61" i="3"/>
  <c r="M61" i="3"/>
  <c r="L61" i="3"/>
  <c r="F61" i="3"/>
  <c r="E61" i="3"/>
  <c r="C61" i="3"/>
  <c r="B61" i="3"/>
  <c r="K61" i="3"/>
  <c r="N61" i="3"/>
  <c r="J61" i="3"/>
  <c r="I61" i="3"/>
  <c r="H61" i="3"/>
  <c r="D61" i="3"/>
  <c r="O61" i="3"/>
  <c r="P61" i="3"/>
  <c r="L44" i="5"/>
  <c r="C44" i="5"/>
  <c r="J44" i="5"/>
  <c r="F44" i="5"/>
  <c r="H44" i="5"/>
  <c r="G44" i="5"/>
  <c r="D44" i="5"/>
  <c r="B44" i="5"/>
  <c r="O44" i="5"/>
  <c r="I44" i="5"/>
  <c r="N44" i="5"/>
  <c r="K44" i="5"/>
  <c r="E44" i="5"/>
  <c r="M44" i="5"/>
  <c r="J48" i="8"/>
  <c r="G48" i="8"/>
  <c r="O48" i="8"/>
  <c r="D48" i="8"/>
  <c r="I48" i="8"/>
  <c r="N48" i="8"/>
  <c r="H48" i="8"/>
  <c r="F48" i="8"/>
  <c r="L48" i="8"/>
  <c r="K48" i="8"/>
  <c r="C48" i="8"/>
  <c r="B48" i="8"/>
  <c r="M48" i="8"/>
  <c r="E48" i="8"/>
  <c r="I42" i="4"/>
  <c r="C42" i="4"/>
  <c r="G42" i="4"/>
  <c r="F42" i="4"/>
  <c r="B42" i="4"/>
  <c r="N42" i="4"/>
  <c r="M42" i="4"/>
  <c r="K42" i="4"/>
  <c r="J42" i="4"/>
  <c r="E42" i="4"/>
  <c r="D42" i="4"/>
  <c r="H42" i="4"/>
  <c r="L42" i="4"/>
  <c r="O42" i="4"/>
  <c r="I69" i="4"/>
  <c r="P69" i="4"/>
  <c r="C69" i="4"/>
  <c r="D69" i="4"/>
  <c r="B69" i="4"/>
  <c r="M69" i="4"/>
  <c r="L69" i="4"/>
  <c r="H69" i="4"/>
  <c r="G69" i="4"/>
  <c r="E69" i="4"/>
  <c r="O69" i="4"/>
  <c r="N69" i="4"/>
  <c r="K69" i="4"/>
  <c r="J69" i="4"/>
  <c r="F69" i="4"/>
  <c r="N60" i="7"/>
  <c r="B60" i="7"/>
  <c r="L60" i="7"/>
  <c r="D60" i="7"/>
  <c r="H60" i="7"/>
  <c r="G60" i="7"/>
  <c r="P60" i="7"/>
  <c r="J60" i="7"/>
  <c r="C60" i="7"/>
  <c r="O60" i="7"/>
  <c r="K60" i="7"/>
  <c r="I60" i="7"/>
  <c r="F60" i="7"/>
  <c r="M60" i="7"/>
  <c r="E60" i="7"/>
  <c r="F52" i="8"/>
  <c r="O52" i="8"/>
  <c r="C52" i="8"/>
  <c r="I52" i="8"/>
  <c r="B52" i="8"/>
  <c r="H52" i="8"/>
  <c r="G52" i="8"/>
  <c r="D52" i="8"/>
  <c r="L52" i="8"/>
  <c r="J52" i="8"/>
  <c r="E52" i="8"/>
  <c r="M52" i="8"/>
  <c r="K52" i="8"/>
  <c r="N52" i="8"/>
  <c r="J45" i="8"/>
  <c r="G45" i="8"/>
  <c r="E45" i="8"/>
  <c r="D45" i="8"/>
  <c r="K45" i="8"/>
  <c r="F45" i="8"/>
  <c r="B45" i="8"/>
  <c r="L45" i="8"/>
  <c r="O45" i="8"/>
  <c r="I45" i="8"/>
  <c r="H45" i="8"/>
  <c r="C45" i="8"/>
  <c r="N45" i="8"/>
  <c r="M45" i="8"/>
  <c r="H48" i="5"/>
  <c r="D48" i="5"/>
  <c r="C48" i="5"/>
  <c r="M48" i="5"/>
  <c r="I48" i="5"/>
  <c r="O48" i="5"/>
  <c r="N48" i="5"/>
  <c r="K48" i="5"/>
  <c r="J48" i="5"/>
  <c r="G48" i="5"/>
  <c r="B48" i="5"/>
  <c r="L48" i="5"/>
  <c r="F48" i="5"/>
  <c r="E48" i="5"/>
  <c r="F58" i="8"/>
  <c r="O58" i="8"/>
  <c r="C58" i="8"/>
  <c r="M58" i="8"/>
  <c r="G58" i="8"/>
  <c r="E58" i="8"/>
  <c r="L58" i="8"/>
  <c r="H58" i="8"/>
  <c r="B58" i="8"/>
  <c r="J58" i="8"/>
  <c r="I58" i="8"/>
  <c r="D58" i="8"/>
  <c r="N58" i="8"/>
  <c r="K58" i="8"/>
  <c r="K42" i="3"/>
  <c r="C42" i="3"/>
  <c r="O42" i="3"/>
  <c r="B42" i="3"/>
  <c r="L42" i="3"/>
  <c r="J42" i="3"/>
  <c r="G42" i="3"/>
  <c r="F42" i="3"/>
  <c r="E42" i="3"/>
  <c r="D42" i="3"/>
  <c r="N42" i="3"/>
  <c r="H42" i="3"/>
  <c r="I42" i="3"/>
  <c r="M42" i="3"/>
  <c r="N60" i="1"/>
  <c r="L60" i="1"/>
  <c r="K70" i="1"/>
  <c r="K60" i="1"/>
  <c r="O60" i="1"/>
  <c r="G49" i="3"/>
  <c r="I49" i="3"/>
  <c r="H49" i="3"/>
  <c r="K49" i="3"/>
  <c r="J49" i="3"/>
  <c r="E49" i="3"/>
  <c r="D49" i="3"/>
  <c r="O49" i="3"/>
  <c r="N49" i="3"/>
  <c r="M49" i="3"/>
  <c r="L49" i="3"/>
  <c r="F49" i="3"/>
  <c r="C49" i="3"/>
  <c r="B49" i="3"/>
  <c r="M26" i="1"/>
  <c r="I57" i="4"/>
  <c r="L57" i="4"/>
  <c r="J57" i="4"/>
  <c r="H57" i="4"/>
  <c r="E57" i="4"/>
  <c r="D57" i="4"/>
  <c r="G57" i="4"/>
  <c r="F57" i="4"/>
  <c r="B57" i="4"/>
  <c r="O57" i="4"/>
  <c r="M57" i="4"/>
  <c r="K57" i="4"/>
  <c r="C57" i="4"/>
  <c r="N57" i="4"/>
  <c r="O41" i="3"/>
  <c r="C41" i="3"/>
  <c r="F41" i="3"/>
  <c r="L41" i="3"/>
  <c r="K41" i="3"/>
  <c r="H41" i="3"/>
  <c r="B41" i="3"/>
  <c r="N41" i="3"/>
  <c r="M41" i="3"/>
  <c r="J41" i="3"/>
  <c r="G41" i="3"/>
  <c r="I41" i="3"/>
  <c r="E41" i="3"/>
  <c r="D41" i="3"/>
  <c r="O62" i="3"/>
  <c r="C62" i="3"/>
  <c r="J62" i="3"/>
  <c r="I62" i="3"/>
  <c r="F62" i="3"/>
  <c r="E62" i="3"/>
  <c r="B62" i="3"/>
  <c r="L62" i="3"/>
  <c r="P62" i="3"/>
  <c r="N62" i="3"/>
  <c r="M62" i="3"/>
  <c r="K62" i="3"/>
  <c r="G62" i="3"/>
  <c r="H62" i="3"/>
  <c r="D62" i="3"/>
  <c r="D52" i="5"/>
  <c r="F52" i="5"/>
  <c r="K52" i="5"/>
  <c r="G52" i="5"/>
  <c r="O52" i="5"/>
  <c r="I52" i="5"/>
  <c r="H52" i="5"/>
  <c r="C52" i="5"/>
  <c r="B52" i="5"/>
  <c r="N52" i="5"/>
  <c r="E52" i="5"/>
  <c r="M52" i="5"/>
  <c r="L52" i="5"/>
  <c r="J52" i="5"/>
  <c r="J51" i="8"/>
  <c r="G51" i="8"/>
  <c r="K51" i="8"/>
  <c r="C51" i="8"/>
  <c r="H51" i="8"/>
  <c r="D51" i="8"/>
  <c r="M51" i="8"/>
  <c r="E51" i="8"/>
  <c r="O51" i="8"/>
  <c r="N51" i="8"/>
  <c r="L51" i="8"/>
  <c r="I51" i="8"/>
  <c r="F51" i="8"/>
  <c r="B51" i="8"/>
  <c r="M50" i="4"/>
  <c r="F50" i="4"/>
  <c r="H50" i="4"/>
  <c r="G50" i="4"/>
  <c r="C50" i="4"/>
  <c r="O50" i="4"/>
  <c r="N50" i="4"/>
  <c r="I50" i="4"/>
  <c r="J50" i="4"/>
  <c r="E50" i="4"/>
  <c r="D50" i="4"/>
  <c r="B50" i="4"/>
  <c r="L50" i="4"/>
  <c r="K50" i="4"/>
  <c r="D55" i="5"/>
  <c r="J55" i="5"/>
  <c r="F55" i="5"/>
  <c r="O55" i="5"/>
  <c r="K55" i="5"/>
  <c r="M55" i="5"/>
  <c r="L55" i="5"/>
  <c r="I55" i="5"/>
  <c r="H55" i="5"/>
  <c r="G55" i="5"/>
  <c r="C55" i="5"/>
  <c r="B55" i="5"/>
  <c r="N55" i="5"/>
  <c r="E55" i="5"/>
  <c r="J42" i="8"/>
  <c r="G42" i="8"/>
  <c r="K42" i="8"/>
  <c r="E42" i="8"/>
  <c r="L42" i="8"/>
  <c r="I42" i="8"/>
  <c r="D42" i="8"/>
  <c r="N42" i="8"/>
  <c r="O42" i="8"/>
  <c r="H42" i="8"/>
  <c r="F42" i="8"/>
  <c r="C42" i="8"/>
  <c r="B42" i="8"/>
  <c r="M42" i="8"/>
  <c r="P49" i="5"/>
  <c r="D49" i="5"/>
  <c r="N49" i="5"/>
  <c r="B49" i="5"/>
  <c r="K49" i="5"/>
  <c r="G49" i="5"/>
  <c r="M49" i="5"/>
  <c r="L49" i="5"/>
  <c r="J49" i="5"/>
  <c r="H49" i="5"/>
  <c r="F49" i="5"/>
  <c r="C49" i="5"/>
  <c r="O49" i="5"/>
  <c r="I49" i="5"/>
  <c r="E49" i="5"/>
  <c r="E40" i="4"/>
  <c r="I40" i="4"/>
  <c r="K40" i="4"/>
  <c r="J40" i="4"/>
  <c r="F40" i="4"/>
  <c r="H40" i="4"/>
  <c r="G40" i="4"/>
  <c r="C40" i="4"/>
  <c r="B40" i="4"/>
  <c r="O40" i="4"/>
  <c r="D40" i="4"/>
  <c r="P40" i="4"/>
  <c r="N40" i="4"/>
  <c r="M40" i="4"/>
  <c r="L40" i="4"/>
  <c r="H57" i="5"/>
  <c r="D57" i="5"/>
  <c r="M57" i="5"/>
  <c r="C57" i="5"/>
  <c r="N57" i="5"/>
  <c r="I57" i="5"/>
  <c r="F57" i="5"/>
  <c r="E57" i="5"/>
  <c r="L57" i="5"/>
  <c r="K57" i="5"/>
  <c r="G57" i="5"/>
  <c r="B57" i="5"/>
  <c r="P57" i="5"/>
  <c r="O57" i="5"/>
  <c r="J57" i="5"/>
  <c r="N59" i="8"/>
  <c r="B59" i="8"/>
  <c r="K59" i="8"/>
  <c r="L59" i="8"/>
  <c r="F59" i="8"/>
  <c r="H59" i="8"/>
  <c r="C59" i="8"/>
  <c r="E59" i="8"/>
  <c r="M59" i="8"/>
  <c r="P59" i="8"/>
  <c r="O59" i="8"/>
  <c r="I59" i="8"/>
  <c r="G59" i="8"/>
  <c r="D59" i="8"/>
  <c r="J59" i="8"/>
  <c r="L6" i="4"/>
  <c r="AC23" i="2"/>
  <c r="P39" i="4" s="1"/>
  <c r="J22" i="1"/>
  <c r="AC47" i="2"/>
  <c r="P40" i="5" s="1"/>
  <c r="L6" i="5"/>
  <c r="J23" i="1"/>
  <c r="AC71" i="2"/>
  <c r="L6" i="8"/>
  <c r="AC95" i="2"/>
  <c r="P37" i="8" s="1"/>
  <c r="J26" i="1"/>
  <c r="J21" i="1"/>
  <c r="L6" i="3"/>
  <c r="AC6" i="2"/>
  <c r="P41" i="3" s="1"/>
  <c r="N16" i="1"/>
  <c r="AC30" i="2"/>
  <c r="P46" i="4" s="1"/>
  <c r="AC54" i="2"/>
  <c r="P47" i="5" s="1"/>
  <c r="O59" i="3"/>
  <c r="C59" i="3"/>
  <c r="F59" i="3"/>
  <c r="E59" i="3"/>
  <c r="H59" i="3"/>
  <c r="G59" i="3"/>
  <c r="B59" i="3"/>
  <c r="L59" i="3"/>
  <c r="P59" i="3"/>
  <c r="N59" i="3"/>
  <c r="M59" i="3"/>
  <c r="K59" i="3"/>
  <c r="J59" i="3"/>
  <c r="I59" i="3"/>
  <c r="D59" i="3"/>
  <c r="I48" i="4"/>
  <c r="L48" i="4"/>
  <c r="K48" i="4"/>
  <c r="J48" i="4"/>
  <c r="F48" i="4"/>
  <c r="O48" i="4"/>
  <c r="N48" i="4"/>
  <c r="H48" i="4"/>
  <c r="G48" i="4"/>
  <c r="B48" i="4"/>
  <c r="E48" i="4"/>
  <c r="D48" i="4"/>
  <c r="C48" i="4"/>
  <c r="M48" i="4"/>
  <c r="G43" i="3"/>
  <c r="M43" i="3"/>
  <c r="L43" i="3"/>
  <c r="K43" i="3"/>
  <c r="J43" i="3"/>
  <c r="F43" i="3"/>
  <c r="B43" i="3"/>
  <c r="O43" i="3"/>
  <c r="N43" i="3"/>
  <c r="I43" i="3"/>
  <c r="H43" i="3"/>
  <c r="E43" i="3"/>
  <c r="D43" i="3"/>
  <c r="C43" i="3"/>
  <c r="F61" i="8"/>
  <c r="O61" i="8"/>
  <c r="C61" i="8"/>
  <c r="I61" i="8"/>
  <c r="P61" i="8"/>
  <c r="E61" i="8"/>
  <c r="M61" i="8"/>
  <c r="H61" i="8"/>
  <c r="K61" i="8"/>
  <c r="B61" i="8"/>
  <c r="N61" i="8"/>
  <c r="L61" i="8"/>
  <c r="G61" i="8"/>
  <c r="D61" i="8"/>
  <c r="J61" i="8"/>
  <c r="L41" i="5"/>
  <c r="K41" i="5"/>
  <c r="B41" i="5"/>
  <c r="J41" i="5"/>
  <c r="E41" i="5"/>
  <c r="D41" i="5"/>
  <c r="O41" i="5"/>
  <c r="N41" i="5"/>
  <c r="M41" i="5"/>
  <c r="H41" i="5"/>
  <c r="G41" i="5"/>
  <c r="F41" i="5"/>
  <c r="I41" i="5"/>
  <c r="C41" i="5"/>
  <c r="H63" i="5"/>
  <c r="M63" i="5"/>
  <c r="I63" i="5"/>
  <c r="B63" i="5"/>
  <c r="L63" i="5"/>
  <c r="F63" i="5"/>
  <c r="O63" i="5"/>
  <c r="N63" i="5"/>
  <c r="J63" i="5"/>
  <c r="G63" i="5"/>
  <c r="E63" i="5"/>
  <c r="P63" i="5"/>
  <c r="K63" i="5"/>
  <c r="D63" i="5"/>
  <c r="C63" i="5"/>
  <c r="E43" i="4"/>
  <c r="M43" i="4"/>
  <c r="F43" i="4"/>
  <c r="D43" i="4"/>
  <c r="O43" i="4"/>
  <c r="L43" i="4"/>
  <c r="K43" i="4"/>
  <c r="G43" i="4"/>
  <c r="N43" i="4"/>
  <c r="J43" i="4"/>
  <c r="I43" i="4"/>
  <c r="H43" i="4"/>
  <c r="B43" i="4"/>
  <c r="C43" i="4"/>
  <c r="H40" i="6"/>
  <c r="D40" i="6"/>
  <c r="M40" i="6"/>
  <c r="P40" i="6"/>
  <c r="K40" i="6"/>
  <c r="F40" i="6"/>
  <c r="J40" i="6"/>
  <c r="I40" i="6"/>
  <c r="E40" i="6"/>
  <c r="C40" i="6"/>
  <c r="B40" i="6"/>
  <c r="N40" i="6"/>
  <c r="L40" i="6"/>
  <c r="G40" i="6"/>
  <c r="O40" i="6"/>
  <c r="O44" i="3"/>
  <c r="C44" i="3"/>
  <c r="J44" i="3"/>
  <c r="I44" i="3"/>
  <c r="L44" i="3"/>
  <c r="K44" i="3"/>
  <c r="F44" i="3"/>
  <c r="N44" i="3"/>
  <c r="M44" i="3"/>
  <c r="H44" i="3"/>
  <c r="E44" i="3"/>
  <c r="D44" i="3"/>
  <c r="B44" i="3"/>
  <c r="G44" i="3"/>
  <c r="N44" i="8"/>
  <c r="B44" i="8"/>
  <c r="K44" i="8"/>
  <c r="G44" i="8"/>
  <c r="E44" i="8"/>
  <c r="J44" i="8"/>
  <c r="C44" i="8"/>
  <c r="L44" i="8"/>
  <c r="D44" i="8"/>
  <c r="O44" i="8"/>
  <c r="M44" i="8"/>
  <c r="H44" i="8"/>
  <c r="F44" i="8"/>
  <c r="I44" i="8"/>
  <c r="H42" i="5"/>
  <c r="I42" i="5"/>
  <c r="N42" i="5"/>
  <c r="J42" i="5"/>
  <c r="E42" i="5"/>
  <c r="D42" i="5"/>
  <c r="B42" i="5"/>
  <c r="P42" i="5"/>
  <c r="K42" i="5"/>
  <c r="O42" i="5"/>
  <c r="M42" i="5"/>
  <c r="L42" i="5"/>
  <c r="G42" i="5"/>
  <c r="F42" i="5"/>
  <c r="C42" i="5"/>
  <c r="H40" i="7"/>
  <c r="L40" i="7"/>
  <c r="N40" i="7"/>
  <c r="I40" i="7"/>
  <c r="B40" i="7"/>
  <c r="M40" i="7"/>
  <c r="F40" i="7"/>
  <c r="O40" i="7"/>
  <c r="K40" i="7"/>
  <c r="J40" i="7"/>
  <c r="E40" i="7"/>
  <c r="D40" i="7"/>
  <c r="G40" i="7"/>
  <c r="C40" i="7"/>
  <c r="D38" i="6"/>
  <c r="J38" i="6"/>
  <c r="F38" i="6"/>
  <c r="L38" i="6"/>
  <c r="G38" i="6"/>
  <c r="O38" i="6"/>
  <c r="N38" i="6"/>
  <c r="M38" i="6"/>
  <c r="K38" i="6"/>
  <c r="H38" i="6"/>
  <c r="E38" i="6"/>
  <c r="I38" i="6"/>
  <c r="C38" i="6"/>
  <c r="B38" i="6"/>
  <c r="E46" i="4"/>
  <c r="D46" i="4"/>
  <c r="N46" i="4"/>
  <c r="M46" i="4"/>
  <c r="J46" i="4"/>
  <c r="H46" i="4"/>
  <c r="G46" i="4"/>
  <c r="C46" i="4"/>
  <c r="B46" i="4"/>
  <c r="O46" i="4"/>
  <c r="I46" i="4"/>
  <c r="F46" i="4"/>
  <c r="L46" i="4"/>
  <c r="K46" i="4"/>
  <c r="F49" i="8"/>
  <c r="O49" i="8"/>
  <c r="C49" i="8"/>
  <c r="M49" i="8"/>
  <c r="D49" i="8"/>
  <c r="I49" i="8"/>
  <c r="K49" i="8"/>
  <c r="G49" i="8"/>
  <c r="N49" i="8"/>
  <c r="L49" i="8"/>
  <c r="J49" i="8"/>
  <c r="H49" i="8"/>
  <c r="E49" i="8"/>
  <c r="B49" i="8"/>
  <c r="L6" i="7"/>
  <c r="J25" i="1"/>
  <c r="AC75" i="2"/>
  <c r="P40" i="7" s="1"/>
  <c r="M21" i="1"/>
  <c r="M56" i="4"/>
  <c r="O56" i="4"/>
  <c r="B56" i="4"/>
  <c r="K56" i="4"/>
  <c r="J56" i="4"/>
  <c r="G56" i="4"/>
  <c r="F56" i="4"/>
  <c r="C56" i="4"/>
  <c r="I56" i="4"/>
  <c r="N56" i="4"/>
  <c r="L56" i="4"/>
  <c r="H56" i="4"/>
  <c r="E56" i="4"/>
  <c r="D56" i="4"/>
  <c r="P56" i="4"/>
  <c r="P43" i="5"/>
  <c r="D43" i="5"/>
  <c r="F43" i="5"/>
  <c r="L43" i="5"/>
  <c r="H43" i="5"/>
  <c r="G43" i="5"/>
  <c r="E43" i="5"/>
  <c r="B43" i="5"/>
  <c r="M43" i="5"/>
  <c r="K43" i="5"/>
  <c r="I43" i="5"/>
  <c r="C43" i="5"/>
  <c r="J43" i="5"/>
  <c r="O43" i="5"/>
  <c r="N43" i="5"/>
  <c r="F53" i="7"/>
  <c r="G53" i="7"/>
  <c r="O53" i="7"/>
  <c r="E53" i="7"/>
  <c r="K53" i="7"/>
  <c r="D53" i="7"/>
  <c r="L53" i="7"/>
  <c r="M53" i="7"/>
  <c r="J53" i="7"/>
  <c r="I53" i="7"/>
  <c r="N53" i="7"/>
  <c r="H53" i="7"/>
  <c r="C53" i="7"/>
  <c r="B53" i="7"/>
  <c r="L39" i="6"/>
  <c r="G39" i="6"/>
  <c r="C39" i="6"/>
  <c r="K39" i="6"/>
  <c r="F39" i="6"/>
  <c r="E39" i="6"/>
  <c r="D39" i="6"/>
  <c r="B39" i="6"/>
  <c r="M39" i="6"/>
  <c r="N39" i="6"/>
  <c r="J39" i="6"/>
  <c r="I39" i="6"/>
  <c r="H39" i="6"/>
  <c r="O39" i="6"/>
  <c r="E49" i="4"/>
  <c r="I49" i="4"/>
  <c r="J49" i="4"/>
  <c r="H49" i="4"/>
  <c r="D49" i="4"/>
  <c r="P49" i="4"/>
  <c r="O49" i="4"/>
  <c r="M49" i="4"/>
  <c r="L49" i="4"/>
  <c r="C49" i="4"/>
  <c r="N49" i="4"/>
  <c r="K49" i="4"/>
  <c r="G49" i="4"/>
  <c r="B49" i="4"/>
  <c r="F49" i="4"/>
  <c r="N38" i="8"/>
  <c r="B38" i="8"/>
  <c r="K38" i="8"/>
  <c r="C38" i="8"/>
  <c r="G38" i="8"/>
  <c r="L38" i="8"/>
  <c r="E38" i="8"/>
  <c r="I38" i="8"/>
  <c r="M38" i="8"/>
  <c r="J38" i="8"/>
  <c r="H38" i="8"/>
  <c r="O38" i="8"/>
  <c r="F38" i="8"/>
  <c r="D38" i="8"/>
  <c r="M41" i="4"/>
  <c r="F41" i="4"/>
  <c r="I41" i="4"/>
  <c r="H41" i="4"/>
  <c r="D41" i="4"/>
  <c r="L41" i="4"/>
  <c r="K41" i="4"/>
  <c r="G41" i="4"/>
  <c r="E41" i="4"/>
  <c r="O41" i="4"/>
  <c r="N41" i="4"/>
  <c r="J41" i="4"/>
  <c r="C41" i="4"/>
  <c r="B41" i="4"/>
  <c r="P61" i="5"/>
  <c r="D61" i="5"/>
  <c r="F61" i="5"/>
  <c r="N61" i="5"/>
  <c r="B61" i="5"/>
  <c r="L61" i="5"/>
  <c r="H61" i="5"/>
  <c r="E61" i="5"/>
  <c r="C61" i="5"/>
  <c r="O61" i="5"/>
  <c r="K61" i="5"/>
  <c r="J61" i="5"/>
  <c r="G61" i="5"/>
  <c r="I61" i="5"/>
  <c r="M61" i="5"/>
  <c r="F65" i="7"/>
  <c r="K65" i="7"/>
  <c r="I65" i="7"/>
  <c r="N65" i="7"/>
  <c r="M65" i="7"/>
  <c r="G65" i="7"/>
  <c r="L65" i="7"/>
  <c r="D65" i="7"/>
  <c r="O65" i="7"/>
  <c r="J65" i="7"/>
  <c r="H65" i="7"/>
  <c r="P65" i="7"/>
  <c r="E65" i="7"/>
  <c r="C65" i="7"/>
  <c r="B65" i="7"/>
  <c r="D41" i="6"/>
  <c r="N41" i="6"/>
  <c r="J41" i="6"/>
  <c r="K41" i="6"/>
  <c r="F41" i="6"/>
  <c r="O41" i="6"/>
  <c r="M41" i="6"/>
  <c r="I41" i="6"/>
  <c r="H41" i="6"/>
  <c r="G41" i="6"/>
  <c r="C41" i="6"/>
  <c r="B41" i="6"/>
  <c r="E41" i="6"/>
  <c r="L41" i="6"/>
  <c r="E52" i="4"/>
  <c r="M52" i="4"/>
  <c r="D52" i="4"/>
  <c r="C52" i="4"/>
  <c r="N52" i="4"/>
  <c r="H52" i="4"/>
  <c r="G52" i="4"/>
  <c r="B52" i="4"/>
  <c r="L52" i="4"/>
  <c r="J52" i="4"/>
  <c r="I52" i="4"/>
  <c r="F52" i="4"/>
  <c r="O52" i="4"/>
  <c r="K52" i="4"/>
  <c r="G42" i="7"/>
  <c r="M42" i="7"/>
  <c r="D42" i="7"/>
  <c r="K42" i="7"/>
  <c r="F42" i="7"/>
  <c r="C42" i="7"/>
  <c r="J42" i="7"/>
  <c r="L42" i="7"/>
  <c r="I42" i="7"/>
  <c r="E42" i="7"/>
  <c r="B42" i="7"/>
  <c r="O42" i="7"/>
  <c r="H42" i="7"/>
  <c r="N42" i="7"/>
  <c r="N47" i="8"/>
  <c r="B47" i="8"/>
  <c r="K47" i="8"/>
  <c r="C47" i="8"/>
  <c r="E47" i="8"/>
  <c r="I47" i="8"/>
  <c r="L47" i="8"/>
  <c r="F47" i="8"/>
  <c r="H47" i="8"/>
  <c r="O47" i="8"/>
  <c r="M47" i="8"/>
  <c r="J47" i="8"/>
  <c r="G47" i="8"/>
  <c r="D47" i="8"/>
  <c r="K57" i="3"/>
  <c r="L57" i="3"/>
  <c r="J57" i="3"/>
  <c r="G57" i="3"/>
  <c r="F57" i="3"/>
  <c r="D57" i="3"/>
  <c r="C57" i="3"/>
  <c r="N57" i="3"/>
  <c r="O57" i="3"/>
  <c r="M57" i="3"/>
  <c r="I57" i="3"/>
  <c r="E57" i="3"/>
  <c r="H57" i="3"/>
  <c r="B57" i="3"/>
  <c r="H45" i="5"/>
  <c r="M45" i="5"/>
  <c r="I45" i="5"/>
  <c r="D45" i="5"/>
  <c r="J45" i="5"/>
  <c r="G45" i="5"/>
  <c r="E45" i="5"/>
  <c r="C45" i="5"/>
  <c r="B45" i="5"/>
  <c r="L45" i="5"/>
  <c r="K45" i="5"/>
  <c r="O45" i="5"/>
  <c r="N45" i="5"/>
  <c r="F45" i="5"/>
  <c r="P53" i="6"/>
  <c r="D53" i="6"/>
  <c r="H53" i="6"/>
  <c r="E53" i="6"/>
  <c r="N53" i="6"/>
  <c r="J53" i="6"/>
  <c r="C53" i="6"/>
  <c r="O53" i="6"/>
  <c r="B53" i="6"/>
  <c r="G53" i="6"/>
  <c r="F53" i="6"/>
  <c r="M53" i="6"/>
  <c r="K53" i="6"/>
  <c r="I53" i="6"/>
  <c r="L53" i="6"/>
  <c r="F64" i="8"/>
  <c r="O64" i="8"/>
  <c r="C64" i="8"/>
  <c r="D64" i="8"/>
  <c r="N64" i="8"/>
  <c r="E64" i="8"/>
  <c r="B64" i="8"/>
  <c r="P64" i="8"/>
  <c r="M64" i="8"/>
  <c r="I64" i="8"/>
  <c r="L64" i="8"/>
  <c r="K64" i="8"/>
  <c r="J64" i="8"/>
  <c r="H64" i="8"/>
  <c r="G64" i="8"/>
  <c r="F40" i="8"/>
  <c r="O40" i="8"/>
  <c r="C40" i="8"/>
  <c r="M40" i="8"/>
  <c r="G40" i="8"/>
  <c r="K40" i="8"/>
  <c r="J40" i="8"/>
  <c r="D40" i="8"/>
  <c r="H40" i="8"/>
  <c r="L40" i="8"/>
  <c r="I40" i="8"/>
  <c r="E40" i="8"/>
  <c r="N40" i="8"/>
  <c r="B40" i="8"/>
  <c r="H54" i="5"/>
  <c r="M54" i="5"/>
  <c r="G54" i="5"/>
  <c r="C54" i="5"/>
  <c r="L54" i="5"/>
  <c r="O54" i="5"/>
  <c r="N54" i="5"/>
  <c r="J54" i="5"/>
  <c r="I54" i="5"/>
  <c r="F54" i="5"/>
  <c r="D54" i="5"/>
  <c r="K54" i="5"/>
  <c r="E54" i="5"/>
  <c r="B54" i="5"/>
  <c r="L45" i="6"/>
  <c r="D45" i="6"/>
  <c r="C45" i="6"/>
  <c r="M45" i="6"/>
  <c r="J45" i="6"/>
  <c r="F45" i="6"/>
  <c r="O45" i="6"/>
  <c r="N45" i="6"/>
  <c r="I45" i="6"/>
  <c r="H45" i="6"/>
  <c r="G45" i="6"/>
  <c r="K45" i="6"/>
  <c r="B45" i="6"/>
  <c r="E45" i="6"/>
  <c r="E55" i="4"/>
  <c r="D55" i="4"/>
  <c r="M55" i="4"/>
  <c r="L55" i="4"/>
  <c r="I55" i="4"/>
  <c r="H55" i="4"/>
  <c r="N55" i="4"/>
  <c r="K55" i="4"/>
  <c r="C55" i="4"/>
  <c r="O55" i="4"/>
  <c r="J55" i="4"/>
  <c r="F55" i="4"/>
  <c r="G55" i="4"/>
  <c r="B55" i="4"/>
  <c r="J55" i="7"/>
  <c r="N55" i="7"/>
  <c r="L55" i="7"/>
  <c r="C55" i="7"/>
  <c r="B55" i="7"/>
  <c r="M55" i="7"/>
  <c r="O55" i="7"/>
  <c r="G55" i="7"/>
  <c r="K55" i="7"/>
  <c r="H55" i="7"/>
  <c r="F55" i="7"/>
  <c r="E55" i="7"/>
  <c r="D55" i="7"/>
  <c r="I55" i="7"/>
  <c r="N56" i="8"/>
  <c r="B56" i="8"/>
  <c r="K56" i="8"/>
  <c r="C56" i="8"/>
  <c r="G56" i="8"/>
  <c r="L56" i="8"/>
  <c r="H56" i="8"/>
  <c r="O56" i="8"/>
  <c r="E56" i="8"/>
  <c r="D56" i="8"/>
  <c r="I56" i="8"/>
  <c r="J56" i="8"/>
  <c r="F56" i="8"/>
  <c r="M56" i="8"/>
  <c r="I45" i="4"/>
  <c r="G45" i="4"/>
  <c r="B45" i="4"/>
  <c r="O45" i="4"/>
  <c r="L45" i="4"/>
  <c r="E45" i="4"/>
  <c r="D45" i="4"/>
  <c r="K45" i="4"/>
  <c r="N45" i="4"/>
  <c r="M45" i="4"/>
  <c r="J45" i="4"/>
  <c r="H45" i="4"/>
  <c r="C45" i="4"/>
  <c r="F45" i="4"/>
  <c r="L62" i="5"/>
  <c r="P62" i="5"/>
  <c r="C62" i="5"/>
  <c r="K62" i="5"/>
  <c r="B62" i="5"/>
  <c r="M62" i="5"/>
  <c r="G62" i="5"/>
  <c r="I62" i="5"/>
  <c r="H62" i="5"/>
  <c r="E62" i="5"/>
  <c r="D62" i="5"/>
  <c r="F62" i="5"/>
  <c r="O62" i="5"/>
  <c r="J62" i="5"/>
  <c r="N62" i="5"/>
  <c r="D44" i="6"/>
  <c r="F44" i="6"/>
  <c r="N44" i="6"/>
  <c r="O44" i="6"/>
  <c r="J44" i="6"/>
  <c r="E44" i="6"/>
  <c r="I44" i="6"/>
  <c r="H44" i="6"/>
  <c r="C44" i="6"/>
  <c r="B44" i="6"/>
  <c r="G44" i="6"/>
  <c r="M44" i="6"/>
  <c r="L44" i="6"/>
  <c r="K44" i="6"/>
  <c r="L59" i="5"/>
  <c r="K59" i="5"/>
  <c r="G59" i="5"/>
  <c r="C59" i="5"/>
  <c r="N59" i="5"/>
  <c r="H59" i="5"/>
  <c r="P59" i="5"/>
  <c r="O59" i="5"/>
  <c r="J59" i="5"/>
  <c r="I59" i="5"/>
  <c r="F59" i="5"/>
  <c r="E59" i="5"/>
  <c r="D59" i="5"/>
  <c r="M59" i="5"/>
  <c r="B59" i="5"/>
  <c r="D41" i="7"/>
  <c r="H41" i="7"/>
  <c r="L41" i="7"/>
  <c r="G41" i="7"/>
  <c r="B41" i="7"/>
  <c r="N41" i="7"/>
  <c r="I41" i="7"/>
  <c r="C41" i="7"/>
  <c r="O41" i="7"/>
  <c r="F41" i="7"/>
  <c r="M41" i="7"/>
  <c r="K41" i="7"/>
  <c r="E41" i="7"/>
  <c r="J41" i="7"/>
  <c r="L50" i="5"/>
  <c r="K50" i="5"/>
  <c r="O50" i="5"/>
  <c r="I50" i="5"/>
  <c r="E50" i="5"/>
  <c r="C50" i="5"/>
  <c r="B50" i="5"/>
  <c r="N50" i="5"/>
  <c r="M50" i="5"/>
  <c r="F50" i="5"/>
  <c r="D50" i="5"/>
  <c r="G50" i="5"/>
  <c r="H50" i="5"/>
  <c r="J50" i="5"/>
  <c r="G46" i="3"/>
  <c r="D46" i="3"/>
  <c r="C46" i="3"/>
  <c r="K46" i="3"/>
  <c r="J46" i="3"/>
  <c r="F46" i="3"/>
  <c r="O46" i="3"/>
  <c r="M46" i="3"/>
  <c r="L46" i="3"/>
  <c r="I46" i="3"/>
  <c r="H46" i="3"/>
  <c r="E46" i="3"/>
  <c r="B46" i="3"/>
  <c r="N46" i="3"/>
  <c r="P50" i="6"/>
  <c r="D50" i="6"/>
  <c r="H50" i="6"/>
  <c r="J50" i="6"/>
  <c r="E50" i="6"/>
  <c r="F50" i="6"/>
  <c r="L50" i="6"/>
  <c r="C50" i="6"/>
  <c r="B50" i="6"/>
  <c r="M50" i="6"/>
  <c r="K50" i="6"/>
  <c r="G50" i="6"/>
  <c r="O50" i="6"/>
  <c r="N50" i="6"/>
  <c r="I50" i="6"/>
  <c r="N51" i="7"/>
  <c r="B51" i="7"/>
  <c r="L51" i="7"/>
  <c r="E51" i="7"/>
  <c r="I51" i="7"/>
  <c r="O51" i="7"/>
  <c r="H51" i="7"/>
  <c r="J51" i="7"/>
  <c r="C51" i="7"/>
  <c r="M51" i="7"/>
  <c r="F51" i="7"/>
  <c r="D51" i="7"/>
  <c r="K51" i="7"/>
  <c r="G51" i="7"/>
  <c r="E58" i="4"/>
  <c r="I58" i="4"/>
  <c r="H58" i="4"/>
  <c r="G58" i="4"/>
  <c r="C58" i="4"/>
  <c r="B58" i="4"/>
  <c r="M58" i="4"/>
  <c r="L58" i="4"/>
  <c r="J58" i="4"/>
  <c r="F58" i="4"/>
  <c r="O58" i="4"/>
  <c r="N58" i="4"/>
  <c r="K58" i="4"/>
  <c r="D58" i="4"/>
  <c r="G45" i="7"/>
  <c r="D45" i="7"/>
  <c r="I45" i="7"/>
  <c r="K45" i="7"/>
  <c r="E45" i="7"/>
  <c r="M45" i="7"/>
  <c r="F45" i="7"/>
  <c r="N45" i="7"/>
  <c r="L45" i="7"/>
  <c r="H45" i="7"/>
  <c r="C45" i="7"/>
  <c r="B45" i="7"/>
  <c r="O45" i="7"/>
  <c r="J45" i="7"/>
  <c r="J66" i="8"/>
  <c r="G66" i="8"/>
  <c r="M66" i="8"/>
  <c r="B66" i="8"/>
  <c r="P66" i="8"/>
  <c r="E66" i="8"/>
  <c r="K66" i="8"/>
  <c r="D66" i="8"/>
  <c r="H66" i="8"/>
  <c r="O66" i="8"/>
  <c r="N66" i="8"/>
  <c r="C66" i="8"/>
  <c r="L66" i="8"/>
  <c r="I66" i="8"/>
  <c r="F66" i="8"/>
  <c r="E11" i="1"/>
  <c r="D40" i="5"/>
  <c r="N40" i="5"/>
  <c r="C40" i="5"/>
  <c r="L40" i="5"/>
  <c r="E40" i="5"/>
  <c r="B40" i="5"/>
  <c r="O40" i="5"/>
  <c r="M40" i="5"/>
  <c r="G40" i="5"/>
  <c r="F40" i="5"/>
  <c r="K40" i="5"/>
  <c r="I40" i="5"/>
  <c r="H40" i="5"/>
  <c r="J40" i="5"/>
  <c r="AC16" i="2"/>
  <c r="P51" i="3" s="1"/>
  <c r="AC52" i="2"/>
  <c r="P45" i="5" s="1"/>
  <c r="AC88" i="2"/>
  <c r="P53" i="7" s="1"/>
  <c r="AC35" i="2"/>
  <c r="P51" i="4" s="1"/>
  <c r="AC59" i="2"/>
  <c r="P52" i="5" s="1"/>
  <c r="AC107" i="2"/>
  <c r="P49" i="8" s="1"/>
  <c r="AC18" i="2"/>
  <c r="P53" i="3" s="1"/>
  <c r="AC42" i="2"/>
  <c r="P58" i="4" s="1"/>
  <c r="AC66" i="2"/>
  <c r="P41" i="6" s="1"/>
  <c r="AC114" i="2"/>
  <c r="P56" i="8" s="1"/>
  <c r="J63" i="8"/>
  <c r="G63" i="8"/>
  <c r="E63" i="8"/>
  <c r="O63" i="8"/>
  <c r="D63" i="8"/>
  <c r="M63" i="8"/>
  <c r="I63" i="8"/>
  <c r="B63" i="8"/>
  <c r="P63" i="8"/>
  <c r="L63" i="8"/>
  <c r="K63" i="8"/>
  <c r="F63" i="8"/>
  <c r="C63" i="8"/>
  <c r="H63" i="8"/>
  <c r="N63" i="8"/>
  <c r="F43" i="8"/>
  <c r="O43" i="8"/>
  <c r="C43" i="8"/>
  <c r="I43" i="8"/>
  <c r="E43" i="8"/>
  <c r="K43" i="8"/>
  <c r="M43" i="8"/>
  <c r="L43" i="8"/>
  <c r="D43" i="8"/>
  <c r="H43" i="8"/>
  <c r="J43" i="8"/>
  <c r="G43" i="8"/>
  <c r="B43" i="8"/>
  <c r="N43" i="8"/>
  <c r="F62" i="7"/>
  <c r="G62" i="7"/>
  <c r="N62" i="7"/>
  <c r="D62" i="7"/>
  <c r="J62" i="7"/>
  <c r="C62" i="7"/>
  <c r="E62" i="7"/>
  <c r="L62" i="7"/>
  <c r="M62" i="7"/>
  <c r="K62" i="7"/>
  <c r="H62" i="7"/>
  <c r="B62" i="7"/>
  <c r="P62" i="7"/>
  <c r="O62" i="7"/>
  <c r="I62" i="7"/>
  <c r="F55" i="8"/>
  <c r="O55" i="8"/>
  <c r="C55" i="8"/>
  <c r="D55" i="8"/>
  <c r="H55" i="8"/>
  <c r="N55" i="8"/>
  <c r="J55" i="8"/>
  <c r="I55" i="8"/>
  <c r="L55" i="8"/>
  <c r="K55" i="8"/>
  <c r="G55" i="8"/>
  <c r="B55" i="8"/>
  <c r="M55" i="8"/>
  <c r="E55" i="8"/>
  <c r="O68" i="1"/>
  <c r="K68" i="1"/>
  <c r="N68" i="1"/>
  <c r="L68" i="1"/>
  <c r="K51" i="3"/>
  <c r="C51" i="3"/>
  <c r="O51" i="3"/>
  <c r="B51" i="3"/>
  <c r="I51" i="3"/>
  <c r="H51" i="3"/>
  <c r="F51" i="3"/>
  <c r="E51" i="3"/>
  <c r="N51" i="3"/>
  <c r="L51" i="3"/>
  <c r="J51" i="3"/>
  <c r="G51" i="3"/>
  <c r="D51" i="3"/>
  <c r="M51" i="3"/>
  <c r="F46" i="8"/>
  <c r="O46" i="8"/>
  <c r="C46" i="8"/>
  <c r="D46" i="8"/>
  <c r="E46" i="8"/>
  <c r="J46" i="8"/>
  <c r="I46" i="8"/>
  <c r="K46" i="8"/>
  <c r="P46" i="8"/>
  <c r="M46" i="8"/>
  <c r="L46" i="8"/>
  <c r="G46" i="8"/>
  <c r="B46" i="8"/>
  <c r="N46" i="8"/>
  <c r="H46" i="8"/>
  <c r="K63" i="3"/>
  <c r="G63" i="3"/>
  <c r="F63" i="3"/>
  <c r="E63" i="3"/>
  <c r="D63" i="3"/>
  <c r="B63" i="3"/>
  <c r="P63" i="3"/>
  <c r="L63" i="3"/>
  <c r="I63" i="3"/>
  <c r="H63" i="3"/>
  <c r="C63" i="3"/>
  <c r="O63" i="3"/>
  <c r="N63" i="3"/>
  <c r="M63" i="3"/>
  <c r="J63" i="3"/>
  <c r="N41" i="8"/>
  <c r="B41" i="8"/>
  <c r="K41" i="8"/>
  <c r="L41" i="8"/>
  <c r="F41" i="8"/>
  <c r="J41" i="8"/>
  <c r="O41" i="8"/>
  <c r="G41" i="8"/>
  <c r="E41" i="8"/>
  <c r="C41" i="8"/>
  <c r="M41" i="8"/>
  <c r="I41" i="8"/>
  <c r="H41" i="8"/>
  <c r="D41" i="8"/>
  <c r="H55" i="6"/>
  <c r="L55" i="6"/>
  <c r="P55" i="6"/>
  <c r="B55" i="6"/>
  <c r="K55" i="6"/>
  <c r="M55" i="6"/>
  <c r="F55" i="6"/>
  <c r="O55" i="6"/>
  <c r="J55" i="6"/>
  <c r="I55" i="6"/>
  <c r="G55" i="6"/>
  <c r="N55" i="6"/>
  <c r="E55" i="6"/>
  <c r="C55" i="6"/>
  <c r="D55" i="6"/>
  <c r="N66" i="7"/>
  <c r="B66" i="7"/>
  <c r="H66" i="7"/>
  <c r="G66" i="7"/>
  <c r="L66" i="7"/>
  <c r="O66" i="7"/>
  <c r="I66" i="7"/>
  <c r="C66" i="7"/>
  <c r="J66" i="7"/>
  <c r="D66" i="7"/>
  <c r="E66" i="7"/>
  <c r="P66" i="7"/>
  <c r="K66" i="7"/>
  <c r="F66" i="7"/>
  <c r="M66" i="7"/>
  <c r="E70" i="4"/>
  <c r="M70" i="4"/>
  <c r="P70" i="4"/>
  <c r="B70" i="4"/>
  <c r="O70" i="4"/>
  <c r="K70" i="4"/>
  <c r="J70" i="4"/>
  <c r="N70" i="4"/>
  <c r="L70" i="4"/>
  <c r="H70" i="4"/>
  <c r="G70" i="4"/>
  <c r="I70" i="4"/>
  <c r="F70" i="4"/>
  <c r="D70" i="4"/>
  <c r="C70" i="4"/>
  <c r="J57" i="8"/>
  <c r="G57" i="8"/>
  <c r="O57" i="8"/>
  <c r="B57" i="8"/>
  <c r="F57" i="8"/>
  <c r="C57" i="8"/>
  <c r="N57" i="8"/>
  <c r="M57" i="8"/>
  <c r="H57" i="8"/>
  <c r="K57" i="8"/>
  <c r="I57" i="8"/>
  <c r="E57" i="8"/>
  <c r="L57" i="8"/>
  <c r="D57" i="8"/>
  <c r="L64" i="1"/>
  <c r="K64" i="1"/>
  <c r="O64" i="1"/>
  <c r="N64" i="1"/>
  <c r="AC28" i="2"/>
  <c r="P44" i="4" s="1"/>
  <c r="M62" i="4"/>
  <c r="J62" i="4"/>
  <c r="B62" i="4"/>
  <c r="O62" i="4"/>
  <c r="K62" i="4"/>
  <c r="I62" i="4"/>
  <c r="N62" i="4"/>
  <c r="L62" i="4"/>
  <c r="G62" i="4"/>
  <c r="F62" i="4"/>
  <c r="H62" i="4"/>
  <c r="D62" i="4"/>
  <c r="E62" i="4"/>
  <c r="C62" i="4"/>
  <c r="AC37" i="2"/>
  <c r="P53" i="4" s="1"/>
  <c r="O50" i="3"/>
  <c r="C50" i="3"/>
  <c r="F50" i="3"/>
  <c r="E50" i="3"/>
  <c r="J50" i="3"/>
  <c r="I50" i="3"/>
  <c r="G50" i="3"/>
  <c r="D50" i="3"/>
  <c r="N50" i="3"/>
  <c r="M50" i="3"/>
  <c r="K50" i="3"/>
  <c r="L50" i="3"/>
  <c r="H50" i="3"/>
  <c r="B50" i="3"/>
  <c r="AC76" i="2"/>
  <c r="P41" i="7" s="1"/>
  <c r="M47" i="4"/>
  <c r="O47" i="4"/>
  <c r="B47" i="4"/>
  <c r="L47" i="4"/>
  <c r="K47" i="4"/>
  <c r="H47" i="4"/>
  <c r="J47" i="4"/>
  <c r="I47" i="4"/>
  <c r="F47" i="4"/>
  <c r="E47" i="4"/>
  <c r="N47" i="4"/>
  <c r="G47" i="4"/>
  <c r="C47" i="4"/>
  <c r="D47" i="4"/>
  <c r="O47" i="3"/>
  <c r="C47" i="3"/>
  <c r="N47" i="3"/>
  <c r="M47" i="3"/>
  <c r="J47" i="3"/>
  <c r="I47" i="3"/>
  <c r="F47" i="3"/>
  <c r="L47" i="3"/>
  <c r="K47" i="3"/>
  <c r="H47" i="3"/>
  <c r="E47" i="3"/>
  <c r="G47" i="3"/>
  <c r="B47" i="3"/>
  <c r="D47" i="3"/>
  <c r="P56" i="6"/>
  <c r="D56" i="6"/>
  <c r="H56" i="6"/>
  <c r="N56" i="6"/>
  <c r="J56" i="6"/>
  <c r="M56" i="6"/>
  <c r="G56" i="6"/>
  <c r="B56" i="6"/>
  <c r="O56" i="6"/>
  <c r="I56" i="6"/>
  <c r="F56" i="6"/>
  <c r="E56" i="6"/>
  <c r="C56" i="6"/>
  <c r="L56" i="6"/>
  <c r="K56" i="6"/>
  <c r="M22" i="1"/>
  <c r="AC108" i="2"/>
  <c r="P50" i="8" s="1"/>
  <c r="I60" i="4"/>
  <c r="C60" i="4"/>
  <c r="E60" i="4"/>
  <c r="D60" i="4"/>
  <c r="N60" i="4"/>
  <c r="M60" i="4"/>
  <c r="B60" i="4"/>
  <c r="J60" i="4"/>
  <c r="O60" i="4"/>
  <c r="L60" i="4"/>
  <c r="K60" i="4"/>
  <c r="H60" i="4"/>
  <c r="G60" i="4"/>
  <c r="F60" i="4"/>
  <c r="M59" i="4"/>
  <c r="F59" i="4"/>
  <c r="G59" i="4"/>
  <c r="E59" i="4"/>
  <c r="B59" i="4"/>
  <c r="O59" i="4"/>
  <c r="L59" i="4"/>
  <c r="K59" i="4"/>
  <c r="D59" i="4"/>
  <c r="C59" i="4"/>
  <c r="N59" i="4"/>
  <c r="J59" i="4"/>
  <c r="I59" i="4"/>
  <c r="H59" i="4"/>
  <c r="F56" i="7"/>
  <c r="K56" i="7"/>
  <c r="J56" i="7"/>
  <c r="O56" i="7"/>
  <c r="C56" i="7"/>
  <c r="N56" i="7"/>
  <c r="L56" i="7"/>
  <c r="E56" i="7"/>
  <c r="M56" i="7"/>
  <c r="I56" i="7"/>
  <c r="H56" i="7"/>
  <c r="G56" i="7"/>
  <c r="D56" i="7"/>
  <c r="B56" i="7"/>
  <c r="D46" i="5"/>
  <c r="J46" i="5"/>
  <c r="G46" i="5"/>
  <c r="B46" i="5"/>
  <c r="K46" i="5"/>
  <c r="I46" i="5"/>
  <c r="F46" i="5"/>
  <c r="E46" i="5"/>
  <c r="C46" i="5"/>
  <c r="O46" i="5"/>
  <c r="N46" i="5"/>
  <c r="L46" i="5"/>
  <c r="H46" i="5"/>
  <c r="M46" i="5"/>
  <c r="AC103" i="2"/>
  <c r="P45" i="8" s="1"/>
  <c r="AC110" i="2"/>
  <c r="P52" i="8" s="1"/>
  <c r="I63" i="4"/>
  <c r="G63" i="4"/>
  <c r="N63" i="4"/>
  <c r="M63" i="4"/>
  <c r="J63" i="4"/>
  <c r="H63" i="4"/>
  <c r="O63" i="4"/>
  <c r="L63" i="4"/>
  <c r="D63" i="4"/>
  <c r="K63" i="4"/>
  <c r="F63" i="4"/>
  <c r="E63" i="4"/>
  <c r="C63" i="4"/>
  <c r="B63" i="4"/>
  <c r="P63" i="4"/>
  <c r="AC13" i="2"/>
  <c r="P48" i="3" s="1"/>
  <c r="AC85" i="2"/>
  <c r="P50" i="7" s="1"/>
  <c r="D6" i="7"/>
  <c r="A7" i="7" s="1"/>
  <c r="AC68" i="2"/>
  <c r="P43" i="6" s="1"/>
  <c r="J67" i="7"/>
  <c r="E67" i="7"/>
  <c r="F67" i="7"/>
  <c r="K67" i="7"/>
  <c r="O67" i="7"/>
  <c r="I67" i="7"/>
  <c r="G67" i="7"/>
  <c r="N67" i="7"/>
  <c r="P67" i="7"/>
  <c r="M67" i="7"/>
  <c r="H67" i="7"/>
  <c r="D67" i="7"/>
  <c r="C67" i="7"/>
  <c r="B67" i="7"/>
  <c r="L67" i="7"/>
  <c r="J58" i="7"/>
  <c r="E58" i="7"/>
  <c r="G58" i="7"/>
  <c r="L58" i="7"/>
  <c r="D58" i="7"/>
  <c r="H58" i="7"/>
  <c r="N58" i="7"/>
  <c r="O58" i="7"/>
  <c r="M58" i="7"/>
  <c r="K58" i="7"/>
  <c r="C58" i="7"/>
  <c r="I58" i="7"/>
  <c r="F58" i="7"/>
  <c r="B58" i="7"/>
  <c r="O43" i="7"/>
  <c r="C43" i="7"/>
  <c r="J43" i="7"/>
  <c r="N43" i="7"/>
  <c r="K43" i="7"/>
  <c r="F43" i="7"/>
  <c r="G43" i="7"/>
  <c r="M43" i="7"/>
  <c r="L43" i="7"/>
  <c r="I43" i="7"/>
  <c r="B43" i="7"/>
  <c r="H43" i="7"/>
  <c r="E43" i="7"/>
  <c r="D43" i="7"/>
  <c r="H49" i="6"/>
  <c r="L49" i="6"/>
  <c r="K49" i="6"/>
  <c r="F49" i="6"/>
  <c r="D49" i="6"/>
  <c r="J49" i="6"/>
  <c r="O49" i="6"/>
  <c r="N49" i="6"/>
  <c r="M49" i="6"/>
  <c r="C49" i="6"/>
  <c r="I49" i="6"/>
  <c r="E49" i="6"/>
  <c r="G49" i="6"/>
  <c r="B49" i="6"/>
  <c r="D47" i="6"/>
  <c r="H47" i="6"/>
  <c r="N47" i="6"/>
  <c r="J47" i="6"/>
  <c r="B47" i="6"/>
  <c r="M47" i="6"/>
  <c r="G47" i="6"/>
  <c r="F47" i="6"/>
  <c r="E47" i="6"/>
  <c r="L47" i="6"/>
  <c r="K47" i="6"/>
  <c r="O47" i="6"/>
  <c r="I47" i="6"/>
  <c r="C47" i="6"/>
  <c r="J49" i="7"/>
  <c r="E49" i="7"/>
  <c r="H49" i="7"/>
  <c r="M49" i="7"/>
  <c r="L49" i="7"/>
  <c r="F49" i="7"/>
  <c r="G49" i="7"/>
  <c r="O49" i="7"/>
  <c r="B49" i="7"/>
  <c r="I49" i="7"/>
  <c r="C49" i="7"/>
  <c r="P49" i="7"/>
  <c r="K49" i="7"/>
  <c r="N49" i="7"/>
  <c r="D49" i="7"/>
  <c r="L56" i="5"/>
  <c r="G56" i="5"/>
  <c r="P56" i="5"/>
  <c r="D56" i="5"/>
  <c r="N56" i="5"/>
  <c r="I56" i="5"/>
  <c r="B56" i="5"/>
  <c r="O56" i="5"/>
  <c r="M56" i="5"/>
  <c r="F56" i="5"/>
  <c r="K56" i="5"/>
  <c r="J56" i="5"/>
  <c r="H56" i="5"/>
  <c r="E56" i="5"/>
  <c r="C56" i="5"/>
  <c r="G55" i="3"/>
  <c r="D55" i="3"/>
  <c r="C55" i="3"/>
  <c r="I55" i="3"/>
  <c r="H55" i="3"/>
  <c r="E55" i="3"/>
  <c r="B55" i="3"/>
  <c r="M55" i="3"/>
  <c r="O55" i="3"/>
  <c r="N55" i="3"/>
  <c r="K55" i="3"/>
  <c r="L55" i="3"/>
  <c r="J55" i="3"/>
  <c r="F55" i="3"/>
  <c r="N48" i="7"/>
  <c r="B48" i="7"/>
  <c r="H48" i="7"/>
  <c r="J48" i="7"/>
  <c r="O48" i="7"/>
  <c r="K48" i="7"/>
  <c r="E48" i="7"/>
  <c r="C48" i="7"/>
  <c r="I48" i="7"/>
  <c r="L48" i="7"/>
  <c r="G48" i="7"/>
  <c r="F48" i="7"/>
  <c r="D48" i="7"/>
  <c r="M48" i="7"/>
  <c r="F37" i="8"/>
  <c r="O37" i="8"/>
  <c r="C37" i="8"/>
  <c r="D37" i="8"/>
  <c r="H37" i="8"/>
  <c r="L37" i="8"/>
  <c r="N37" i="8"/>
  <c r="J37" i="8"/>
  <c r="B37" i="8"/>
  <c r="G37" i="8"/>
  <c r="E37" i="8"/>
  <c r="I37" i="8"/>
  <c r="M37" i="8"/>
  <c r="K37" i="8"/>
  <c r="E61" i="4"/>
  <c r="M61" i="4"/>
  <c r="C61" i="4"/>
  <c r="B61" i="4"/>
  <c r="L61" i="4"/>
  <c r="K61" i="4"/>
  <c r="H61" i="4"/>
  <c r="G61" i="4"/>
  <c r="D61" i="4"/>
  <c r="O61" i="4"/>
  <c r="I61" i="4"/>
  <c r="F61" i="4"/>
  <c r="J61" i="4"/>
  <c r="N61" i="4"/>
  <c r="J52" i="7"/>
  <c r="I52" i="7"/>
  <c r="C52" i="7"/>
  <c r="G52" i="7"/>
  <c r="O52" i="7"/>
  <c r="K52" i="7"/>
  <c r="N52" i="7"/>
  <c r="F52" i="7"/>
  <c r="H52" i="7"/>
  <c r="E52" i="7"/>
  <c r="B52" i="7"/>
  <c r="L52" i="7"/>
  <c r="M52" i="7"/>
  <c r="D52" i="7"/>
  <c r="N65" i="8"/>
  <c r="B65" i="8"/>
  <c r="K65" i="8"/>
  <c r="C65" i="8"/>
  <c r="O65" i="8"/>
  <c r="E65" i="8"/>
  <c r="G65" i="8"/>
  <c r="M65" i="8"/>
  <c r="H65" i="8"/>
  <c r="J65" i="8"/>
  <c r="I65" i="8"/>
  <c r="D65" i="8"/>
  <c r="L65" i="8"/>
  <c r="P65" i="8"/>
  <c r="F65" i="8"/>
  <c r="N63" i="1"/>
  <c r="K63" i="1"/>
  <c r="O63" i="1"/>
  <c r="L63" i="1"/>
  <c r="I54" i="4"/>
  <c r="G54" i="4"/>
  <c r="O54" i="4"/>
  <c r="N54" i="4"/>
  <c r="K54" i="4"/>
  <c r="M54" i="4"/>
  <c r="L54" i="4"/>
  <c r="H54" i="4"/>
  <c r="F54" i="4"/>
  <c r="B54" i="4"/>
  <c r="J54" i="4"/>
  <c r="E54" i="4"/>
  <c r="D54" i="4"/>
  <c r="C54" i="4"/>
  <c r="L61" i="1"/>
  <c r="O61" i="1"/>
  <c r="N61" i="1"/>
  <c r="K61" i="1"/>
  <c r="G58" i="3"/>
  <c r="I58" i="3"/>
  <c r="H58" i="3"/>
  <c r="F58" i="3"/>
  <c r="E58" i="3"/>
  <c r="C58" i="3"/>
  <c r="B58" i="3"/>
  <c r="M58" i="3"/>
  <c r="J58" i="3"/>
  <c r="D58" i="3"/>
  <c r="O58" i="3"/>
  <c r="N58" i="3"/>
  <c r="L58" i="3"/>
  <c r="K58" i="3"/>
  <c r="P58" i="3"/>
  <c r="O46" i="7"/>
  <c r="C46" i="7"/>
  <c r="N46" i="7"/>
  <c r="F46" i="7"/>
  <c r="J46" i="7"/>
  <c r="E46" i="7"/>
  <c r="I46" i="7"/>
  <c r="B46" i="7"/>
  <c r="M46" i="7"/>
  <c r="L46" i="7"/>
  <c r="H46" i="7"/>
  <c r="K46" i="7"/>
  <c r="G46" i="7"/>
  <c r="D46" i="7"/>
  <c r="E67" i="4"/>
  <c r="I67" i="4"/>
  <c r="G67" i="4"/>
  <c r="F67" i="4"/>
  <c r="P67" i="4"/>
  <c r="B67" i="4"/>
  <c r="O67" i="4"/>
  <c r="M67" i="4"/>
  <c r="L67" i="4"/>
  <c r="D67" i="4"/>
  <c r="N67" i="4"/>
  <c r="K67" i="4"/>
  <c r="J67" i="4"/>
  <c r="H67" i="4"/>
  <c r="C67" i="4"/>
  <c r="L48" i="6"/>
  <c r="D48" i="6"/>
  <c r="M48" i="6"/>
  <c r="H48" i="6"/>
  <c r="C48" i="6"/>
  <c r="O48" i="6"/>
  <c r="I48" i="6"/>
  <c r="N48" i="6"/>
  <c r="K48" i="6"/>
  <c r="G48" i="6"/>
  <c r="F48" i="6"/>
  <c r="E48" i="6"/>
  <c r="B48" i="6"/>
  <c r="J48" i="6"/>
  <c r="O65" i="3"/>
  <c r="C65" i="3"/>
  <c r="N65" i="3"/>
  <c r="M65" i="3"/>
  <c r="F65" i="3"/>
  <c r="E65" i="3"/>
  <c r="B65" i="3"/>
  <c r="J65" i="3"/>
  <c r="D65" i="3"/>
  <c r="P65" i="3"/>
  <c r="K65" i="3"/>
  <c r="L65" i="3"/>
  <c r="I65" i="3"/>
  <c r="H65" i="3"/>
  <c r="G65" i="3"/>
  <c r="L42" i="6"/>
  <c r="K42" i="6"/>
  <c r="G42" i="6"/>
  <c r="P42" i="6"/>
  <c r="J42" i="6"/>
  <c r="E42" i="6"/>
  <c r="O42" i="6"/>
  <c r="N42" i="6"/>
  <c r="M42" i="6"/>
  <c r="I42" i="6"/>
  <c r="C42" i="6"/>
  <c r="H42" i="6"/>
  <c r="F42" i="6"/>
  <c r="D42" i="6"/>
  <c r="B42" i="6"/>
  <c r="H52" i="6"/>
  <c r="L52" i="6"/>
  <c r="F52" i="6"/>
  <c r="P52" i="6"/>
  <c r="B52" i="6"/>
  <c r="I52" i="6"/>
  <c r="C52" i="6"/>
  <c r="N52" i="6"/>
  <c r="M52" i="6"/>
  <c r="K52" i="6"/>
  <c r="J52" i="6"/>
  <c r="G52" i="6"/>
  <c r="E52" i="6"/>
  <c r="D52" i="6"/>
  <c r="O52" i="6"/>
  <c r="H51" i="5"/>
  <c r="I51" i="5"/>
  <c r="M51" i="5"/>
  <c r="G51" i="5"/>
  <c r="C51" i="5"/>
  <c r="E51" i="5"/>
  <c r="D51" i="5"/>
  <c r="K51" i="5"/>
  <c r="J51" i="5"/>
  <c r="B51" i="5"/>
  <c r="O51" i="5"/>
  <c r="N51" i="5"/>
  <c r="F51" i="5"/>
  <c r="L51" i="5"/>
  <c r="N54" i="7"/>
  <c r="B54" i="7"/>
  <c r="D54" i="7"/>
  <c r="M54" i="7"/>
  <c r="E54" i="7"/>
  <c r="K54" i="7"/>
  <c r="I54" i="7"/>
  <c r="C54" i="7"/>
  <c r="F54" i="7"/>
  <c r="H54" i="7"/>
  <c r="G54" i="7"/>
  <c r="L54" i="7"/>
  <c r="J54" i="7"/>
  <c r="O54" i="7"/>
  <c r="AC109" i="2"/>
  <c r="P51" i="8" s="1"/>
  <c r="I51" i="4"/>
  <c r="C51" i="4"/>
  <c r="F51" i="4"/>
  <c r="E51" i="4"/>
  <c r="O51" i="4"/>
  <c r="D51" i="4"/>
  <c r="B51" i="4"/>
  <c r="K51" i="4"/>
  <c r="N51" i="4"/>
  <c r="M51" i="4"/>
  <c r="L51" i="4"/>
  <c r="J51" i="4"/>
  <c r="G51" i="4"/>
  <c r="H51" i="4"/>
  <c r="I66" i="4"/>
  <c r="L66" i="4"/>
  <c r="H66" i="4"/>
  <c r="G66" i="4"/>
  <c r="D66" i="4"/>
  <c r="C66" i="4"/>
  <c r="N66" i="4"/>
  <c r="M66" i="4"/>
  <c r="J66" i="4"/>
  <c r="F66" i="4"/>
  <c r="O66" i="4"/>
  <c r="P66" i="4"/>
  <c r="K66" i="4"/>
  <c r="E66" i="4"/>
  <c r="B66" i="4"/>
  <c r="L54" i="6"/>
  <c r="P54" i="6"/>
  <c r="D54" i="6"/>
  <c r="C54" i="6"/>
  <c r="M54" i="6"/>
  <c r="J54" i="6"/>
  <c r="F54" i="6"/>
  <c r="I54" i="6"/>
  <c r="H54" i="6"/>
  <c r="E54" i="6"/>
  <c r="B54" i="6"/>
  <c r="O54" i="6"/>
  <c r="N54" i="6"/>
  <c r="K54" i="6"/>
  <c r="G54" i="6"/>
  <c r="N63" i="7"/>
  <c r="B63" i="7"/>
  <c r="D63" i="7"/>
  <c r="L63" i="7"/>
  <c r="C63" i="7"/>
  <c r="J63" i="7"/>
  <c r="F63" i="7"/>
  <c r="I63" i="7"/>
  <c r="P63" i="7"/>
  <c r="O63" i="7"/>
  <c r="M63" i="7"/>
  <c r="E63" i="7"/>
  <c r="K63" i="7"/>
  <c r="H63" i="7"/>
  <c r="G63" i="7"/>
  <c r="F50" i="7"/>
  <c r="O50" i="7"/>
  <c r="B50" i="7"/>
  <c r="G50" i="7"/>
  <c r="K50" i="7"/>
  <c r="M50" i="7"/>
  <c r="H50" i="7"/>
  <c r="L50" i="7"/>
  <c r="D50" i="7"/>
  <c r="N50" i="7"/>
  <c r="J50" i="7"/>
  <c r="E50" i="7"/>
  <c r="C50" i="7"/>
  <c r="I50" i="7"/>
  <c r="N53" i="8"/>
  <c r="B53" i="8"/>
  <c r="K53" i="8"/>
  <c r="G53" i="8"/>
  <c r="C53" i="8"/>
  <c r="H53" i="8"/>
  <c r="J53" i="8"/>
  <c r="D53" i="8"/>
  <c r="L53" i="8"/>
  <c r="O53" i="8"/>
  <c r="M53" i="8"/>
  <c r="I53" i="8"/>
  <c r="F53" i="8"/>
  <c r="E53" i="8"/>
  <c r="N62" i="8"/>
  <c r="B62" i="8"/>
  <c r="K62" i="8"/>
  <c r="G62" i="8"/>
  <c r="P62" i="8"/>
  <c r="E62" i="8"/>
  <c r="J62" i="8"/>
  <c r="C62" i="8"/>
  <c r="I62" i="8"/>
  <c r="O62" i="8"/>
  <c r="L62" i="8"/>
  <c r="M62" i="8"/>
  <c r="H62" i="8"/>
  <c r="F62" i="8"/>
  <c r="D62" i="8"/>
  <c r="G52" i="3"/>
  <c r="M52" i="3"/>
  <c r="L52" i="3"/>
  <c r="I52" i="3"/>
  <c r="H52" i="3"/>
  <c r="E52" i="3"/>
  <c r="D52" i="3"/>
  <c r="O52" i="3"/>
  <c r="P52" i="3"/>
  <c r="N52" i="3"/>
  <c r="K52" i="3"/>
  <c r="J52" i="3"/>
  <c r="C52" i="3"/>
  <c r="F52" i="3"/>
  <c r="B52" i="3"/>
  <c r="D6" i="4"/>
  <c r="A7" i="4" s="1"/>
  <c r="S65" i="1"/>
  <c r="S61" i="1"/>
  <c r="S63" i="1"/>
  <c r="S60" i="1"/>
  <c r="S67" i="1"/>
  <c r="S66" i="1"/>
  <c r="S62" i="1"/>
  <c r="S69" i="1"/>
  <c r="S68" i="1"/>
  <c r="S64" i="1"/>
  <c r="AC7" i="2"/>
  <c r="P42" i="3" s="1"/>
  <c r="AC31" i="2"/>
  <c r="P47" i="4" s="1"/>
  <c r="AC79" i="2"/>
  <c r="P44" i="7" s="1"/>
  <c r="M68" i="4"/>
  <c r="F68" i="4"/>
  <c r="E68" i="4"/>
  <c r="D68" i="4"/>
  <c r="O68" i="4"/>
  <c r="N68" i="4"/>
  <c r="C68" i="4"/>
  <c r="B68" i="4"/>
  <c r="J68" i="4"/>
  <c r="H68" i="4"/>
  <c r="G68" i="4"/>
  <c r="P68" i="4"/>
  <c r="I68" i="4"/>
  <c r="K68" i="4"/>
  <c r="L68" i="4"/>
  <c r="M25" i="1"/>
  <c r="M23" i="1"/>
  <c r="K45" i="3"/>
  <c r="G45" i="3"/>
  <c r="F45" i="3"/>
  <c r="L45" i="3"/>
  <c r="J45" i="3"/>
  <c r="E45" i="3"/>
  <c r="D45" i="3"/>
  <c r="C45" i="3"/>
  <c r="B45" i="3"/>
  <c r="N45" i="3"/>
  <c r="O45" i="3"/>
  <c r="M45" i="3"/>
  <c r="I45" i="3"/>
  <c r="H45" i="3"/>
  <c r="J64" i="7"/>
  <c r="N64" i="7"/>
  <c r="K64" i="7"/>
  <c r="P64" i="7"/>
  <c r="B64" i="7"/>
  <c r="L64" i="7"/>
  <c r="F64" i="7"/>
  <c r="O64" i="7"/>
  <c r="G64" i="7"/>
  <c r="H64" i="7"/>
  <c r="E64" i="7"/>
  <c r="C64" i="7"/>
  <c r="D64" i="7"/>
  <c r="M64" i="7"/>
  <c r="I64" i="7"/>
  <c r="J39" i="8"/>
  <c r="G39" i="8"/>
  <c r="O39" i="8"/>
  <c r="F39" i="8"/>
  <c r="L39" i="8"/>
  <c r="H39" i="8"/>
  <c r="B39" i="8"/>
  <c r="I39" i="8"/>
  <c r="D39" i="8"/>
  <c r="C39" i="8"/>
  <c r="E39" i="8"/>
  <c r="M39" i="8"/>
  <c r="N39" i="8"/>
  <c r="K39" i="8"/>
  <c r="N50" i="8"/>
  <c r="B50" i="8"/>
  <c r="K50" i="8"/>
  <c r="L50" i="8"/>
  <c r="D50" i="8"/>
  <c r="H50" i="8"/>
  <c r="O50" i="8"/>
  <c r="M50" i="8"/>
  <c r="F50" i="8"/>
  <c r="I50" i="8"/>
  <c r="G50" i="8"/>
  <c r="C50" i="8"/>
  <c r="E50" i="8"/>
  <c r="J50" i="8"/>
  <c r="L57" i="6"/>
  <c r="P57" i="6"/>
  <c r="D57" i="6"/>
  <c r="M57" i="6"/>
  <c r="H57" i="6"/>
  <c r="O57" i="6"/>
  <c r="I57" i="6"/>
  <c r="C57" i="6"/>
  <c r="G57" i="6"/>
  <c r="F57" i="6"/>
  <c r="B57" i="6"/>
  <c r="K57" i="6"/>
  <c r="J57" i="6"/>
  <c r="N57" i="6"/>
  <c r="E57" i="6"/>
  <c r="J61" i="7"/>
  <c r="I61" i="7"/>
  <c r="P61" i="7"/>
  <c r="B61" i="7"/>
  <c r="F61" i="7"/>
  <c r="H61" i="7"/>
  <c r="C61" i="7"/>
  <c r="N61" i="7"/>
  <c r="G61" i="7"/>
  <c r="O61" i="7"/>
  <c r="E61" i="7"/>
  <c r="M61" i="7"/>
  <c r="D61" i="7"/>
  <c r="K61" i="7"/>
  <c r="L61" i="7"/>
  <c r="H46" i="6"/>
  <c r="L46" i="6"/>
  <c r="P46" i="6"/>
  <c r="B46" i="6"/>
  <c r="K46" i="6"/>
  <c r="M46" i="6"/>
  <c r="F46" i="6"/>
  <c r="O46" i="6"/>
  <c r="N46" i="6"/>
  <c r="C46" i="6"/>
  <c r="I46" i="6"/>
  <c r="J46" i="6"/>
  <c r="G46" i="6"/>
  <c r="E46" i="6"/>
  <c r="D46" i="6"/>
  <c r="G64" i="3"/>
  <c r="D64" i="3"/>
  <c r="P64" i="3"/>
  <c r="C64" i="3"/>
  <c r="F64" i="3"/>
  <c r="E64" i="3"/>
  <c r="O64" i="3"/>
  <c r="K64" i="3"/>
  <c r="N64" i="3"/>
  <c r="M64" i="3"/>
  <c r="L64" i="3"/>
  <c r="J64" i="3"/>
  <c r="I64" i="3"/>
  <c r="H64" i="3"/>
  <c r="B64" i="3"/>
  <c r="N57" i="7"/>
  <c r="B57" i="7"/>
  <c r="H57" i="7"/>
  <c r="I57" i="7"/>
  <c r="M57" i="7"/>
  <c r="D57" i="7"/>
  <c r="C57" i="7"/>
  <c r="J57" i="7"/>
  <c r="K57" i="7"/>
  <c r="G57" i="7"/>
  <c r="E57" i="7"/>
  <c r="F57" i="7"/>
  <c r="O57" i="7"/>
  <c r="L57" i="7"/>
  <c r="H60" i="5"/>
  <c r="I60" i="5"/>
  <c r="D60" i="5"/>
  <c r="B60" i="5"/>
  <c r="M60" i="5"/>
  <c r="G60" i="5"/>
  <c r="O60" i="5"/>
  <c r="N60" i="5"/>
  <c r="L60" i="5"/>
  <c r="C60" i="5"/>
  <c r="K60" i="5"/>
  <c r="P60" i="5"/>
  <c r="J60" i="5"/>
  <c r="F60" i="5"/>
  <c r="E60" i="5"/>
  <c r="E64" i="4"/>
  <c r="D64" i="4"/>
  <c r="L64" i="4"/>
  <c r="K64" i="4"/>
  <c r="H64" i="4"/>
  <c r="G64" i="4"/>
  <c r="B64" i="4"/>
  <c r="P64" i="4"/>
  <c r="J64" i="4"/>
  <c r="O64" i="4"/>
  <c r="N64" i="4"/>
  <c r="I64" i="4"/>
  <c r="F64" i="4"/>
  <c r="C64" i="4"/>
  <c r="M64" i="4"/>
  <c r="J54" i="8"/>
  <c r="G54" i="8"/>
  <c r="E54" i="8"/>
  <c r="B54" i="8"/>
  <c r="H54" i="8"/>
  <c r="M54" i="8"/>
  <c r="F54" i="8"/>
  <c r="K54" i="8"/>
  <c r="D54" i="8"/>
  <c r="C54" i="8"/>
  <c r="O54" i="8"/>
  <c r="N54" i="8"/>
  <c r="L54" i="8"/>
  <c r="I54" i="8"/>
  <c r="D6" i="8"/>
  <c r="A7" i="8" s="1"/>
  <c r="O69" i="1"/>
  <c r="N69" i="1"/>
  <c r="L69" i="1"/>
  <c r="K69" i="1"/>
  <c r="O56" i="3"/>
  <c r="C56" i="3"/>
  <c r="N56" i="3"/>
  <c r="M56" i="3"/>
  <c r="H56" i="3"/>
  <c r="G56" i="3"/>
  <c r="E56" i="3"/>
  <c r="D56" i="3"/>
  <c r="L56" i="3"/>
  <c r="K56" i="3"/>
  <c r="J56" i="3"/>
  <c r="I56" i="3"/>
  <c r="F56" i="3"/>
  <c r="B56" i="3"/>
  <c r="AC15" i="2"/>
  <c r="P50" i="3" s="1"/>
  <c r="L6" i="6"/>
  <c r="J24" i="1"/>
  <c r="AC63" i="2"/>
  <c r="P38" i="6" s="1"/>
  <c r="AC87" i="2"/>
  <c r="P52" i="7" s="1"/>
  <c r="AC22" i="2"/>
  <c r="P57" i="3" s="1"/>
  <c r="AC46" i="2"/>
  <c r="P62" i="4" s="1"/>
  <c r="AC70" i="2"/>
  <c r="P45" i="6" s="1"/>
  <c r="AC94" i="2"/>
  <c r="P59" i="7" s="1"/>
  <c r="K44" i="7"/>
  <c r="G44" i="7"/>
  <c r="L44" i="7"/>
  <c r="J44" i="7"/>
  <c r="E44" i="7"/>
  <c r="I44" i="7"/>
  <c r="C44" i="7"/>
  <c r="D44" i="7"/>
  <c r="B44" i="7"/>
  <c r="O44" i="7"/>
  <c r="N44" i="7"/>
  <c r="F44" i="7"/>
  <c r="H44" i="7"/>
  <c r="M44" i="7"/>
  <c r="Q24" i="1" l="1"/>
  <c r="P6" i="6"/>
  <c r="P6" i="5"/>
  <c r="P6" i="3"/>
  <c r="Q25" i="1"/>
  <c r="P6" i="7"/>
  <c r="Q22" i="1"/>
  <c r="H68" i="1"/>
  <c r="C68" i="1"/>
  <c r="I68" i="1"/>
  <c r="G68" i="1"/>
  <c r="F68" i="1"/>
  <c r="B68" i="1"/>
  <c r="B35" i="1"/>
  <c r="N11" i="1"/>
  <c r="N17" i="1"/>
  <c r="K37" i="1"/>
  <c r="L37" i="1" s="1"/>
  <c r="H69" i="1"/>
  <c r="C69" i="1"/>
  <c r="G69" i="1"/>
  <c r="F69" i="1"/>
  <c r="I69" i="1"/>
  <c r="B69" i="1"/>
  <c r="P6" i="4"/>
  <c r="H61" i="1"/>
  <c r="C61" i="1"/>
  <c r="I61" i="1"/>
  <c r="G61" i="1"/>
  <c r="B61" i="1"/>
  <c r="F61" i="1"/>
  <c r="H62" i="1"/>
  <c r="C62" i="1"/>
  <c r="F62" i="1"/>
  <c r="I62" i="1"/>
  <c r="B62" i="1"/>
  <c r="G62" i="1"/>
  <c r="J27" i="1"/>
  <c r="Q21" i="1"/>
  <c r="H67" i="1"/>
  <c r="C67" i="1"/>
  <c r="F67" i="1"/>
  <c r="B67" i="1"/>
  <c r="I67" i="1"/>
  <c r="G67" i="1"/>
  <c r="Q26" i="1"/>
  <c r="H66" i="1"/>
  <c r="C66" i="1"/>
  <c r="I66" i="1"/>
  <c r="B66" i="1"/>
  <c r="G66" i="1"/>
  <c r="F66" i="1"/>
  <c r="H60" i="1"/>
  <c r="C60" i="1"/>
  <c r="I60" i="1"/>
  <c r="B60" i="1"/>
  <c r="G60" i="1"/>
  <c r="F60" i="1"/>
  <c r="H64" i="1"/>
  <c r="C64" i="1"/>
  <c r="I64" i="1"/>
  <c r="B64" i="1"/>
  <c r="G64" i="1"/>
  <c r="F64" i="1"/>
  <c r="H63" i="1"/>
  <c r="C63" i="1"/>
  <c r="G63" i="1"/>
  <c r="F63" i="1"/>
  <c r="B63" i="1"/>
  <c r="I63" i="1"/>
  <c r="P6" i="8"/>
  <c r="H65" i="1"/>
  <c r="C65" i="1"/>
  <c r="F65" i="1"/>
  <c r="I65" i="1"/>
  <c r="G65" i="1"/>
  <c r="B65" i="1"/>
  <c r="M27" i="1"/>
  <c r="B13" i="1"/>
  <c r="H11" i="1"/>
  <c r="Q2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Tracker</author>
  </authors>
  <commentList>
    <comment ref="D7" authorId="0" shapeId="0" xr:uid="{00000000-0006-0000-0000-000001000000}">
      <text>
        <r>
          <rPr>
            <sz val="11"/>
            <color theme="1"/>
            <rFont val="Calibri"/>
            <family val="2"/>
            <scheme val="minor"/>
          </rPr>
          <t>Leave blank to use today's date. Enter a date to view the project 'as of' that day.</t>
        </r>
      </text>
    </comment>
  </commentList>
</comments>
</file>

<file path=xl/sharedStrings.xml><?xml version="1.0" encoding="utf-8"?>
<sst xmlns="http://schemas.openxmlformats.org/spreadsheetml/2006/main" count="4112" uniqueCount="1903">
  <si>
    <t xml:space="preserve">  ALTIJARA MAGAZINE TRANSFORMATION  ·  EXECUTIVE DASHBOARD</t>
  </si>
  <si>
    <t xml:space="preserve">  Client: O2 Nations   ·   Solo Full-Stack Developer   ·   Build 12–25 Oct   ·   QA &amp; Deployment Prep 26–31 Oct   ·   Final deadline 1 Nov 2026</t>
  </si>
  <si>
    <t>Production (do not touch):</t>
  </si>
  <si>
    <t>https://altijaramagazine.com/</t>
  </si>
  <si>
    <t>Staging (all work here):</t>
  </si>
  <si>
    <t>https://chocolate-jellyfish-822708.hostingersite.com/</t>
  </si>
  <si>
    <t>Go to ▸</t>
  </si>
  <si>
    <t>Master</t>
  </si>
  <si>
    <t>P1</t>
  </si>
  <si>
    <t>P2</t>
  </si>
  <si>
    <t>P3</t>
  </si>
  <si>
    <t>P4</t>
  </si>
  <si>
    <t>P5</t>
  </si>
  <si>
    <t>P6</t>
  </si>
  <si>
    <t>QA</t>
  </si>
  <si>
    <t>Deploy</t>
  </si>
  <si>
    <t>Risks</t>
  </si>
  <si>
    <t>Req Map</t>
  </si>
  <si>
    <t xml:space="preserve">  CONTROL PANEL   (yellow cells are editable — everything else is calculated)</t>
  </si>
  <si>
    <t>Status date override</t>
  </si>
  <si>
    <t>Effective status date</t>
  </si>
  <si>
    <t>Final deadline</t>
  </si>
  <si>
    <t xml:space="preserve">  PROGRESS OVERVIEW</t>
  </si>
  <si>
    <t>OVERALL COMPLETION</t>
  </si>
  <si>
    <t>PLANNED BY STATUS DATE</t>
  </si>
  <si>
    <t>SCHEDULE VARIANCE</t>
  </si>
  <si>
    <t>DAYS TO 1 NOV</t>
  </si>
  <si>
    <t>SCHEDULE HEALTH</t>
  </si>
  <si>
    <t>average task completion</t>
  </si>
  <si>
    <t>baseline schedule</t>
  </si>
  <si>
    <t>actual − planned</t>
  </si>
  <si>
    <t>calendar days</t>
  </si>
  <si>
    <t>overdue, blocked &amp; variance</t>
  </si>
  <si>
    <t>TOTAL TASKS</t>
  </si>
  <si>
    <t>COMPLETED</t>
  </si>
  <si>
    <t>IN PROGRESS</t>
  </si>
  <si>
    <t>NOT STARTED</t>
  </si>
  <si>
    <t>REVIEW / TESTING</t>
  </si>
  <si>
    <t>BLOCKED</t>
  </si>
  <si>
    <t>OVERDUE</t>
  </si>
  <si>
    <t>OPEN P0</t>
  </si>
  <si>
    <t>in scope</t>
  </si>
  <si>
    <t xml:space="preserve">  PHASE PROGRESS   (click a phase name to open its tracker)</t>
  </si>
  <si>
    <t>Phase</t>
  </si>
  <si>
    <t>Phase name</t>
  </si>
  <si>
    <t>Window</t>
  </si>
  <si>
    <t>Tasks</t>
  </si>
  <si>
    <t>Done</t>
  </si>
  <si>
    <t>Blocked</t>
  </si>
  <si>
    <t>Overdue</t>
  </si>
  <si>
    <t>In Prog.</t>
  </si>
  <si>
    <t>Open P0</t>
  </si>
  <si>
    <t>Planned %</t>
  </si>
  <si>
    <t>Actual %</t>
  </si>
  <si>
    <t>Progress</t>
  </si>
  <si>
    <t>Health</t>
  </si>
  <si>
    <t>Theme Foundation &amp; Asset Pipeline</t>
  </si>
  <si>
    <t>Homepage &amp; Dynamic Section Manager</t>
  </si>
  <si>
    <t>Editorial &amp; Taxonomy Templates</t>
  </si>
  <si>
    <t>Digital Issues Archive &amp; CPT Engine</t>
  </si>
  <si>
    <t>Auth, Subscriptions, AdOps &amp; Leads</t>
  </si>
  <si>
    <t>Database Cleanup, Crawl Audit &amp; Cutover</t>
  </si>
  <si>
    <t>TOTAL</t>
  </si>
  <si>
    <t xml:space="preserve">  PRIORITY BREAKDOWN</t>
  </si>
  <si>
    <t xml:space="preserve">  STATUS MIX</t>
  </si>
  <si>
    <t xml:space="preserve">  OPEN EXTERNAL DEPENDENCIES</t>
  </si>
  <si>
    <t>Priority</t>
  </si>
  <si>
    <t>Completed</t>
  </si>
  <si>
    <t>Open</t>
  </si>
  <si>
    <t>% Done</t>
  </si>
  <si>
    <t>Status</t>
  </si>
  <si>
    <t>Count</t>
  </si>
  <si>
    <t>%</t>
  </si>
  <si>
    <t>Type</t>
  </si>
  <si>
    <t>Next due</t>
  </si>
  <si>
    <t>P0 · Must-have for launch</t>
  </si>
  <si>
    <t>Not Started</t>
  </si>
  <si>
    <t>Credentials</t>
  </si>
  <si>
    <t>P1 · Important</t>
  </si>
  <si>
    <t>In Progress</t>
  </si>
  <si>
    <t>Payment Approval</t>
  </si>
  <si>
    <t>P2 · Nice-to-have / deferrable</t>
  </si>
  <si>
    <t>Historical Assets</t>
  </si>
  <si>
    <t>In Review</t>
  </si>
  <si>
    <t>Server Access</t>
  </si>
  <si>
    <t>Testing</t>
  </si>
  <si>
    <t>Client Content</t>
  </si>
  <si>
    <t xml:space="preserve">  CHARTS   (update automatically from the Master Tracker)</t>
  </si>
  <si>
    <t xml:space="preserve">  UPCOMING DEADLINES   (next open tasks by due date)</t>
  </si>
  <si>
    <t xml:space="preserve">  CRITICAL BLOCKERS   (Blocked status or blocker text)</t>
  </si>
  <si>
    <t>ID</t>
  </si>
  <si>
    <t>Task</t>
  </si>
  <si>
    <t>Due</t>
  </si>
  <si>
    <t>Days</t>
  </si>
  <si>
    <t>Blocker / Issue</t>
  </si>
  <si>
    <t xml:space="preserve">  HOW TO USE</t>
  </si>
  <si>
    <t>1. Update Status, Completion %, Actual Hours and Completion Date only in the Master Tracker (white / yellow cells). Every other sheet updates automatically.</t>
  </si>
  <si>
    <t>2. Columns headed with ƒ (gray cells) are formulas — do not type over them. Yellow cells are editable inputs.</t>
  </si>
  <si>
    <t>3. Overall completion = average of all tasks: Completed = 100%, Not Started = 0%, otherwise the Completion % you enter (capped at 99%).</t>
  </si>
  <si>
    <t>4. Planned % = how far each task is through its Start→Due window on the status date. Change dates in the Master Tracker to re-baseline.</t>
  </si>
  <si>
    <t>5. Source note: built from the project brief. The 13-page Engineering Directive PDF was not available when generated — reconcile acceptance criteria against it (Risk R-01).</t>
  </si>
  <si>
    <t>6. Spare blank rows at the bottom of the Master Tracker are pre-wired for new tasks: give them an ID like P3-17 and a Phase, and they flow into every view.</t>
  </si>
  <si>
    <t xml:space="preserve">  MASTER PROJECT TRACKER  ·  single source of truth</t>
  </si>
  <si>
    <t xml:space="preserve">  Edit tasks here only — dashboard, phase sheets and requirement map recalculate automatically.</t>
  </si>
  <si>
    <t>Legend:</t>
  </si>
  <si>
    <t>Editable</t>
  </si>
  <si>
    <t>ƒ Calculated</t>
  </si>
  <si>
    <t>Status colors →</t>
  </si>
  <si>
    <t>Completed  ·  In Progress  ·  In Review / Testing  ·  Blocked / Overdue  ·  Not Started</t>
  </si>
  <si>
    <t>← Dashboard</t>
  </si>
  <si>
    <t>Staging ↗</t>
  </si>
  <si>
    <t>Live ↗</t>
  </si>
  <si>
    <t>Task ID</t>
  </si>
  <si>
    <t>Phase ▾</t>
  </si>
  <si>
    <t>Module ▾</t>
  </si>
  <si>
    <t>Task Name</t>
  </si>
  <si>
    <t>Detailed Description</t>
  </si>
  <si>
    <t>Priority ▾</t>
  </si>
  <si>
    <t>Status ▾</t>
  </si>
  <si>
    <t>Start Date ▾</t>
  </si>
  <si>
    <t>Due Date ▾</t>
  </si>
  <si>
    <t>Completion % ▾</t>
  </si>
  <si>
    <t>Dependencies ▾</t>
  </si>
  <si>
    <t>Environment ▾</t>
  </si>
  <si>
    <t>Related WordPress Files</t>
  </si>
  <si>
    <t>Testing Checklist</t>
  </si>
  <si>
    <t>Acceptance Criteria</t>
  </si>
  <si>
    <t>Blocker / Issue ▾</t>
  </si>
  <si>
    <t>Notes ▾</t>
  </si>
  <si>
    <t>Completion Date ▾</t>
  </si>
  <si>
    <t>External Requirement ▾</t>
  </si>
  <si>
    <t>Test Result ▾</t>
  </si>
  <si>
    <t>ƒ Effective %</t>
  </si>
  <si>
    <t>ƒ Planned %</t>
  </si>
  <si>
    <t>ƒ Days Left</t>
  </si>
  <si>
    <t>ƒ Overdue</t>
  </si>
  <si>
    <t>ƒ Dependency Check</t>
  </si>
  <si>
    <t>ƒ Phase Key</t>
  </si>
  <si>
    <t>ƒ Upcoming Key</t>
  </si>
  <si>
    <t>ƒ Blocker Key</t>
  </si>
  <si>
    <t>ƒ Alert</t>
  </si>
  <si>
    <t>P1-01</t>
  </si>
  <si>
    <t>Phase 1</t>
  </si>
  <si>
    <t>Staging Setup</t>
  </si>
  <si>
    <t>Staging environment readiness audit</t>
  </si>
  <si>
    <t>Confirm Hostinger staging access (hPanel, SFTP/SSH, phpMyAdmin), PHP 8.1+, WordPress &amp; plugin versions, memory limits; enable WP_DEBUG_LOG; block indexing (noindex + password/IP protection); disable or trap outgoing mail so staging never emails real readers.</t>
  </si>
  <si>
    <t>P0</t>
  </si>
  <si>
    <t>P6-02</t>
  </si>
  <si>
    <t>Staging (Hostinger)</t>
  </si>
  <si>
    <t>wp-config.php, .htaccess</t>
  </si>
  <si>
    <t>Log in via hPanel, SFTP and phpMyAdmin; confirm noindex header; send test mail is trapped</t>
  </si>
  <si>
    <t>Staging is reachable only by the team, not indexed, debug logging active, versions documented in Notes</t>
  </si>
  <si>
    <t>Not Tested</t>
  </si>
  <si>
    <t>P1-02</t>
  </si>
  <si>
    <t>Theme Scaffold</t>
  </si>
  <si>
    <t>Create custom theme structure + Git repo</t>
  </si>
  <si>
    <t>Create /wp-content/themes/altijara/ with style.css header (Text Domain altijara, RTL), functions.php loader, inc/, template-parts/, assets/{css,js,fonts,img}, languages/. Initialise a remote Git repository for the theme as the backup of all staging work (no local environment).</t>
  </si>
  <si>
    <t>style.css, functions.php, inc/, template-parts/, assets/</t>
  </si>
  <si>
    <t>Theme listed in Appearance &gt; Themes; activates with no PHP notices; first commit pushed</t>
  </si>
  <si>
    <t>Folder structure in place, theme activates cleanly on staging, repository holds initial commit</t>
  </si>
  <si>
    <t>None</t>
  </si>
  <si>
    <t>P1-03</t>
  </si>
  <si>
    <t>Theme Initialization</t>
  </si>
  <si>
    <t>Theme setup: supports, menus, image sizes</t>
  </si>
  <si>
    <t>inc/setup.php: add_theme_support (title-tag, post-thumbnails, html5, custom-logo, responsive-embeds, align-wide, editor-styles); register_nav_menus (primary, top-bar, footer, mobile); add_image_size (hero, card, thumb, issue-cover); load_theme_textdomain; content_width.</t>
  </si>
  <si>
    <t>inc/setup.php, functions.php</t>
  </si>
  <si>
    <t>Menus appear in Appearance &gt; Menus; new upload generates all image sizes; single &lt;title&gt; tag</t>
  </si>
  <si>
    <t>All supports, menus and image sizes registered; no duplicate title tags</t>
  </si>
  <si>
    <t>P1-04</t>
  </si>
  <si>
    <t>Asset Pipeline</t>
  </si>
  <si>
    <t>Asset enqueue, versioning &amp; conditional loading</t>
  </si>
  <si>
    <t>inc/enqueue.php: enqueue CSS/JS with filemtime() cache-busting, per-template conditional loading, defer/module attributes, preload primary Arabic font, remove emoji script, no jQuery dependency on the front end.</t>
  </si>
  <si>
    <t>inc/enqueue.php, assets/css/*, assets/js/*</t>
  </si>
  <si>
    <t>View source: versioned URLs, deferred scripts; Network tab shows no 404s and no jQuery on homepage</t>
  </si>
  <si>
    <t>All assets versioned and loaded only where needed; zero console errors</t>
  </si>
  <si>
    <t>P1-05</t>
  </si>
  <si>
    <t>PHP Templates</t>
  </si>
  <si>
    <t>Base template hierarchy</t>
  </si>
  <si>
    <t>Create header.php, footer.php, index.php, front-page.php, single.php, page.php, archive.php, category.php, tag.php, author.php, search.php, 404.php skeletons sharing a common layout wrapper.</t>
  </si>
  <si>
    <t>header.php, footer.php, index.php, front-page.php, single.php, page.php, archive.php, category.php, tag.php, author.php, search.php, 404.php</t>
  </si>
  <si>
    <t>Visit each route type; Query Monitor confirms expected template file</t>
  </si>
  <si>
    <t>Every WordPress route resolves to a theme template with header/footer; no fallback errors</t>
  </si>
  <si>
    <t>P1-06</t>
  </si>
  <si>
    <t>Components</t>
  </si>
  <si>
    <t>Reusable template-part components</t>
  </si>
  <si>
    <t>template-parts/components: card-hero, card-large, card-medium, card-list, card-mini, section-header, post-meta, category-badge, pagination, ad-slot, empty-state. All accept $args via get_template_part() and escape output (esc_html/esc_url/esc_attr).</t>
  </si>
  <si>
    <t>template-parts/components/*.php</t>
  </si>
  <si>
    <t>Render every component on a test page with real posts; test missing image/excerpt; check escaping</t>
  </si>
  <si>
    <t>Components reused by homepage and archives with no duplicated markup; all output escaped</t>
  </si>
  <si>
    <t>P1-07</t>
  </si>
  <si>
    <t>CSS Architecture</t>
  </si>
  <si>
    <t>CSS architecture &amp; design tokens</t>
  </si>
  <si>
    <t>assets/css: tokens.css (colors, spacing, type scale as custom properties), base, layout, components, utilities, templates. Use CSS logical properties for native RTL. No CSS framework. Minification delegated to LiteSpeed (no local build tooling).</t>
  </si>
  <si>
    <t>assets/css/tokens.css, base.css, layout.css, components.css, utilities.css</t>
  </si>
  <si>
    <t>Inspect computed styles use tokens; RTL correct without separate override file; CSS size checked</t>
  </si>
  <si>
    <t>Single token source; consistent styling; total CSS within agreed budget (target &lt; 100 KB uncompressed)</t>
  </si>
  <si>
    <t>P1-08</t>
  </si>
  <si>
    <t>Vanilla JS</t>
  </si>
  <si>
    <t>Vanilla JS module architecture</t>
  </si>
  <si>
    <t>assets/js/main.js bootstraps data-attribute driven modules (nav, drawer, search overlay, sticky header); IntersectionObserver utilities; respects prefers-reduced-motion; no jQuery.</t>
  </si>
  <si>
    <t>assets/js/main.js, assets/js/modules/*.js</t>
  </si>
  <si>
    <t>Console clean on Chrome &amp; Safari; page usable with JS disabled</t>
  </si>
  <si>
    <t>All interactions implemented in Vanilla JS; zero console errors; scripts deferred</t>
  </si>
  <si>
    <t>P1-09</t>
  </si>
  <si>
    <t>RTL Typography</t>
  </si>
  <si>
    <t>RTL layout &amp; Arabic typography</t>
  </si>
  <si>
    <t>html dir='rtl' lang='ar'; self-hosted Arabic WOFF2 fonts (font-display: swap, subset); Arabic-appropriate line-height &amp; type scale; bidi isolation for mixed Arabic/English strings; numerals policy.</t>
  </si>
  <si>
    <t>assets/fonts/*, assets/css/base.css, header.php</t>
  </si>
  <si>
    <t>Headlines/body render in Arabic font on iOS, Android, desktop; no invisible text flash; mixed strings align</t>
  </si>
  <si>
    <t>Correct RTL direction site-wide; fonts self-hosted; no layout shift from font swap</t>
  </si>
  <si>
    <t>P1-10</t>
  </si>
  <si>
    <t>Responsive Design</t>
  </si>
  <si>
    <t>Responsive grid &amp; breakpoints</t>
  </si>
  <si>
    <t>Mobile-first container and CSS grid; breakpoints 360/576/768/1024/1280+; fluid type with clamp(); responsive images with srcset/sizes.</t>
  </si>
  <si>
    <t>assets/css/layout.css</t>
  </si>
  <si>
    <t>Test 360, 414, 768, 1024, 1440 px widths; no horizontal scroll</t>
  </si>
  <si>
    <t>All layouts usable at 360 px; no overflow; correctly sized images</t>
  </si>
  <si>
    <t>P1-11</t>
  </si>
  <si>
    <t>Header &amp; Navigation</t>
  </si>
  <si>
    <t>Header, navigation, mobile drawer &amp; search</t>
  </si>
  <si>
    <t>Top bar with Arabic date, custom logo, primary menu with dropdowns, off-canvas mobile drawer, search overlay, sticky header; keyboard and screen-reader accessible.</t>
  </si>
  <si>
    <t>P1-06, P1-08, P1-15</t>
  </si>
  <si>
    <t>header.php, template-parts/header/*.php, assets/js/modules/nav.js</t>
  </si>
  <si>
    <t>Drawer opens/closes, Esc closes, focus trapped; search submits; menu edited in WP admin updates header</t>
  </si>
  <si>
    <t>Navigation works on touch and keyboard; fully managed from WordPress menus</t>
  </si>
  <si>
    <t>P1-12</t>
  </si>
  <si>
    <t>Footer</t>
  </si>
  <si>
    <t>Footer with editable menus &amp; social links</t>
  </si>
  <si>
    <t>Footer menus, social links via Customizer, newsletter/CTA slot, copyright, back-to-top.</t>
  </si>
  <si>
    <t>footer.php, template-parts/footer/*.php</t>
  </si>
  <si>
    <t>All links resolve; social URLs editable in Customizer</t>
  </si>
  <si>
    <t>Footer content editable without code</t>
  </si>
  <si>
    <t>P1-13</t>
  </si>
  <si>
    <t>WordPress Integration</t>
  </si>
  <si>
    <t>Core WordPress integration &amp; editor styles</t>
  </si>
  <si>
    <t>wp_head/wp_body_open/wp_footer, body_class/post_class, widget areas (article sidebar, archive sidebar, footer), skip-link, editor-style.css so Gutenberg preview matches front end, oEmbed styling.</t>
  </si>
  <si>
    <t>functions.php, inc/widgets.php, assets/css/editor-style.css</t>
  </si>
  <si>
    <t>SEO and LiteSpeed plugins inject head tags; widgets render; editor preview matches front end</t>
  </si>
  <si>
    <t>Theme compatible with WordPress core and active plugins; no missing hooks</t>
  </si>
  <si>
    <t>P1-14</t>
  </si>
  <si>
    <t>Query Caching</t>
  </si>
  <si>
    <t>Query caching layer with auto-invalidation</t>
  </si>
  <si>
    <t>inc/cache.php: altijara_cached_query($key,$args,$ttl) using transients/object cache with versioned namespaced keys; invalidation on save_post, transition_post_status, delete_post and term edits; no_found_rows/fields optimizations.</t>
  </si>
  <si>
    <t>inc/cache.php</t>
  </si>
  <si>
    <t>Query Monitor shows reduced queries on warm load; publishing a post refreshes affected sections immediately</t>
  </si>
  <si>
    <t>Homepage warm-cache DB queries within target (≤ 40); no stale content after publish</t>
  </si>
  <si>
    <t>P1-15</t>
  </si>
  <si>
    <t>Date Helpers</t>
  </si>
  <si>
    <t>Arabic date, relative time &amp; reading-time helpers</t>
  </si>
  <si>
    <t>inc/helpers-date.php: Arabic month/day names, formatted dates, relative time (e.g. 'منذ ساعتين'), optional Arabic-Indic digits, Hijri date for top bar if required, reading-time estimator.</t>
  </si>
  <si>
    <t>inc/helpers-date.php</t>
  </si>
  <si>
    <t>Check outputs for today, yesterday, last month and last year in site timezone</t>
  </si>
  <si>
    <t>All templates use helpers; dates correct in site timezone</t>
  </si>
  <si>
    <t>P1-16</t>
  </si>
  <si>
    <t>Media</t>
  </si>
  <si>
    <t>Image handling, lazy-load &amp; fallbacks</t>
  </si>
  <si>
    <t>Lazy-loading, srcset/sizes on every card, default fallback image for legacy posts without thumbnails, WebP via LiteSpeed/hosting, aspect-ratio boxes to prevent CLS.</t>
  </si>
  <si>
    <t>inc/media.php, template-parts/components/*</t>
  </si>
  <si>
    <t>Legacy post without featured image shows fallback; no layout shift on card grids</t>
  </si>
  <si>
    <t>Every card shows an image or fallback; CLS &lt; 0.1 on archives</t>
  </si>
  <si>
    <t>P1-17</t>
  </si>
  <si>
    <t>Phase QA</t>
  </si>
  <si>
    <t>Phase 1 verification &amp; tag v0.1</t>
  </si>
  <si>
    <t>Activate theme on staging, review debug.log, PHP 8.x compatibility, render sample pages, tag release v0.1 in Git.</t>
  </si>
  <si>
    <t>P1-11, P1-13, P1-14, P1-16</t>
  </si>
  <si>
    <t>debug.log</t>
  </si>
  <si>
    <t>debug.log has no theme notices; all templates load</t>
  </si>
  <si>
    <t>Foundation signed off; Phase 2 can start</t>
  </si>
  <si>
    <t>P2-01</t>
  </si>
  <si>
    <t>Phase 2</t>
  </si>
  <si>
    <t>Section Manager</t>
  </si>
  <si>
    <t>Section Manager engine &amp; schema</t>
  </si>
  <si>
    <t>inc/section-manager/: registry where each section defines title, source type (category / tag / manual), term IDs, post count, orderby, order, offset, exclude-duplicates, layout, visibility, cache TTL, ad slot; renderer maps sections to components.</t>
  </si>
  <si>
    <t>P1-06, P1-14</t>
  </si>
  <si>
    <t>inc/section-manager/registry.php, query-builder.php, render.php</t>
  </si>
  <si>
    <t>Register a test section; change schema values; output changes accordingly</t>
  </si>
  <si>
    <t>Every homepage section is rendered from the registry; no hard-coded queries in front-page.php</t>
  </si>
  <si>
    <t>P2-02</t>
  </si>
  <si>
    <t>Customizer</t>
  </si>
  <si>
    <t>Customizer 'Homepage Sections' panel</t>
  </si>
  <si>
    <t>Panel with one section per homepage block; settings stored as theme_mods; sanitize callback on every control; selective refresh / postMessage preview where possible.</t>
  </si>
  <si>
    <t>inc/customizer/panel-homepage.php, assets/js/customizer-preview.js</t>
  </si>
  <si>
    <t>Editor (non-admin) changes a section in Customizer and publishes; invalid values rejected</t>
  </si>
  <si>
    <t>All sections configurable in Customizer with live preview and sanitized values</t>
  </si>
  <si>
    <t>P2-03</t>
  </si>
  <si>
    <t>Customizer Controls</t>
  </si>
  <si>
    <t>Dynamic category / tag selection</t>
  </si>
  <si>
    <t>Custom WP_Customize_Control: searchable multi-select for categories and tags storing term IDs (survives renames).</t>
  </si>
  <si>
    <t>inc/customizer/controls/term-select.php, assets/js/customizer-controls.js</t>
  </si>
  <si>
    <t>Select 2 categories + 1 tag; rename a category; section still pulls correctly</t>
  </si>
  <si>
    <t>Sections can be sourced from any category/tag combination by ID</t>
  </si>
  <si>
    <t>P2-04</t>
  </si>
  <si>
    <t>Post count, sorting &amp; offset controls</t>
  </si>
  <si>
    <t>Count (1–20), orderby (date, modified, comment_count, most-read, random), order ASC/DESC and offset; query builder maps to WP_Query args.</t>
  </si>
  <si>
    <t>inc/section-manager/query-builder.php</t>
  </si>
  <si>
    <t>Change count, order and offset; verify returned posts in Query Monitor</t>
  </si>
  <si>
    <t>Count, sorting and offset behave exactly as configured</t>
  </si>
  <si>
    <t>P2-05</t>
  </si>
  <si>
    <t>Manual post selection (post picker)</t>
  </si>
  <si>
    <t>Post-picker control searching /wp/v2/posts via REST with sortable selected list; manual selection overrides automatic source.</t>
  </si>
  <si>
    <t>inc/customizer/controls/post-picker.php, assets/js/customizer-controls.js</t>
  </si>
  <si>
    <t>Pick 4 posts, reorder, publish; homepage shows them in chosen order</t>
  </si>
  <si>
    <t>Editors can pin specific posts in a chosen order</t>
  </si>
  <si>
    <t>P2-06</t>
  </si>
  <si>
    <t>Layout switching per section</t>
  </si>
  <si>
    <t>Layout variants per section (hero+list, grid-3, grid-4, list, slider, carousel) mapped to component templates.</t>
  </si>
  <si>
    <t>template-parts/sections/*.php</t>
  </si>
  <si>
    <t>Switch each section through every layout at 360 px and 1440 px</t>
  </si>
  <si>
    <t>Each layout renders correctly and responsively</t>
  </si>
  <si>
    <t>P2-07</t>
  </si>
  <si>
    <t>Section visibility, ordering &amp; de-duplication</t>
  </si>
  <si>
    <t>Show/hide toggle per section, sortable section order setting, global de-duplication so a post appears only once on the homepage.</t>
  </si>
  <si>
    <t>inc/section-manager/render.php, inc/customizer/controls/sortable.php</t>
  </si>
  <si>
    <t>Hide a section, reorder two sections, confirm no duplicate posts across sections</t>
  </si>
  <si>
    <t>Visibility, order and de-duplication controlled from Customizer</t>
  </si>
  <si>
    <t>P2-08</t>
  </si>
  <si>
    <t>Cache Controls</t>
  </si>
  <si>
    <t>Section cache controls + LiteSpeed purge</t>
  </si>
  <si>
    <t>Per-section TTL; 'Purge homepage cache' button (nonce + capability check); auto-purge on publish/update; triggers LiteSpeed purge action.</t>
  </si>
  <si>
    <t>P1-14, P2-01</t>
  </si>
  <si>
    <t>inc/section-manager/cache.php</t>
  </si>
  <si>
    <t>Publish a post → appears on homepage after purge; purge button works only for editors+</t>
  </si>
  <si>
    <t>Homepage never serves stale sections after publish; manual purge available</t>
  </si>
  <si>
    <t>P2-09</t>
  </si>
  <si>
    <t>Homepage Sections</t>
  </si>
  <si>
    <t>Homepage hero</t>
  </si>
  <si>
    <t>Lead story + 2–4 secondary stories sourced via Section Manager (featured tag or manual picks), responsive art direction.</t>
  </si>
  <si>
    <t>template-parts/sections/hero.php</t>
  </si>
  <si>
    <t>Change hero source; check mobile crop and title wrapping in Arabic</t>
  </si>
  <si>
    <t>Hero is editor-controlled and renders well on all breakpoints</t>
  </si>
  <si>
    <t>P2-10</t>
  </si>
  <si>
    <t>Breaking news ticker</t>
  </si>
  <si>
    <t>Source tag/category (e.g. 'عاجل'); Vanilla JS RTL marquee; pause on hover/focus; reduced-motion fallback; hidden when empty.</t>
  </si>
  <si>
    <t>template-parts/sections/ticker.php, assets/js/modules/ticker.js</t>
  </si>
  <si>
    <t>Add/remove breaking tag; test RTL scroll direction, hover pause, reduced motion</t>
  </si>
  <si>
    <t>Ticker updates from WordPress, scrolls RTL and is accessible</t>
  </si>
  <si>
    <t>P2-11</t>
  </si>
  <si>
    <t>Magazine cover slider</t>
  </si>
  <si>
    <t>Latest N issues from magazine_issue CPT; touch swipe; lazy covers; links to single issue. Built with placeholders, wired once CPT exists.</t>
  </si>
  <si>
    <t>P2-01, P4-01</t>
  </si>
  <si>
    <t>template-parts/sections/cover-slider.php, assets/js/modules/slider.js</t>
  </si>
  <si>
    <t>Swipe on mobile; covers lazy-load; links open correct issue</t>
  </si>
  <si>
    <t>Slider shows latest issues automatically</t>
  </si>
  <si>
    <t>P2-12</t>
  </si>
  <si>
    <t>Chamber section</t>
  </si>
  <si>
    <t>Chamber news block with configurable source and layout.</t>
  </si>
  <si>
    <t>template-parts/sections/*</t>
  </si>
  <si>
    <t>Configure source and layout; verify output</t>
  </si>
  <si>
    <t>Chamber section renders configured posts</t>
  </si>
  <si>
    <t>P2-13</t>
  </si>
  <si>
    <t>Opinion / columnists section</t>
  </si>
  <si>
    <t>Columnist cards with author avatar, name and column title; links to author profiles.</t>
  </si>
  <si>
    <t>template-parts/sections/opinion.php</t>
  </si>
  <si>
    <t>Check avatars, author links, fallback avatar</t>
  </si>
  <si>
    <t>Opinion section shows writers with working profile links</t>
  </si>
  <si>
    <t>P2-14</t>
  </si>
  <si>
    <t>Reports section</t>
  </si>
  <si>
    <t>Reports block with featured report + list layout.</t>
  </si>
  <si>
    <t>Configure; verify output and layout</t>
  </si>
  <si>
    <t>Reports section renders configured posts</t>
  </si>
  <si>
    <t>P2-15</t>
  </si>
  <si>
    <t>Latest news &amp; article grid sections</t>
  </si>
  <si>
    <t>Generic article grids (latest news, more stories) with 'view all' link to archive.</t>
  </si>
  <si>
    <t>template-parts/sections/grid.php</t>
  </si>
  <si>
    <t>Verify counts, links and de-duplication</t>
  </si>
  <si>
    <t>Article grids render and link to archives</t>
  </si>
  <si>
    <t>P2-16</t>
  </si>
  <si>
    <t>Sector Sections</t>
  </si>
  <si>
    <t>Business section</t>
  </si>
  <si>
    <t>Configure and style Business section via Section Manager.</t>
  </si>
  <si>
    <t>Verify source, count, layout</t>
  </si>
  <si>
    <t>Section live and editor-configurable</t>
  </si>
  <si>
    <t>P2-17</t>
  </si>
  <si>
    <t>Real Estate section</t>
  </si>
  <si>
    <t>Configure and style Real Estate section via Section Manager.</t>
  </si>
  <si>
    <t>P2-18</t>
  </si>
  <si>
    <t>Automotive section</t>
  </si>
  <si>
    <t>Configure and style Automotive section via Section Manager.</t>
  </si>
  <si>
    <t>P2-19</t>
  </si>
  <si>
    <t>Technology section</t>
  </si>
  <si>
    <t>Configure and style Technology section via Section Manager.</t>
  </si>
  <si>
    <t>P2-20</t>
  </si>
  <si>
    <t>Healthcare section</t>
  </si>
  <si>
    <t>Configure and style Healthcare section via Section Manager.</t>
  </si>
  <si>
    <t>P2-21</t>
  </si>
  <si>
    <t>Tourism section</t>
  </si>
  <si>
    <t>Configure and style Tourism section via Section Manager.</t>
  </si>
  <si>
    <t>P2-22</t>
  </si>
  <si>
    <t>Most Read</t>
  </si>
  <si>
    <t>Most-read widget &amp; view counter</t>
  </si>
  <si>
    <t>Reuse legacy JNews view meta if present (see P6-04), else lightweight counter via REST beacon (works behind page cache) with bot filtering &amp; throttling; 24h/7d/30d tabs; cached; usable as widget and homepage block.</t>
  </si>
  <si>
    <t>P1-14, P6-04</t>
  </si>
  <si>
    <t>inc/most-read.php, inc/widgets/most-read-widget.php, assets/js/modules/views.js</t>
  </si>
  <si>
    <t>Open articles in private windows; counts increase once per session; tabs switch</t>
  </si>
  <si>
    <t>Most-read list accurate, cached, and works with LiteSpeed page cache</t>
  </si>
  <si>
    <t>P2-23</t>
  </si>
  <si>
    <t>AdOps</t>
  </si>
  <si>
    <t>Homepage advertisement slots</t>
  </si>
  <si>
    <t>Leaderboard/MPU slots between sections managed via Customizer/widgets (image+link or ad code), lazy-loaded, reserved space to avoid CLS.</t>
  </si>
  <si>
    <t>template-parts/components/ad-slot.php</t>
  </si>
  <si>
    <t>Add an ad in Customizer; check placement &amp; no layout shift</t>
  </si>
  <si>
    <t>Ads managed without code; no CLS</t>
  </si>
  <si>
    <t>P2-24</t>
  </si>
  <si>
    <t>Homepage performance &amp; responsive sign-off</t>
  </si>
  <si>
    <t>Query Monitor (queries/time), Lighthouse mobile, RTL/responsive pass; share staging link with client for feedback.</t>
  </si>
  <si>
    <t>P2-09, P2-10, P2-22</t>
  </si>
  <si>
    <t>front-page.php</t>
  </si>
  <si>
    <t>Lighthouse mobile run; Query Monitor warm/cold; 360/768/1440 check</t>
  </si>
  <si>
    <t>Homepage meets performance targets and is approved for Phase 3</t>
  </si>
  <si>
    <t>P3-01</t>
  </si>
  <si>
    <t>Phase 3</t>
  </si>
  <si>
    <t>Single Article</t>
  </si>
  <si>
    <t>Single article template</t>
  </si>
  <si>
    <t>single.php: headline, subtitle/excerpt, featured image with caption &amp; credit, content typography, tags, author box, sidebar (most-read, ads).</t>
  </si>
  <si>
    <t>single.php, template-parts/article/*.php</t>
  </si>
  <si>
    <t>Open 20 sample articles across years and categories</t>
  </si>
  <si>
    <t>Articles render correctly with full layout on all breakpoints</t>
  </si>
  <si>
    <t>P3-02</t>
  </si>
  <si>
    <t>Article Metadata</t>
  </si>
  <si>
    <t>Article metadata</t>
  </si>
  <si>
    <t>Author, publish &amp; updated dates (Arabic helpers), reading time, category badges, tags, view count.</t>
  </si>
  <si>
    <t>P3-01, P1-15</t>
  </si>
  <si>
    <t>template-parts/article/meta.php</t>
  </si>
  <si>
    <t>Compare metadata with WP admin values for 10 posts</t>
  </si>
  <si>
    <t>Metadata accurate and localized</t>
  </si>
  <si>
    <t>P3-03</t>
  </si>
  <si>
    <t>Legacy Content</t>
  </si>
  <si>
    <t>Legacy JNews content &amp; shortcode rendering</t>
  </si>
  <si>
    <t>Render or gracefully strip JNews shortcodes/legacy markup found in the audit; style classic &amp; Gutenberg content (images, captions, galleries, embeds, tables, blockquotes).</t>
  </si>
  <si>
    <t>P3-01, P6-04</t>
  </si>
  <si>
    <t>inc/legacy-shortcodes.php, assets/css/content.css</t>
  </si>
  <si>
    <t>Open posts flagged in P6-04 audit; no raw [shortcodes] visible</t>
  </si>
  <si>
    <t>No raw shortcodes or broken legacy markup in any of the 2,645 articles</t>
  </si>
  <si>
    <t>P3-04</t>
  </si>
  <si>
    <t>Engagement</t>
  </si>
  <si>
    <t>Reading progress bar</t>
  </si>
  <si>
    <t>Vanilla JS progress indicator (requestAnimationFrame), RTL fill direction, hidden on short posts.</t>
  </si>
  <si>
    <t>assets/js/modules/progress.js</t>
  </si>
  <si>
    <t>Scroll long article; check direction and smoothness on mobile</t>
  </si>
  <si>
    <t>Progress bar accurate, smooth, RTL</t>
  </si>
  <si>
    <t>P3-05</t>
  </si>
  <si>
    <t>Social sharing</t>
  </si>
  <si>
    <t>WhatsApp, X, Facebook, LinkedIn, Telegram, copy-link and native Web Share API on mobile; no third-party scripts.</t>
  </si>
  <si>
    <t>template-parts/article/share.php, assets/js/modules/share.js</t>
  </si>
  <si>
    <t>Share each network; check URL encoding of Arabic titles</t>
  </si>
  <si>
    <t>All share targets open with correct title and URL</t>
  </si>
  <si>
    <t>P3-06</t>
  </si>
  <si>
    <t>In-article advertisement injection</t>
  </si>
  <si>
    <t>the_content filter injects ad slot after paragraph N and every M paragraphs; skips short articles; never inside blockquote/table/embed; configurable in Customizer.</t>
  </si>
  <si>
    <t>P3-01, P2-23</t>
  </si>
  <si>
    <t>inc/content-filters.php</t>
  </si>
  <si>
    <t>Test short, long and embed-heavy articles</t>
  </si>
  <si>
    <t>Ads appear at configured positions without breaking content</t>
  </si>
  <si>
    <t>P3-07</t>
  </si>
  <si>
    <t>Related articles</t>
  </si>
  <si>
    <t>Related posts by shared category + tags, cached, excludes current post, fallback to latest in category.</t>
  </si>
  <si>
    <t>P3-01, P1-14</t>
  </si>
  <si>
    <t>template-parts/article/related.php</t>
  </si>
  <si>
    <t>Check relevance on 5 posts; check cache</t>
  </si>
  <si>
    <t>Related list relevant and cached</t>
  </si>
  <si>
    <t>P3-08</t>
  </si>
  <si>
    <t>Author Profiles</t>
  </si>
  <si>
    <t>Author box &amp; author profile template</t>
  </si>
  <si>
    <t>Author box on articles; author.php with avatar, bio, social links, role and paginated post list.</t>
  </si>
  <si>
    <t>author.php, template-parts/article/author-box.php</t>
  </si>
  <si>
    <t>Open 5 author pages incl. one with no bio/avatar</t>
  </si>
  <si>
    <t>Every author has a working profile page</t>
  </si>
  <si>
    <t>P3-09</t>
  </si>
  <si>
    <t>Category Archives</t>
  </si>
  <si>
    <t>Category archive template</t>
  </si>
  <si>
    <t>category.php with category hero, featured lead post, subcategory navigation, post grid, sidebar.</t>
  </si>
  <si>
    <t>category.php, archive.php</t>
  </si>
  <si>
    <t>Check every top-level category and 3 subcategories</t>
  </si>
  <si>
    <t>All categories render with correct posts and SEO-friendly URLs</t>
  </si>
  <si>
    <t>P3-10</t>
  </si>
  <si>
    <t>Taxonomy</t>
  </si>
  <si>
    <t>Tag archive, search results &amp; 404</t>
  </si>
  <si>
    <t>tag.php, search.php with highlighted results, 404.php with search and latest posts.</t>
  </si>
  <si>
    <t>tag.php, search.php, 404.php</t>
  </si>
  <si>
    <t>Search Arabic terms; visit unknown URL</t>
  </si>
  <si>
    <t>Search returns relevant results; 404 helpful</t>
  </si>
  <si>
    <t>P3-11</t>
  </si>
  <si>
    <t>AJAX Filtering</t>
  </si>
  <si>
    <t>AJAX archive filtering</t>
  </si>
  <si>
    <t>REST endpoint (nonce, sanitized params) filtering by subcategory, date range and sort; updates grid without reload; history.pushState with crawlable fallback URLs.</t>
  </si>
  <si>
    <t>inc/rest/archive-filter.php, assets/js/modules/filter.js</t>
  </si>
  <si>
    <t>Apply filters; use back button; disable JS and confirm links still work</t>
  </si>
  <si>
    <t>Filtering fast (&lt; 500 ms server), shareable URLs, works without JS</t>
  </si>
  <si>
    <t>P3-12</t>
  </si>
  <si>
    <t>Archive UX</t>
  </si>
  <si>
    <t>Grid / list view switching</t>
  </si>
  <si>
    <t>Toggle between grid and list views; remembers preference per visitor.</t>
  </si>
  <si>
    <t>assets/js/modules/view-toggle.js</t>
  </si>
  <si>
    <t>Toggle on archive; reload page; preference kept</t>
  </si>
  <si>
    <t>Toggle works on all archives</t>
  </si>
  <si>
    <t>P3-13</t>
  </si>
  <si>
    <t>Pagination</t>
  </si>
  <si>
    <t>Numbered pagination with SEO-friendly /page/N/ URLs; optional 'load more' enhancement.</t>
  </si>
  <si>
    <t>template-parts/components/pagination.php</t>
  </si>
  <si>
    <t>Navigate to last page of large category; check rel/canonical</t>
  </si>
  <si>
    <t>Pagination works on all archives without duplicate content issues</t>
  </si>
  <si>
    <t>P3-14</t>
  </si>
  <si>
    <t>Print</t>
  </si>
  <si>
    <t>Print stylesheet</t>
  </si>
  <si>
    <t>print.css hiding nav/ads/share, readable article typography, URL and date in footer.</t>
  </si>
  <si>
    <t>assets/css/print.css</t>
  </si>
  <si>
    <t>Print preview article in Chrome and Safari</t>
  </si>
  <si>
    <t>Clean printable article</t>
  </si>
  <si>
    <t>P3-15</t>
  </si>
  <si>
    <t>SEO</t>
  </si>
  <si>
    <t>SEO compatibility, schema &amp; breadcrumbs</t>
  </si>
  <si>
    <t>Compatibility with the active SEO plugin (titles, meta, canonical, OG/Twitter, sitemaps); NewsArticle/Article schema; breadcrumbs; no duplicate meta from theme.</t>
  </si>
  <si>
    <t>P3-01, P3-09, P6-06</t>
  </si>
  <si>
    <t>inc/seo.php, header.php</t>
  </si>
  <si>
    <t>Compare head tags with baseline; Rich Results test on 3 articles</t>
  </si>
  <si>
    <t>SEO output matches or improves baseline; valid structured data</t>
  </si>
  <si>
    <t>P3-16</t>
  </si>
  <si>
    <t>Editorial templates sign-off</t>
  </si>
  <si>
    <t>Run template checks from QA sheet for article, category, author, tag and search templates.</t>
  </si>
  <si>
    <t>P3-03, P3-11, P3-15</t>
  </si>
  <si>
    <t>—</t>
  </si>
  <si>
    <t>QA sheet rows for templates 2–4</t>
  </si>
  <si>
    <t>Templates approved for Phase 4</t>
  </si>
  <si>
    <t>P4-01</t>
  </si>
  <si>
    <t>Phase 4</t>
  </si>
  <si>
    <t>CPT Engine</t>
  </si>
  <si>
    <t>Register magazine_issue custom post type</t>
  </si>
  <si>
    <t>inc/cpt-issues.php: CPT with archive, rewrite slug, REST support, labels in Arabic, supports title/thumbnail/excerpt.</t>
  </si>
  <si>
    <t>inc/cpt-issues.php</t>
  </si>
  <si>
    <t>Create test issue; check archive URL and REST response; flush permalinks</t>
  </si>
  <si>
    <t>CPT live with clean URLs</t>
  </si>
  <si>
    <t>P4-02</t>
  </si>
  <si>
    <t>Issue fields: number, date, year, decade, PDF, access</t>
  </si>
  <si>
    <t>Meta fields: issue number, publication month/year, year &amp; decade (auto-derived), PDF attachment, page count, access level (free / members / subscribers), featured articles.</t>
  </si>
  <si>
    <t>inc/issue-meta.php</t>
  </si>
  <si>
    <t>Save issue; decade auto-calculates; invalid values rejected</t>
  </si>
  <si>
    <t>All issue metadata editable and validated</t>
  </si>
  <si>
    <t>P4-03</t>
  </si>
  <si>
    <t>Collect 48 historical issue PDFs, covers &amp; manifest</t>
  </si>
  <si>
    <t>Request from client: all 48 PDFs, cover images and a manifest (issue number, date, title). Track missing items.</t>
  </si>
  <si>
    <t>External / Third-party</t>
  </si>
  <si>
    <t>url: shared drive</t>
  </si>
  <si>
    <t>Count received files = 48 PDFs + 48 covers; manifest complete</t>
  </si>
  <si>
    <t>All historical assets received and checked</t>
  </si>
  <si>
    <t>P4-04</t>
  </si>
  <si>
    <t>Migration</t>
  </si>
  <si>
    <t>Historical issue migration (import 48 issues)</t>
  </si>
  <si>
    <t>CSV manifest + idempotent importer (WP-CLI via Hostinger SSH or one-time admin tool) creating issues, attaching covers and PDFs; re-runnable without duplicates.</t>
  </si>
  <si>
    <t>P4-02, P4-03</t>
  </si>
  <si>
    <t>inc/issue-import.php, issues-manifest.csv</t>
  </si>
  <si>
    <t>Run import twice; still 48 issues; spot-check 10</t>
  </si>
  <si>
    <t>All 48 issues imported with correct metadata, covers and PDFs</t>
  </si>
  <si>
    <t>P4-05</t>
  </si>
  <si>
    <t>Cover Images</t>
  </si>
  <si>
    <t>Cover image optimization</t>
  </si>
  <si>
    <t>Generate WebP and required sizes for covers; consistent aspect ratio.</t>
  </si>
  <si>
    <t>inc/media.php</t>
  </si>
  <si>
    <t>Check archive weight and image dimensions</t>
  </si>
  <si>
    <t>Covers sharp and lightweight</t>
  </si>
  <si>
    <t>P4-06</t>
  </si>
  <si>
    <t>Issue Archive</t>
  </si>
  <si>
    <t>Issue archive template</t>
  </si>
  <si>
    <t>archive-magazine_issue.php: cover grid, newest first, issue number/date, pagination.</t>
  </si>
  <si>
    <t>archive-magazine_issue.php, template-parts/issue/card.php</t>
  </si>
  <si>
    <t>Open archive; check ordering and pagination</t>
  </si>
  <si>
    <t>Archive lists all issues correctly</t>
  </si>
  <si>
    <t>P4-07</t>
  </si>
  <si>
    <t>Year &amp; decade filtering</t>
  </si>
  <si>
    <t>Filter issues by decade then year (query vars + optional AJAX), crawlable URLs.</t>
  </si>
  <si>
    <t>archive-magazine_issue.php, assets/js/modules/issue-filter.js</t>
  </si>
  <si>
    <t>Filter each decade/year; counts match manifest</t>
  </si>
  <si>
    <t>Filters return correct issues</t>
  </si>
  <si>
    <t>P4-08</t>
  </si>
  <si>
    <t>Single Issue</t>
  </si>
  <si>
    <t>Single issue page</t>
  </si>
  <si>
    <t>single-magazine_issue.php: large cover, issue details, highlights/table of contents, read &amp; download actions, previous/next issue.</t>
  </si>
  <si>
    <t>single-magazine_issue.php</t>
  </si>
  <si>
    <t>Open 5 issues incl. oldest and newest</t>
  </si>
  <si>
    <t>Single issue page complete for every issue</t>
  </si>
  <si>
    <t>P4-09</t>
  </si>
  <si>
    <t>Flipbook</t>
  </si>
  <si>
    <t>Flipbook reader</t>
  </si>
  <si>
    <t>Self-hosted PDF.js based flipbook, lazy-loaded only on issue pages, page navigation, zoom, fullscreen; mobile fallback to scroll view.</t>
  </si>
  <si>
    <t>assets/js/modules/flipbook.js, assets/vendor/pdfjs/*</t>
  </si>
  <si>
    <t>Open large PDF on mobile &amp; desktop; measure load time</t>
  </si>
  <si>
    <t>Readable flipbook on desktop &amp; mobile without blocking page load</t>
  </si>
  <si>
    <t>P4-10</t>
  </si>
  <si>
    <t>PDF Downloads</t>
  </si>
  <si>
    <t>Secure PDF downloads</t>
  </si>
  <si>
    <t>Download endpoint with nonce and access check, download counter, correct filename/headers.</t>
  </si>
  <si>
    <t>inc/pdf-download.php</t>
  </si>
  <si>
    <t>Download as guest/member/subscriber; check headers</t>
  </si>
  <si>
    <t>Downloads work and respect access rules</t>
  </si>
  <si>
    <t>P4-11</t>
  </si>
  <si>
    <t>Access Control</t>
  </si>
  <si>
    <t>Issue access restrictions</t>
  </si>
  <si>
    <t>Gate reader and downloads by access level/subscription tier; block direct /uploads PDF access (.htaccess/LiteSpeed rule) or serve via PHP.</t>
  </si>
  <si>
    <t>P4-10, P5-07</t>
  </si>
  <si>
    <t>inc/pdf-download.php, .htaccess</t>
  </si>
  <si>
    <t>Try direct PDF URL logged-out; test each tier</t>
  </si>
  <si>
    <t>Restricted PDFs cannot be accessed without entitlement</t>
  </si>
  <si>
    <t>P4-12</t>
  </si>
  <si>
    <t>Verify all 48 issues</t>
  </si>
  <si>
    <t>Checklist pass: 48/48 issues present, cover, PDF opens, metadata correct, filters accurate.</t>
  </si>
  <si>
    <t>P4-04, P4-07, P4-09</t>
  </si>
  <si>
    <t>issues-manifest.csv</t>
  </si>
  <si>
    <t>Tick all 48 against manifest</t>
  </si>
  <si>
    <t>48/48 issues verified</t>
  </si>
  <si>
    <t>P5-01</t>
  </si>
  <si>
    <t>Phase 5</t>
  </si>
  <si>
    <t>Request Google OAuth credentials</t>
  </si>
  <si>
    <t>Google Cloud project, OAuth consent screen, client ID/secret, authorised redirect URIs for staging and production.</t>
  </si>
  <si>
    <t>Credentials received and stored securely (not in Git)</t>
  </si>
  <si>
    <t>Valid client ID/secret for both domains</t>
  </si>
  <si>
    <t>P5-02</t>
  </si>
  <si>
    <t>Request Sign in with Apple credentials</t>
  </si>
  <si>
    <t>Apple Developer Program membership (client), Services ID, key, team ID, domain verification for both domains.</t>
  </si>
  <si>
    <t>Credentials received; domain verification file placed</t>
  </si>
  <si>
    <t>Valid Apple credentials for both domains</t>
  </si>
  <si>
    <t>P5-03</t>
  </si>
  <si>
    <t>Payments</t>
  </si>
  <si>
    <t>Confirm payment provider &amp; obtain API keys</t>
  </si>
  <si>
    <t>Client confirms gateway; obtain sandbox + live API keys, webhook signing secret, merchant approval and supported currencies.</t>
  </si>
  <si>
    <t>Sandbox transaction possible; live approval date known</t>
  </si>
  <si>
    <t>Sandbox keys in hand; live approval confirmed before cutover</t>
  </si>
  <si>
    <t>P5-04</t>
  </si>
  <si>
    <t>Authentication</t>
  </si>
  <si>
    <t>Login, registration &amp; password reset</t>
  </si>
  <si>
    <t>Custom templates using wp_signon/wp_insert_user; email verification; password reset flow; redirects; Arabic validation messages; wp-login.php styled fallback.</t>
  </si>
  <si>
    <t>page-templates/page-login.php, page-register.php, page-reset.php, inc/auth/*.php</t>
  </si>
  <si>
    <t>Register, verify, log in, reset password, log out</t>
  </si>
  <si>
    <t>Complete account lifecycle works with clear Arabic messages</t>
  </si>
  <si>
    <t>P5-05</t>
  </si>
  <si>
    <t>Google sign-in</t>
  </si>
  <si>
    <t>OAuth 2.0 flow (state param, token verification), link to existing account by verified email.</t>
  </si>
  <si>
    <t>P5-01, P5-04</t>
  </si>
  <si>
    <t>inc/auth/social-google.php</t>
  </si>
  <si>
    <t>New and existing user sign-in; cancel flow</t>
  </si>
  <si>
    <t>Google sign-in works on staging and is ready for production URIs</t>
  </si>
  <si>
    <t>P5-06</t>
  </si>
  <si>
    <t>Sign in with Apple</t>
  </si>
  <si>
    <t>Apple JS/redirect flow, JWT verification, private-relay email handling, account linking.</t>
  </si>
  <si>
    <t>P5-02, P5-04</t>
  </si>
  <si>
    <t>inc/auth/social-apple.php</t>
  </si>
  <si>
    <t>Sign in on Safari iOS &amp; desktop; hide-my-email case</t>
  </si>
  <si>
    <t>Apple sign-in works including private relay emails</t>
  </si>
  <si>
    <t>P5-07</t>
  </si>
  <si>
    <t>Subscriptions</t>
  </si>
  <si>
    <t>Subscription tiers model</t>
  </si>
  <si>
    <t>Tiers (e.g. Free, Digital, Premium) via roles/capabilities + user meta (plan, start, expiry); tier config editable in admin; pricing page.</t>
  </si>
  <si>
    <t>inc/subscriptions/tiers.php, page-templates/page-subscribe.php</t>
  </si>
  <si>
    <t>Assign each tier manually; check entitlements</t>
  </si>
  <si>
    <t>Tiers control access across issues and content</t>
  </si>
  <si>
    <t>P5-08</t>
  </si>
  <si>
    <t>Payment gateway checkout integration</t>
  </si>
  <si>
    <t>Hosted checkout (sandbox first), order record, success/failure pages, currency handling; no card data touches the server.</t>
  </si>
  <si>
    <t>P5-03, P5-07</t>
  </si>
  <si>
    <t>inc/payments/gateway.php</t>
  </si>
  <si>
    <t>Sandbox: success, decline, cancel</t>
  </si>
  <si>
    <t>Paid checkout activates correct tier in sandbox</t>
  </si>
  <si>
    <t>P5-09</t>
  </si>
  <si>
    <t>Payment webhooks</t>
  </si>
  <si>
    <t>Webhook endpoint with signature verification, idempotency keys, event logging, status transitions (paid, failed, refunded, renewed).</t>
  </si>
  <si>
    <t>inc/payments/webhook.php</t>
  </si>
  <si>
    <t>Replay same event twice; tampered signature rejected</t>
  </si>
  <si>
    <t>Subscription state always matches gateway; duplicates ignored</t>
  </si>
  <si>
    <t>P5-10</t>
  </si>
  <si>
    <t>Renewal, expiry &amp; notification emails</t>
  </si>
  <si>
    <t>Daily cron for expiry, grace period, renewal reminders and receipts.</t>
  </si>
  <si>
    <t>P5-09, P5-13</t>
  </si>
  <si>
    <t>inc/subscriptions/cron.php</t>
  </si>
  <si>
    <t>Force-expire a test user; check emails</t>
  </si>
  <si>
    <t>Expired users lose access; reminders sent</t>
  </si>
  <si>
    <t>P5-11</t>
  </si>
  <si>
    <t>Member Dashboard</t>
  </si>
  <si>
    <t>Member dashboard</t>
  </si>
  <si>
    <t>Account page: profile edit, plan &amp; expiry, payment history, downloads, saved issues, logout.</t>
  </si>
  <si>
    <t>P5-04, P5-07</t>
  </si>
  <si>
    <t>page-templates/page-account.php</t>
  </si>
  <si>
    <t>Check as free, member and subscriber</t>
  </si>
  <si>
    <t>Members manage account and see entitlements</t>
  </si>
  <si>
    <t>P5-12</t>
  </si>
  <si>
    <t>Security</t>
  </si>
  <si>
    <t>Security hardening &amp; rate limiting</t>
  </si>
  <si>
    <t>Login/registration/reset rate limiting by IP + account, nonces on all forms, CAPTCHA/Turnstile or honeypot, password policy, generic error messages, sanitize/escape audit of auth code.</t>
  </si>
  <si>
    <t>inc/security.php</t>
  </si>
  <si>
    <t>Brute-force 10 attempts → lockout; CSRF test without nonce</t>
  </si>
  <si>
    <t>Abuse throttled; no user enumeration; forms CSRF-safe</t>
  </si>
  <si>
    <t>P5-13</t>
  </si>
  <si>
    <t>Email</t>
  </si>
  <si>
    <t>SMTP / transactional email setup</t>
  </si>
  <si>
    <t>Configure authenticated SMTP (SPF/DKIM) for verification, reset, receipts and lead notifications.</t>
  </si>
  <si>
    <t>wp-config.php or SMTP plugin settings</t>
  </si>
  <si>
    <t>Send test emails to Gmail/Outlook; check spam</t>
  </si>
  <si>
    <t>Transactional emails delivered to inbox</t>
  </si>
  <si>
    <t>P5-14</t>
  </si>
  <si>
    <t>Advertising page</t>
  </si>
  <si>
    <t>page-advertise.php: audience stats, placements, formats, CTA to lead form and media kit.</t>
  </si>
  <si>
    <t>page-templates/page-advertise.php</t>
  </si>
  <si>
    <t>Content review with client; responsive check</t>
  </si>
  <si>
    <t>Advertising page live with editable content</t>
  </si>
  <si>
    <t>P5-15</t>
  </si>
  <si>
    <t>Advertising rate calculator</t>
  </si>
  <si>
    <t>Vanilla JS calculator: placement, size, duration, frequency → estimated price; rates editable in admin (no code).</t>
  </si>
  <si>
    <t>assets/js/modules/rate-calculator.js, inc/adops-settings.php</t>
  </si>
  <si>
    <t>Test edge values; change a rate in admin</t>
  </si>
  <si>
    <t>Calculator accurate and admin-configurable</t>
  </si>
  <si>
    <t>P5-16</t>
  </si>
  <si>
    <t>Media kit download</t>
  </si>
  <si>
    <t>Media kit PDF download, optionally gated behind lead form.</t>
  </si>
  <si>
    <t>P5-14, P5-17</t>
  </si>
  <si>
    <t>Download after form submit</t>
  </si>
  <si>
    <t>Media kit downloadable and tracked</t>
  </si>
  <si>
    <t>P5-17</t>
  </si>
  <si>
    <t>Leads</t>
  </si>
  <si>
    <t>Lead capture forms</t>
  </si>
  <si>
    <t>Advertising inquiry &amp; general lead forms stored as private 'lead' CPT + email notification; spam protection; admin export CSV.</t>
  </si>
  <si>
    <t>P5-12, P5-13</t>
  </si>
  <si>
    <t>inc/leads.php</t>
  </si>
  <si>
    <t>Submit valid/invalid/spam; export CSV</t>
  </si>
  <si>
    <t>Every lead stored and notified; spam blocked</t>
  </si>
  <si>
    <t>P5-18</t>
  </si>
  <si>
    <t>Pages</t>
  </si>
  <si>
    <t>About page</t>
  </si>
  <si>
    <t>page-about.php: mission, history, team, partners; editable via blocks/ACF-free fields.</t>
  </si>
  <si>
    <t>page-templates/page-about.php</t>
  </si>
  <si>
    <t>Content review; responsive check</t>
  </si>
  <si>
    <t>About page live and editable</t>
  </si>
  <si>
    <t>P5-19</t>
  </si>
  <si>
    <t>Contact page</t>
  </si>
  <si>
    <t>page-contact.php: contact form (stored + emailed), details, map embed (lazy), social links.</t>
  </si>
  <si>
    <t>page-templates/page-contact.php</t>
  </si>
  <si>
    <t>Submit form; check stored entry and email</t>
  </si>
  <si>
    <t>Contact form works end-to-end</t>
  </si>
  <si>
    <t>P5-20</t>
  </si>
  <si>
    <t>Roles</t>
  </si>
  <si>
    <t>Editorial roles &amp; permissions</t>
  </si>
  <si>
    <t>Define roles/capabilities: Editor-in-Chief, Editor, Writer/Contributor, Ad Manager, Subscriber tiers; restrict Customizer/Section Manager to editors+.</t>
  </si>
  <si>
    <t>inc/roles.php</t>
  </si>
  <si>
    <t>Log in as each role; attempt forbidden actions</t>
  </si>
  <si>
    <t>Each role can do exactly what it needs and nothing more</t>
  </si>
  <si>
    <t>P6-01</t>
  </si>
  <si>
    <t>Phase 6</t>
  </si>
  <si>
    <t>Backup</t>
  </si>
  <si>
    <t>Full production backup (files + DB) before any work</t>
  </si>
  <si>
    <t>Full backup of production files (incl. large uploads) and database; store off-server; verify archive integrity and restore-test on staging.</t>
  </si>
  <si>
    <t>Production</t>
  </si>
  <si>
    <t>backups/ (off-server)</t>
  </si>
  <si>
    <t>Checksum verified; DB dump imports cleanly on staging</t>
  </si>
  <si>
    <t>Restorable backup exists before any change</t>
  </si>
  <si>
    <t>Verify staging mirrors production</t>
  </si>
  <si>
    <t>Confirm staging DB/content is a current copy: post count (2,645 articles), media, users, menus, plugins; record content-freeze or delta-sync approach.</t>
  </si>
  <si>
    <t>wp-config.php, database</t>
  </si>
  <si>
    <t>Compare post/term/user counts staging vs production</t>
  </si>
  <si>
    <t>Staging is a verified mirror; content-delta plan agreed</t>
  </si>
  <si>
    <t>P6-03</t>
  </si>
  <si>
    <t>DB Audit</t>
  </si>
  <si>
    <t>Database audit</t>
  </si>
  <si>
    <t>Table sizes, autoloaded options size, revisions, expired transients, orphaned postmeta/termmeta, JNews options and tables; document findings.</t>
  </si>
  <si>
    <t>database (phpMyAdmin)</t>
  </si>
  <si>
    <t>Run audit queries; export results</t>
  </si>
  <si>
    <t>Audit report saved; risks logged</t>
  </si>
  <si>
    <t>P6-04</t>
  </si>
  <si>
    <t>JNews Review</t>
  </si>
  <si>
    <t>Legacy JNews dependency review</t>
  </si>
  <si>
    <t>Inventory JNews shortcodes in post_content, JNews postmeta in use (views, subtitle, video, gallery), widgets, menus, and plugins depending on JNews; decide keep/convert/drop for each.</t>
  </si>
  <si>
    <t>database, wp-content/plugins/jnews-*</t>
  </si>
  <si>
    <t>SQL LIKE search for shortcodes; meta key frequency list</t>
  </si>
  <si>
    <t>Every JNews dependency has a documented decision</t>
  </si>
  <si>
    <t>P6-05</t>
  </si>
  <si>
    <t>URL Inventory</t>
  </si>
  <si>
    <t>Export URL inventory (2,645 articles + taxonomies)</t>
  </si>
  <si>
    <t>Export all article, category, tag, author, page URLs from production sitemaps/DB into url-inventory.csv.</t>
  </si>
  <si>
    <t>url-inventory.csv</t>
  </si>
  <si>
    <t>Row count = 2,645 articles + taxonomy/page rows</t>
  </si>
  <si>
    <t>Complete URL inventory saved</t>
  </si>
  <si>
    <t>P6-06</t>
  </si>
  <si>
    <t>SEO Baseline</t>
  </si>
  <si>
    <t>Capture SEO baseline</t>
  </si>
  <si>
    <t>Crawl production: titles, meta descriptions, canonicals, H1, robots, hreflang/OG, schema, sitemap; export Search Console coverage &amp; top pages.</t>
  </si>
  <si>
    <t>seo-baseline.csv</t>
  </si>
  <si>
    <t>Baseline crawl complete; GSC export saved</t>
  </si>
  <si>
    <t>Baseline available for comparison</t>
  </si>
  <si>
    <t>P6-07</t>
  </si>
  <si>
    <t>DB Optimization</t>
  </si>
  <si>
    <t>Safe database optimization (staging first)</t>
  </si>
  <si>
    <t>Limit revisions, delete expired transients, orphan meta, trim autoload; only after backup; replicate on production only during cutover window.</t>
  </si>
  <si>
    <t>P6-03, P6-04</t>
  </si>
  <si>
    <t>wp-config.php (WP_POST_REVISIONS), database</t>
  </si>
  <si>
    <t>Before/after sizes; site regression check</t>
  </si>
  <si>
    <t>DB smaller and faster with no content loss</t>
  </si>
  <si>
    <t>P6-08</t>
  </si>
  <si>
    <t>URL Validation</t>
  </si>
  <si>
    <t>Validate all 2,645 article URLs on staging</t>
  </si>
  <si>
    <t>Crawl/script all inventory URLs against staging (host-swapped): expect 200, same permalink, correct template; list any 404/redirect.</t>
  </si>
  <si>
    <t>P6-05, P3-16</t>
  </si>
  <si>
    <t>Automated crawl; 0 unexpected 404s</t>
  </si>
  <si>
    <t>2,645/2,645 article URLs return 200 with correct content</t>
  </si>
  <si>
    <t>P6-09</t>
  </si>
  <si>
    <t>SEO comparison: staging vs baseline</t>
  </si>
  <si>
    <t>Diff titles, metas, canonicals, H1, schema, robots between staging and baseline; fix regressions.</t>
  </si>
  <si>
    <t>P6-06, P6-08</t>
  </si>
  <si>
    <t>Diff report reviewed</t>
  </si>
  <si>
    <t>No SEO regressions vs baseline</t>
  </si>
  <si>
    <t>P6-10</t>
  </si>
  <si>
    <t>301 redirect map for changed URLs</t>
  </si>
  <si>
    <t>Map any changed URLs (e.g. JNews-specific pages, issue URLs) to new destinations; implement and test.</t>
  </si>
  <si>
    <t>inc/redirects.php or Redirection export</t>
  </si>
  <si>
    <t>.htaccess / plugin test of each mapping</t>
  </si>
  <si>
    <t>All changed URLs 301 to correct targets; no chains</t>
  </si>
  <si>
    <t>P6-11</t>
  </si>
  <si>
    <t>Performance</t>
  </si>
  <si>
    <t>Performance optimization (Core Web Vitals)</t>
  </si>
  <si>
    <t>Critical CSS, font preload, image sizes, query counts, defer non-critical JS; targets LCP &lt; 2.5 s, CLS &lt; 0.1, INP &lt; 200 ms on mobile.</t>
  </si>
  <si>
    <t>P2-24, P3-16, P4-12</t>
  </si>
  <si>
    <t>inc/enqueue.php, assets/*</t>
  </si>
  <si>
    <t>Lighthouse/PageSpeed on homepage, article, category, issue</t>
  </si>
  <si>
    <t>Key templates meet Core Web Vitals targets on mobile</t>
  </si>
  <si>
    <t>P6-12</t>
  </si>
  <si>
    <t>Caching</t>
  </si>
  <si>
    <t>LiteSpeed Cache configuration</t>
  </si>
  <si>
    <t>Page cache, object cache (if available), browser cache, CSS/JS minify compatible with theme, image optimization; exclude login/account/checkout/webhook URLs; purge rules for publish.</t>
  </si>
  <si>
    <t>P6-11, P2-08</t>
  </si>
  <si>
    <t>LiteSpeed Cache settings</t>
  </si>
  <si>
    <t>Logged-in vs guest caching; checkout not cached; purge on publish</t>
  </si>
  <si>
    <t>Fast cached pages with no cached private content</t>
  </si>
  <si>
    <t>P6-13</t>
  </si>
  <si>
    <t>Responsive testing</t>
  </si>
  <si>
    <t>Run QA responsive matrix on all nine templates at 360–1440 px and real devices.</t>
  </si>
  <si>
    <t>QA sheet: Mobile Responsiveness rows</t>
  </si>
  <si>
    <t>All templates pass responsive checks</t>
  </si>
  <si>
    <t>P6-14</t>
  </si>
  <si>
    <t>Cross-browser testing</t>
  </si>
  <si>
    <t>Chrome, Safari (macOS/iOS), Firefox, Edge, Samsung Internet.</t>
  </si>
  <si>
    <t>QA sheet: Browser Compatibility rows</t>
  </si>
  <si>
    <t>No blocking issues in supported browsers</t>
  </si>
  <si>
    <t>P6-15</t>
  </si>
  <si>
    <t>Security verification</t>
  </si>
  <si>
    <t>File permissions, disable file editing, XML-RPC policy, user enumeration, security headers, plugin updates, nonce/escaping audit, admin accounts review.</t>
  </si>
  <si>
    <t>Staging + Production</t>
  </si>
  <si>
    <t>QA sheet: Security rows; header scan</t>
  </si>
  <si>
    <t>No high-severity findings open</t>
  </si>
  <si>
    <t>P6-16</t>
  </si>
  <si>
    <t>Full QA regression run</t>
  </si>
  <si>
    <t>Execute every row in the QA &amp; Testing sheet; log defects.</t>
  </si>
  <si>
    <t>P6-13, P6-14</t>
  </si>
  <si>
    <t>QA sheet completion = 100%</t>
  </si>
  <si>
    <t>All P0 test cases pass</t>
  </si>
  <si>
    <t>P6-17</t>
  </si>
  <si>
    <t>Bug Fixing</t>
  </si>
  <si>
    <t>Defect fixing buffer</t>
  </si>
  <si>
    <t>Reserved time to fix defects from QA and client UAT.</t>
  </si>
  <si>
    <t>Re-test fixed defects</t>
  </si>
  <si>
    <t>No open P0/P1 defects</t>
  </si>
  <si>
    <t>P6-18</t>
  </si>
  <si>
    <t>Readiness</t>
  </si>
  <si>
    <t>Deployment readiness review &amp; client UAT sign-off</t>
  </si>
  <si>
    <t>Walk client through staging; obtain written approval; confirm live payment approval, credentials for production domain, content freeze window.</t>
  </si>
  <si>
    <t>Deployment sheet stage 1 complete</t>
  </si>
  <si>
    <t>Written client approval to deploy</t>
  </si>
  <si>
    <t>P6-19</t>
  </si>
  <si>
    <t>Rollback</t>
  </si>
  <si>
    <t>Rollback plan documented &amp; rehearsed</t>
  </si>
  <si>
    <t>Rehearse restore of backup + theme switch-back on staging; time it; record in Deployment sheet.</t>
  </si>
  <si>
    <t>Deployment &amp; Rollback sheet</t>
  </si>
  <si>
    <t>Timed rehearsal</t>
  </si>
  <si>
    <t>Rollback achievable within agreed window (target &lt; 30 min)</t>
  </si>
  <si>
    <t>P6-20</t>
  </si>
  <si>
    <t>Fresh pre-cutover production backup</t>
  </si>
  <si>
    <t>New full files + DB backup immediately before cutover; verify.</t>
  </si>
  <si>
    <t>Checksum + test import</t>
  </si>
  <si>
    <t>Verified backup timestamped before cutover</t>
  </si>
  <si>
    <t>P6-21</t>
  </si>
  <si>
    <t>Cutover</t>
  </si>
  <si>
    <t>Production cutover</t>
  </si>
  <si>
    <t>Deploy theme &amp; required plugins, migrate issues/settings/Customizer/roles, run approved DB optimizations, activate theme, switch credentials &amp; webhooks to production, purge caches.</t>
  </si>
  <si>
    <t>P6-18, P6-19, P6-20</t>
  </si>
  <si>
    <t>theme package, settings exports</t>
  </si>
  <si>
    <t>Follow Deployment sheet stages 5–7</t>
  </si>
  <si>
    <t>New site live on production with no data loss</t>
  </si>
  <si>
    <t>P6-22</t>
  </si>
  <si>
    <t>Post-launch</t>
  </si>
  <si>
    <t>Post-launch verification &amp; monitoring</t>
  </si>
  <si>
    <t>Smoke tests, URL sample crawl, Search Console sitemap resubmit, payments live test, error log and uptime monitoring for 48 h.</t>
  </si>
  <si>
    <t>debug.log, Search Console</t>
  </si>
  <si>
    <t>Deployment sheet stage 8–9</t>
  </si>
  <si>
    <t>No critical issues in first 48 h</t>
  </si>
  <si>
    <t xml:space="preserve">  PHASE 1 — THEME FOUNDATION &amp; ASSET PIPELINE</t>
  </si>
  <si>
    <t xml:space="preserve">  Window 12 Oct – 14 Oct 2026   ·   Status is read live from the Master Tracker (edit there)</t>
  </si>
  <si>
    <t>Open Master Tracker →</t>
  </si>
  <si>
    <t>COMPLETION</t>
  </si>
  <si>
    <t>PLANNED</t>
  </si>
  <si>
    <t>TASKS</t>
  </si>
  <si>
    <t>DONE</t>
  </si>
  <si>
    <t>IN REVIEW / TEST</t>
  </si>
  <si>
    <t>DEADLINE</t>
  </si>
  <si>
    <t>PHASE STATUS</t>
  </si>
  <si>
    <t xml:space="preserve">  PHASE GOAL</t>
  </si>
  <si>
    <t>Build a clean, dependency-free custom WordPress theme (replacing JNews) with a modular PHP template system, a token-based CSS architecture, Vanilla JS modules, first-class Arabic RTL typography, responsive layouts, and performance primitives (query caching, Arabic date helpers) that every later phase reuses.</t>
  </si>
  <si>
    <t xml:space="preserve">  DELIVERABLES</t>
  </si>
  <si>
    <t xml:space="preserve">  REQUIRED WORDPRESS FILES</t>
  </si>
  <si>
    <t>▸ Custom theme 'altijara' activated on staging</t>
  </si>
  <si>
    <t>▸ style.css</t>
  </si>
  <si>
    <t>▸ Theme initialization (supports, menus, image sizes, text domain)</t>
  </si>
  <si>
    <t>▸ functions.php</t>
  </si>
  <si>
    <t>▸ Base PHP template hierarchy + reusable components</t>
  </si>
  <si>
    <t>▸ inc/setup.php</t>
  </si>
  <si>
    <t>▸ CSS token architecture &amp; Vanilla JS module system</t>
  </si>
  <si>
    <t>▸ inc/enqueue.php</t>
  </si>
  <si>
    <t>▸ RTL Arabic typography and responsive grid</t>
  </si>
  <si>
    <t>▸ inc/cache.php</t>
  </si>
  <si>
    <t>▸ Header / navigation / footer</t>
  </si>
  <si>
    <t>▸ inc/helpers-date.php</t>
  </si>
  <si>
    <t>▸ Query caching layer + Arabic date helpers</t>
  </si>
  <si>
    <t>▸ inc/media.php</t>
  </si>
  <si>
    <t>▸ Git repository of theme (backup of staging work)</t>
  </si>
  <si>
    <t>▸ inc/widgets.php</t>
  </si>
  <si>
    <t>▸ header.php / footer.php</t>
  </si>
  <si>
    <t>▸ index.php, front-page.php, single.php, page.php</t>
  </si>
  <si>
    <t>▸ archive.php, category.php, tag.php, author.php, search.php, 404.php</t>
  </si>
  <si>
    <t>▸ template-parts/components/*.php</t>
  </si>
  <si>
    <t>▸ assets/css/*.css, assets/js/*.js, assets/fonts/*</t>
  </si>
  <si>
    <t xml:space="preserve">  TECHNICAL IMPLEMENTATION STEPS</t>
  </si>
  <si>
    <t>Audit staging access (hPanel, SFTP/SSH, phpMyAdmin), block indexing, enable debug log</t>
  </si>
  <si>
    <t>Scaffold /wp-content/themes/altijara/ and commit to Git</t>
  </si>
  <si>
    <t>Write inc/setup.php (theme supports, menus, image sizes)</t>
  </si>
  <si>
    <t>Write inc/enqueue.php with filemtime versioning and conditional loading</t>
  </si>
  <si>
    <t>Create template hierarchy skeletons and template-parts/components</t>
  </si>
  <si>
    <t>Build tokens.css → base → layout → components → utilities using logical properties</t>
  </si>
  <si>
    <t>Build main.js module loader (nav, drawer, search) without jQuery</t>
  </si>
  <si>
    <t>Self-host Arabic WOFF2 fonts, set dir=rtl / lang=ar</t>
  </si>
  <si>
    <t>Implement inc/cache.php with publish-time invalidation</t>
  </si>
  <si>
    <t>Implement inc/helpers-date.php; verify with Query Monitor and debug.log</t>
  </si>
  <si>
    <t xml:space="preserve">  DETAILED TASK CHECKLIST   (live from Master Tracker — change Status / % there)</t>
  </si>
  <si>
    <t>#</t>
  </si>
  <si>
    <t>Module</t>
  </si>
  <si>
    <t>Start</t>
  </si>
  <si>
    <t>Complete</t>
  </si>
  <si>
    <t>Dependencies</t>
  </si>
  <si>
    <t>Dep. check</t>
  </si>
  <si>
    <t>WordPress files</t>
  </si>
  <si>
    <t>Acceptance criteria</t>
  </si>
  <si>
    <t>Testing checklist</t>
  </si>
  <si>
    <t>Test result</t>
  </si>
  <si>
    <t>Alert</t>
  </si>
  <si>
    <t xml:space="preserve">  PHASE 2 — HOMEPAGE &amp; DYNAMIC SECTION MANAGER</t>
  </si>
  <si>
    <t xml:space="preserve">  Window 15 Oct – 17 Oct 2026   ·   Status is read live from the Master Tracker (edit there)</t>
  </si>
  <si>
    <t>Deliver a fully dynamic magazine homepage whose every section (source, count, order, offset, layout, visibility, cache) is controlled by editors through the WordPress Customizer Section Manager — no code changes needed to re-arrange the homepage.</t>
  </si>
  <si>
    <t>▸ Section Manager engine with per-section schema</t>
  </si>
  <si>
    <t>▸ front-page.php</t>
  </si>
  <si>
    <t>▸ Customizer 'Homepage Sections' panel with sanitized controls</t>
  </si>
  <si>
    <t>▸ inc/section-manager/registry.php</t>
  </si>
  <si>
    <t>▸ Category/tag selectors, manual post picker, count/sort/offset controls</t>
  </si>
  <si>
    <t>▸ inc/section-manager/query-builder.php</t>
  </si>
  <si>
    <t>▸ Layout switching, visibility toggles, ordering, de-duplication</t>
  </si>
  <si>
    <t>▸ inc/section-manager/render.php</t>
  </si>
  <si>
    <t>▸ Section cache controls + LiteSpeed purge</t>
  </si>
  <si>
    <t>▸ inc/customizer/panel-homepage.php</t>
  </si>
  <si>
    <t>▸ Hero, breaking ticker, cover slider, chamber, opinion, reports, article grids</t>
  </si>
  <si>
    <t>▸ inc/customizer/controls/*.php</t>
  </si>
  <si>
    <t>▸ Business, Real Estate, Automotive, Technology, Healthcare, Tourism sections</t>
  </si>
  <si>
    <t>▸ assets/js/customizer-controls.js</t>
  </si>
  <si>
    <t>▸ Most-read widget and homepage ad slots</t>
  </si>
  <si>
    <t>▸ assets/js/modules/ticker.js, slider.js</t>
  </si>
  <si>
    <t>▸ template-parts/sections/*.php</t>
  </si>
  <si>
    <t>▸ inc/most-read.php</t>
  </si>
  <si>
    <t>▸ inc/widgets/most-read-widget.php</t>
  </si>
  <si>
    <t>Define section schema &amp; registry in inc/section-manager/</t>
  </si>
  <si>
    <t>Build WP_Query args builder (source, count, orderby, offset, exclusions)</t>
  </si>
  <si>
    <t>Register Customizer panel/sections/settings with sanitize callbacks</t>
  </si>
  <si>
    <t>Create custom controls: term multi-select, post picker (REST), sortable order</t>
  </si>
  <si>
    <t>Map layouts to template-parts components</t>
  </si>
  <si>
    <t>Wrap every section query in altijara_cached_query with TTL</t>
  </si>
  <si>
    <t>Add purge button + auto-purge on publish + LiteSpeed purge action</t>
  </si>
  <si>
    <t>Build hero, ticker (Vanilla JS), cover slider (CPT-driven)</t>
  </si>
  <si>
    <t>Configure each sector section via Section Manager</t>
  </si>
  <si>
    <t>Implement view counter + most-read widget; measure queries with Query Monitor</t>
  </si>
  <si>
    <t xml:space="preserve">  PHASE 3 — EDITORIAL &amp; TAXONOMY TEMPLATES</t>
  </si>
  <si>
    <t xml:space="preserve">  Window 18 Oct – 20 Oct 2026   ·   Status is read live from the Master Tracker (edit there)</t>
  </si>
  <si>
    <t>Provide production-grade article, author and taxonomy templates that render all 2,645 legacy articles correctly, support monetization (ad injection), engagement (sharing, related, progress bar) and discovery (AJAX filtering, grid/list, pagination) while remaining fully SEO-compatible.</t>
  </si>
  <si>
    <t>▸ Single article template with full metadata</t>
  </si>
  <si>
    <t>▸ single.php</t>
  </si>
  <si>
    <t>▸ Legacy JNews content/shortcode rendering</t>
  </si>
  <si>
    <t>▸ author.php</t>
  </si>
  <si>
    <t>▸ Reading progress bar, social sharing, related articles</t>
  </si>
  <si>
    <t>▸ category.php</t>
  </si>
  <si>
    <t>▸ In-article advertisement injection</t>
  </si>
  <si>
    <t>▸ tag.php</t>
  </si>
  <si>
    <t>▸ Author box and author profile template</t>
  </si>
  <si>
    <t>▸ search.php</t>
  </si>
  <si>
    <t>▸ Category, tag and search archives</t>
  </si>
  <si>
    <t>▸ template-parts/article/*.php</t>
  </si>
  <si>
    <t>▸ AJAX filtering, grid/list switching, pagination</t>
  </si>
  <si>
    <t>▸ inc/content-filters.php</t>
  </si>
  <si>
    <t>▸ Print stylesheet</t>
  </si>
  <si>
    <t>▸ inc/legacy-shortcodes.php</t>
  </si>
  <si>
    <t>▸ SEO plugin compatibility, schema &amp; breadcrumbs</t>
  </si>
  <si>
    <t>▸ inc/rest/archive-filter.php</t>
  </si>
  <si>
    <t>▸ assets/js/modules/progress.js, share.js, filter.js</t>
  </si>
  <si>
    <t>▸ assets/css/print.css</t>
  </si>
  <si>
    <t>▸ inc/seo.php</t>
  </si>
  <si>
    <t>Build single.php from components; style content blocks &amp; legacy markup</t>
  </si>
  <si>
    <t>Add shortcode fallbacks for JNews shortcodes found in audit (P6-04)</t>
  </si>
  <si>
    <t>Implement progress bar, share buttons (no third-party JS)</t>
  </si>
  <si>
    <t>Add the_content filter for ad injection by paragraph</t>
  </si>
  <si>
    <t>Build related query (category + tags, cached)</t>
  </si>
  <si>
    <t>Build author.php and category.php with featured lead</t>
  </si>
  <si>
    <t>Create REST endpoint for AJAX filtering with nonce + pushState</t>
  </si>
  <si>
    <t>Add grid/list toggle and SEO-friendly pagination</t>
  </si>
  <si>
    <t>Write print.css</t>
  </si>
  <si>
    <t>Verify SEO plugin output, NewsArticle schema, canonical, OG tags</t>
  </si>
  <si>
    <t xml:space="preserve">  PHASE 4 — DIGITAL ISSUES ARCHIVE &amp; CPT ENGINE</t>
  </si>
  <si>
    <t xml:space="preserve">  Window 21 Oct – 22 Oct 2026   ·   Status is read live from the Master Tracker (edit there)</t>
  </si>
  <si>
    <t>Create a magazine-issue engine (custom post type) and migrate all 48 historical issues with covers and PDFs into a filterable digital archive featuring a flipbook reader, secure PDF downloads and subscription-aware access restrictions.</t>
  </si>
  <si>
    <t>▸ magazine_issue CPT + fields (number, date, year, decade, PDF, access level)</t>
  </si>
  <si>
    <t>▸ inc/cpt-issues.php</t>
  </si>
  <si>
    <t>▸ All 48 historical issues migrated with covers and PDFs</t>
  </si>
  <si>
    <t>▸ inc/issue-meta.php</t>
  </si>
  <si>
    <t>▸ Issue archive with year and decade filtering</t>
  </si>
  <si>
    <t>▸ inc/issue-import.php</t>
  </si>
  <si>
    <t>▸ Single issue page</t>
  </si>
  <si>
    <t>▸ archive-magazine_issue.php</t>
  </si>
  <si>
    <t>▸ Flipbook reader with mobile fallback</t>
  </si>
  <si>
    <t>▸ single-magazine_issue.php</t>
  </si>
  <si>
    <t>▸ Secure PDF downloads</t>
  </si>
  <si>
    <t>▸ template-parts/issue/*.php</t>
  </si>
  <si>
    <t>▸ Access restrictions tied to subscription tiers</t>
  </si>
  <si>
    <t>▸ inc/pdf-download.php</t>
  </si>
  <si>
    <t>▸ assets/js/modules/flipbook.js</t>
  </si>
  <si>
    <t>▸ assets/vendor/pdfjs/*</t>
  </si>
  <si>
    <t>▸ .htaccess (protected uploads rule)</t>
  </si>
  <si>
    <t>Register CPT &amp; meta in inc/cpt-issues.php (REST enabled)</t>
  </si>
  <si>
    <t>Collect 48 PDFs + covers + manifest from client (started Day 1)</t>
  </si>
  <si>
    <t>Build CSV manifest and idempotent importer (WP-CLI or one-time admin tool)</t>
  </si>
  <si>
    <t>Optimize covers (WebP, sizes)</t>
  </si>
  <si>
    <t>Build archive-magazine_issue.php with year/decade filters</t>
  </si>
  <si>
    <t>Build single-magazine_issue.php</t>
  </si>
  <si>
    <t>Integrate self-hosted PDF.js flipbook, lazy-loaded</t>
  </si>
  <si>
    <t>Serve PDFs via authenticated endpoint; block direct /uploads access</t>
  </si>
  <si>
    <t>Wire access level to subscription tiers (P5-07)</t>
  </si>
  <si>
    <t>Verify 48/48 issues</t>
  </si>
  <si>
    <t xml:space="preserve">  PHASE 5 — AUTH, SUBSCRIPTIONS, ADOPS &amp; LEADS</t>
  </si>
  <si>
    <t xml:space="preserve">  Window 23 Oct – 25 Oct 2026   ·   Status is read live from the Master Tracker (edit there)</t>
  </si>
  <si>
    <t>Enable reader accounts (email, Google, Apple), paid subscription tiers with verified payment webhooks, a member dashboard, and revenue pages (advertising, rate calculator, media kit, lead capture) plus About/Contact and editorial role permissions — all hardened against abuse.</t>
  </si>
  <si>
    <t>▸ Login, registration, password reset</t>
  </si>
  <si>
    <t>▸ page-templates/page-login.php, page-register.php, page-reset.php</t>
  </si>
  <si>
    <t>▸ Google and Apple sign-in</t>
  </si>
  <si>
    <t>▸ page-templates/page-account.php</t>
  </si>
  <si>
    <t>▸ Member dashboard</t>
  </si>
  <si>
    <t>▸ inc/auth/*.php</t>
  </si>
  <si>
    <t>▸ Security hardening &amp; rate limiting</t>
  </si>
  <si>
    <t>▸ inc/auth/social-google.php, social-apple.php</t>
  </si>
  <si>
    <t>▸ Subscription tiers + payment gateway + verified webhooks</t>
  </si>
  <si>
    <t>▸ inc/subscriptions/*.php</t>
  </si>
  <si>
    <t>▸ Advertising page, rate calculator, media kit</t>
  </si>
  <si>
    <t>▸ inc/payments/gateway.php, webhook.php</t>
  </si>
  <si>
    <t>▸ Lead capture forms</t>
  </si>
  <si>
    <t>▸ page-templates/page-advertise.php</t>
  </si>
  <si>
    <t>▸ About and Contact pages</t>
  </si>
  <si>
    <t>▸ assets/js/modules/rate-calculator.js</t>
  </si>
  <si>
    <t>▸ Editorial roles &amp; permissions</t>
  </si>
  <si>
    <t>▸ inc/leads.php</t>
  </si>
  <si>
    <t>▸ page-templates/page-about.php, page-contact.php</t>
  </si>
  <si>
    <t>▸ inc/roles.php</t>
  </si>
  <si>
    <t>▸ inc/security.php</t>
  </si>
  <si>
    <t>Day 1: request Google OAuth, Apple Developer and payment-provider credentials</t>
  </si>
  <si>
    <t>Build custom auth templates (wp_signon, registration, reset, email verification)</t>
  </si>
  <si>
    <t>Integrate Google OAuth 2.0 and Sign in with Apple</t>
  </si>
  <si>
    <t>Model tiers (roles/capabilities + user meta expiry)</t>
  </si>
  <si>
    <t>Integrate gateway hosted checkout (sandbox first)</t>
  </si>
  <si>
    <t>Implement webhook endpoint with signature check + idempotency</t>
  </si>
  <si>
    <t>Build member dashboard (profile, plan, downloads)</t>
  </si>
  <si>
    <t>Add rate limiting, nonces, CAPTCHA/honeypot</t>
  </si>
  <si>
    <t>Build advertising page, calculator, media kit, lead forms (stored + emailed)</t>
  </si>
  <si>
    <t>Build About/Contact; configure SMTP; define editorial roles</t>
  </si>
  <si>
    <t xml:space="preserve">  PHASE 6 — DATABASE CLEANUP, CRAWL AUDIT &amp; CUTOVER</t>
  </si>
  <si>
    <t xml:space="preserve">  Window 26 Oct – 31 Oct 2026   ·   Status is read live from the Master Tracker (edit there)</t>
  </si>
  <si>
    <t>Protect data and search equity: back up and audit the database, remove legacy JNews dependencies safely, prove all 2,645 article URLs and SEO metadata survive, optimize performance with LiteSpeed, complete security and cross-browser testing, and execute a rehearsed, reversible production cutover on 1 November.</t>
  </si>
  <si>
    <t>▸ Verified full backups (files + DB) before work and before cutover</t>
  </si>
  <si>
    <t>▸ wp-config.php</t>
  </si>
  <si>
    <t>▸ Database audit and JNews dependency report</t>
  </si>
  <si>
    <t>▸ .htaccess</t>
  </si>
  <si>
    <t>▸ Safe database optimization (staging first)</t>
  </si>
  <si>
    <t>▸ LiteSpeed Cache settings export</t>
  </si>
  <si>
    <t>▸ URL inventory + validation of 2,645 article URLs</t>
  </si>
  <si>
    <t>▸ inc/redirects.php (or Redirection plugin export)</t>
  </si>
  <si>
    <t>▸ SEO baseline vs. staging comparison + redirect map</t>
  </si>
  <si>
    <t>▸ url-inventory.csv</t>
  </si>
  <si>
    <t>▸ Performance optimization + LiteSpeed configuration</t>
  </si>
  <si>
    <t>▸ seo-baseline.csv</t>
  </si>
  <si>
    <t>▸ Responsive, cross-browser and security verification</t>
  </si>
  <si>
    <t>▸ backups/ (off-server)</t>
  </si>
  <si>
    <t>▸ Deployment readiness sign-off and rehearsed rollback plan</t>
  </si>
  <si>
    <t>▸ deployment-runbook (this workbook, sheet 11)</t>
  </si>
  <si>
    <t>▸ Production cutover and post-launch verification</t>
  </si>
  <si>
    <t>Day 1: full production backup (files + DB), stored off-server, restore-tested</t>
  </si>
  <si>
    <t>Day 2: DB audit, JNews dependency review, URL inventory &amp; SEO baseline</t>
  </si>
  <si>
    <t>Optimize DB on staging only (revisions, transients, orphan meta, autoload)</t>
  </si>
  <si>
    <t>Crawl staging; compare status codes, titles, metas, canonicals vs baseline</t>
  </si>
  <si>
    <t>Build 301 map for any changed URLs</t>
  </si>
  <si>
    <t>Tune Core Web Vitals; configure LiteSpeed (exclude account/checkout)</t>
  </si>
  <si>
    <t>Run QA &amp; Testing sheet; fix defects in buffer</t>
  </si>
  <si>
    <t>Security verification (headers, enumeration, XML-RPC, permissions)</t>
  </si>
  <si>
    <t>Client UAT sign-off; rehearse rollback on staging</t>
  </si>
  <si>
    <t>1 Nov: fresh backup → cutover → purge caches → smoke test → monitor</t>
  </si>
  <si>
    <t xml:space="preserve">  QA &amp; TESTING CHECKLISTS</t>
  </si>
  <si>
    <t xml:space="preserve">  Run on staging. Set Result from the dropdown; summary and pass rates update automatically.</t>
  </si>
  <si>
    <t>Area</t>
  </si>
  <si>
    <t>Cases</t>
  </si>
  <si>
    <t>Pass</t>
  </si>
  <si>
    <t>Fail</t>
  </si>
  <si>
    <t>Not Run</t>
  </si>
  <si>
    <t>Pass rate</t>
  </si>
  <si>
    <t>Template 1: Homepage</t>
  </si>
  <si>
    <t>Template 2: Single Article</t>
  </si>
  <si>
    <t>Template 3: Category Archive</t>
  </si>
  <si>
    <t>Template 4: Author Profile</t>
  </si>
  <si>
    <t>Template 5: Issues Archive</t>
  </si>
  <si>
    <t>Template 6: Single Issue</t>
  </si>
  <si>
    <t>Template 7: Advertise</t>
  </si>
  <si>
    <t>Template 8: About</t>
  </si>
  <si>
    <t>Template 9: Contact</t>
  </si>
  <si>
    <t>WordPress Dynamic Content</t>
  </si>
  <si>
    <t>RTL Layout</t>
  </si>
  <si>
    <t>Mobile Responsiveness</t>
  </si>
  <si>
    <t>Subscription Functionality</t>
  </si>
  <si>
    <t>Payment Workflows</t>
  </si>
  <si>
    <t>SEO Metadata</t>
  </si>
  <si>
    <t>Existing Article URLs</t>
  </si>
  <si>
    <t>Contact Forms</t>
  </si>
  <si>
    <t>Magazine PDFs</t>
  </si>
  <si>
    <t>Browser Compatibility</t>
  </si>
  <si>
    <t>QA ID</t>
  </si>
  <si>
    <t>Test Case</t>
  </si>
  <si>
    <t>Expected Result</t>
  </si>
  <si>
    <t>Page / URL</t>
  </si>
  <si>
    <t>Device / Browser</t>
  </si>
  <si>
    <t>Linked Task</t>
  </si>
  <si>
    <t>Result</t>
  </si>
  <si>
    <t>Tested On</t>
  </si>
  <si>
    <t>Defect / Notes</t>
  </si>
  <si>
    <t>QA-001</t>
  </si>
  <si>
    <t>Homepage renders with correct template</t>
  </si>
  <si>
    <t>Correct template file (Query Monitor), header/footer present, no PHP notices</t>
  </si>
  <si>
    <t>/</t>
  </si>
  <si>
    <t>Desktop Chrome</t>
  </si>
  <si>
    <t>QA-002</t>
  </si>
  <si>
    <t>Homepage shows live WordPress content</t>
  </si>
  <si>
    <t>All content pulled dynamically; editing in admin updates page after cache purge</t>
  </si>
  <si>
    <t>QA-003</t>
  </si>
  <si>
    <t>Homepage responsive &amp; RTL</t>
  </si>
  <si>
    <t>Layout correct at 360/768/1440 px, RTL alignment, no horizontal scroll</t>
  </si>
  <si>
    <t>iPhone + Android + Desktop</t>
  </si>
  <si>
    <t>QA-004</t>
  </si>
  <si>
    <t>Single Article renders with correct template</t>
  </si>
  <si>
    <t>/&lt;sample-article&gt;/</t>
  </si>
  <si>
    <t>QA-005</t>
  </si>
  <si>
    <t>Single Article shows live WordPress content</t>
  </si>
  <si>
    <t>QA-006</t>
  </si>
  <si>
    <t>Single Article responsive &amp; RTL</t>
  </si>
  <si>
    <t>QA-007</t>
  </si>
  <si>
    <t>Category Archive renders with correct template</t>
  </si>
  <si>
    <t>/category/&lt;slug&gt;/</t>
  </si>
  <si>
    <t>QA-008</t>
  </si>
  <si>
    <t>Category Archive shows live WordPress content</t>
  </si>
  <si>
    <t>QA-009</t>
  </si>
  <si>
    <t>Category Archive responsive &amp; RTL</t>
  </si>
  <si>
    <t>QA-010</t>
  </si>
  <si>
    <t>Author Profile renders with correct template</t>
  </si>
  <si>
    <t>/author/&lt;slug&gt;/</t>
  </si>
  <si>
    <t>QA-011</t>
  </si>
  <si>
    <t>Author Profile shows live WordPress content</t>
  </si>
  <si>
    <t>QA-012</t>
  </si>
  <si>
    <t>Author Profile responsive &amp; RTL</t>
  </si>
  <si>
    <t>QA-013</t>
  </si>
  <si>
    <t>Issues Archive renders with correct template</t>
  </si>
  <si>
    <t>/issues/</t>
  </si>
  <si>
    <t>QA-014</t>
  </si>
  <si>
    <t>Issues Archive shows live WordPress content</t>
  </si>
  <si>
    <t>QA-015</t>
  </si>
  <si>
    <t>Issues Archive responsive &amp; RTL</t>
  </si>
  <si>
    <t>QA-016</t>
  </si>
  <si>
    <t>Single Issue renders with correct template</t>
  </si>
  <si>
    <t>/issues/&lt;issue&gt;/</t>
  </si>
  <si>
    <t>QA-017</t>
  </si>
  <si>
    <t>Single Issue shows live WordPress content</t>
  </si>
  <si>
    <t>QA-018</t>
  </si>
  <si>
    <t>Single Issue responsive &amp; RTL</t>
  </si>
  <si>
    <t>QA-019</t>
  </si>
  <si>
    <t>Advertise renders with correct template</t>
  </si>
  <si>
    <t>/advertise/</t>
  </si>
  <si>
    <t>QA-020</t>
  </si>
  <si>
    <t>Advertise shows live WordPress content</t>
  </si>
  <si>
    <t>QA-021</t>
  </si>
  <si>
    <t>Advertise responsive &amp; RTL</t>
  </si>
  <si>
    <t>QA-022</t>
  </si>
  <si>
    <t>About renders with correct template</t>
  </si>
  <si>
    <t>/about/</t>
  </si>
  <si>
    <t>QA-023</t>
  </si>
  <si>
    <t>About shows live WordPress content</t>
  </si>
  <si>
    <t>QA-024</t>
  </si>
  <si>
    <t>About responsive &amp; RTL</t>
  </si>
  <si>
    <t>QA-025</t>
  </si>
  <si>
    <t>Contact renders with correct template</t>
  </si>
  <si>
    <t>/contact/</t>
  </si>
  <si>
    <t>QA-026</t>
  </si>
  <si>
    <t>Contact shows live WordPress content</t>
  </si>
  <si>
    <t>QA-027</t>
  </si>
  <si>
    <t>Contact responsive &amp; RTL</t>
  </si>
  <si>
    <t>QA-028</t>
  </si>
  <si>
    <t>Section source change (category/tag)</t>
  </si>
  <si>
    <t>Section shows posts from newly selected terms</t>
  </si>
  <si>
    <t>QA-029</t>
  </si>
  <si>
    <t>Post count / order / offset</t>
  </si>
  <si>
    <t>Output matches configured values exactly</t>
  </si>
  <si>
    <t>QA-030</t>
  </si>
  <si>
    <t>Manual post selection</t>
  </si>
  <si>
    <t>Pinned posts appear in chosen order</t>
  </si>
  <si>
    <t>QA-031</t>
  </si>
  <si>
    <t>Layout switch</t>
  </si>
  <si>
    <t>Each layout variant renders</t>
  </si>
  <si>
    <t>QA-032</t>
  </si>
  <si>
    <t>Section hide / reorder</t>
  </si>
  <si>
    <t>Hidden section gone; order updated; no duplicates</t>
  </si>
  <si>
    <t>QA-033</t>
  </si>
  <si>
    <t>Publish new post</t>
  </si>
  <si>
    <t>Appears in relevant sections after auto-purge</t>
  </si>
  <si>
    <t>QA-034</t>
  </si>
  <si>
    <t>Breaking ticker source</t>
  </si>
  <si>
    <t>Adding/removing breaking tag updates ticker</t>
  </si>
  <si>
    <t>QA-035</t>
  </si>
  <si>
    <t>Most-read widget</t>
  </si>
  <si>
    <t>Counts increment and tabs switch</t>
  </si>
  <si>
    <t>QA-036</t>
  </si>
  <si>
    <t>Document direction</t>
  </si>
  <si>
    <t>&lt;html dir='rtl' lang='ar'&gt; on every template</t>
  </si>
  <si>
    <t>All</t>
  </si>
  <si>
    <t>Desktop + Mobile</t>
  </si>
  <si>
    <t>QA-037</t>
  </si>
  <si>
    <t>Mixed Arabic/English text</t>
  </si>
  <si>
    <t>Bidi isolation correct, punctuation in right place</t>
  </si>
  <si>
    <t>QA-038</t>
  </si>
  <si>
    <t>Icons &amp; arrows mirrored</t>
  </si>
  <si>
    <t>Directional icons point correctly in RTL</t>
  </si>
  <si>
    <t>QA-039</t>
  </si>
  <si>
    <t>Forms in RTL</t>
  </si>
  <si>
    <t>Inputs, labels, errors aligned right</t>
  </si>
  <si>
    <t>QA-040</t>
  </si>
  <si>
    <t>Ticker &amp; sliders direction</t>
  </si>
  <si>
    <t>Scroll/swipe direction natural for RTL</t>
  </si>
  <si>
    <t>QA-041</t>
  </si>
  <si>
    <t>360 px small phone</t>
  </si>
  <si>
    <t>All templates usable, tap targets ≥ 44 px</t>
  </si>
  <si>
    <t>iPhone Safari, Android Chrome</t>
  </si>
  <si>
    <t>QA-042</t>
  </si>
  <si>
    <t>Mobile navigation drawer</t>
  </si>
  <si>
    <t>Opens, closes, focus trapped, scroll locked</t>
  </si>
  <si>
    <t>QA-043</t>
  </si>
  <si>
    <t>Tablet 768–1024 px</t>
  </si>
  <si>
    <t>Grids reflow correctly</t>
  </si>
  <si>
    <t>QA-044</t>
  </si>
  <si>
    <t>Images &amp; covers</t>
  </si>
  <si>
    <t>Correct srcset size served, no distortion</t>
  </si>
  <si>
    <t>QA-045</t>
  </si>
  <si>
    <t>Flipbook on mobile</t>
  </si>
  <si>
    <t>Fallback reader usable</t>
  </si>
  <si>
    <t>QA-046</t>
  </si>
  <si>
    <t>Forms on mobile</t>
  </si>
  <si>
    <t>Correct keyboard types, no zoom on focus</t>
  </si>
  <si>
    <t>QA-047</t>
  </si>
  <si>
    <t>Email registration + verification</t>
  </si>
  <si>
    <t>Account created, verification email received, account activated</t>
  </si>
  <si>
    <t>/login/, /register/, /account/</t>
  </si>
  <si>
    <t>QA-048</t>
  </si>
  <si>
    <t>Login / logout</t>
  </si>
  <si>
    <t>Redirects correct, session cleared on logout</t>
  </si>
  <si>
    <t>QA-049</t>
  </si>
  <si>
    <t>Password reset</t>
  </si>
  <si>
    <t>Reset email received; link expires; new password works</t>
  </si>
  <si>
    <t>QA-050</t>
  </si>
  <si>
    <t>New &amp; existing account linking works</t>
  </si>
  <si>
    <t>QA-051</t>
  </si>
  <si>
    <t>Apple sign-in</t>
  </si>
  <si>
    <t>Works incl. private relay email</t>
  </si>
  <si>
    <t>QA-052</t>
  </si>
  <si>
    <t>Rate limiting</t>
  </si>
  <si>
    <t>Lockout after repeated failures; generic error messages</t>
  </si>
  <si>
    <t>QA-053</t>
  </si>
  <si>
    <t>No user enumeration</t>
  </si>
  <si>
    <t>Login/reset responses do not reveal whether user exists</t>
  </si>
  <si>
    <t>QA-054</t>
  </si>
  <si>
    <t>Profile, plan, history, downloads visible</t>
  </si>
  <si>
    <t>QA-055</t>
  </si>
  <si>
    <t>Tier entitlements</t>
  </si>
  <si>
    <t>Each tier accesses only its content/issues</t>
  </si>
  <si>
    <t>/subscribe/, /account/</t>
  </si>
  <si>
    <t>Desktop</t>
  </si>
  <si>
    <t>QA-056</t>
  </si>
  <si>
    <t>Upgrade</t>
  </si>
  <si>
    <t>Upgrading changes entitlements immediately</t>
  </si>
  <si>
    <t>QA-057</t>
  </si>
  <si>
    <t>Expiry</t>
  </si>
  <si>
    <t>Expired subscription loses access after grace period</t>
  </si>
  <si>
    <t>QA-058</t>
  </si>
  <si>
    <t>Renewal reminder</t>
  </si>
  <si>
    <t>Reminder email sent before expiry</t>
  </si>
  <si>
    <t>QA-059</t>
  </si>
  <si>
    <t>Pricing page</t>
  </si>
  <si>
    <t>Tiers and prices match admin config</t>
  </si>
  <si>
    <t>QA-060</t>
  </si>
  <si>
    <t>Successful payment (sandbox)</t>
  </si>
  <si>
    <t>Order recorded, tier activated, receipt emailed</t>
  </si>
  <si>
    <t>/checkout/</t>
  </si>
  <si>
    <t>QA-061</t>
  </si>
  <si>
    <t>Declined payment</t>
  </si>
  <si>
    <t>Clear error, no activation</t>
  </si>
  <si>
    <t>QA-062</t>
  </si>
  <si>
    <t>Cancelled checkout</t>
  </si>
  <si>
    <t>Returns to site, no activation</t>
  </si>
  <si>
    <t>QA-063</t>
  </si>
  <si>
    <t>Webhook signature invalid</t>
  </si>
  <si>
    <t>Request rejected and logged</t>
  </si>
  <si>
    <t>QA-064</t>
  </si>
  <si>
    <t>Duplicate webhook</t>
  </si>
  <si>
    <t>Processed once (idempotent)</t>
  </si>
  <si>
    <t>QA-065</t>
  </si>
  <si>
    <t>Refund event</t>
  </si>
  <si>
    <t>Access revoked/adjusted</t>
  </si>
  <si>
    <t>QA-066</t>
  </si>
  <si>
    <t>Live mode smoke test</t>
  </si>
  <si>
    <t>One real low-value transaction succeeds post-cutover</t>
  </si>
  <si>
    <t>QA-067</t>
  </si>
  <si>
    <t>Title tags</t>
  </si>
  <si>
    <t>Match baseline or approved improvements</t>
  </si>
  <si>
    <t>Crawler</t>
  </si>
  <si>
    <t>QA-068</t>
  </si>
  <si>
    <t>Meta descriptions</t>
  </si>
  <si>
    <t>Present and match baseline</t>
  </si>
  <si>
    <t>QA-069</t>
  </si>
  <si>
    <t>Canonical URLs</t>
  </si>
  <si>
    <t>Self-referencing, correct domain</t>
  </si>
  <si>
    <t>QA-070</t>
  </si>
  <si>
    <t>Open Graph / Twitter cards</t>
  </si>
  <si>
    <t>Image, title, description correct when shared</t>
  </si>
  <si>
    <t>QA-071</t>
  </si>
  <si>
    <t>Structured data</t>
  </si>
  <si>
    <t>NewsArticle valid in Rich Results Test</t>
  </si>
  <si>
    <t>QA-072</t>
  </si>
  <si>
    <t>XML sitemaps</t>
  </si>
  <si>
    <t>Include posts, categories, issues; exclude private pages</t>
  </si>
  <si>
    <t>QA-073</t>
  </si>
  <si>
    <t>Robots / noindex</t>
  </si>
  <si>
    <t>Production indexable; staging noindex removed only on production</t>
  </si>
  <si>
    <t>QA-074</t>
  </si>
  <si>
    <t>Breadcrumbs</t>
  </si>
  <si>
    <t>Correct hierarchy and schema</t>
  </si>
  <si>
    <t>QA-075</t>
  </si>
  <si>
    <t>All 2,645 article URLs</t>
  </si>
  <si>
    <t>200 status, same permalink as production</t>
  </si>
  <si>
    <t>QA-076</t>
  </si>
  <si>
    <t>Category &amp; tag URLs</t>
  </si>
  <si>
    <t>200 status, same slugs</t>
  </si>
  <si>
    <t>QA-077</t>
  </si>
  <si>
    <t>Author URLs</t>
  </si>
  <si>
    <t>200 status</t>
  </si>
  <si>
    <t>QA-078</t>
  </si>
  <si>
    <t>Changed URLs</t>
  </si>
  <si>
    <t>301 to correct target, no chains</t>
  </si>
  <si>
    <t>QA-079</t>
  </si>
  <si>
    <t>Internal links</t>
  </si>
  <si>
    <t>No links to 404 pages</t>
  </si>
  <si>
    <t>QA-080</t>
  </si>
  <si>
    <t>Homepage LCP (mobile)</t>
  </si>
  <si>
    <t>&lt; 2.5 s</t>
  </si>
  <si>
    <t>/, article, category, issue</t>
  </si>
  <si>
    <t>PageSpeed Insights mobile</t>
  </si>
  <si>
    <t>QA-081</t>
  </si>
  <si>
    <t>Article LCP (mobile)</t>
  </si>
  <si>
    <t>QA-082</t>
  </si>
  <si>
    <t>CLS all templates</t>
  </si>
  <si>
    <t>&lt; 0.1</t>
  </si>
  <si>
    <t>QA-083</t>
  </si>
  <si>
    <t>INP</t>
  </si>
  <si>
    <t>&lt; 200 ms</t>
  </si>
  <si>
    <t>QA-084</t>
  </si>
  <si>
    <t>Homepage DB queries (warm cache)</t>
  </si>
  <si>
    <t>≤ 40 queries</t>
  </si>
  <si>
    <t>QA-085</t>
  </si>
  <si>
    <t>LiteSpeed page cache</t>
  </si>
  <si>
    <t>Guest pages served from cache; private pages not cached</t>
  </si>
  <si>
    <t>QA-086</t>
  </si>
  <si>
    <t>Security headers</t>
  </si>
  <si>
    <t>HSTS, X-Content-Type-Options, Referrer-Policy, frame options present</t>
  </si>
  <si>
    <t>QA-087</t>
  </si>
  <si>
    <t>File editing disabled</t>
  </si>
  <si>
    <t>DISALLOW_FILE_EDIT true</t>
  </si>
  <si>
    <t>QA-088</t>
  </si>
  <si>
    <t>XML-RPC</t>
  </si>
  <si>
    <t>Disabled or restricted</t>
  </si>
  <si>
    <t>QA-089</t>
  </si>
  <si>
    <t>REST user enumeration</t>
  </si>
  <si>
    <t>/wp-json/wp/v2/users not exposing usernames publicly</t>
  </si>
  <si>
    <t>QA-090</t>
  </si>
  <si>
    <t>Form CSRF</t>
  </si>
  <si>
    <t>All forms reject missing/invalid nonce</t>
  </si>
  <si>
    <t>QA-091</t>
  </si>
  <si>
    <t>Output escaping</t>
  </si>
  <si>
    <t>No XSS with test payloads in search, forms</t>
  </si>
  <si>
    <t>QA-092</t>
  </si>
  <si>
    <t>Protected PDFs</t>
  </si>
  <si>
    <t>Direct URL blocked for unentitled users</t>
  </si>
  <si>
    <t>QA-093</t>
  </si>
  <si>
    <t>Admin accounts</t>
  </si>
  <si>
    <t>Only required admins; strong passwords; 2FA where possible</t>
  </si>
  <si>
    <t>QA-094</t>
  </si>
  <si>
    <t>Contact form valid submit</t>
  </si>
  <si>
    <t>Stored + email received</t>
  </si>
  <si>
    <t>/contact/, /advertise/</t>
  </si>
  <si>
    <t>QA-095</t>
  </si>
  <si>
    <t>Validation errors</t>
  </si>
  <si>
    <t>Arabic messages; data preserved</t>
  </si>
  <si>
    <t>QA-096</t>
  </si>
  <si>
    <t>Spam submission</t>
  </si>
  <si>
    <t>Blocked by honeypot/CAPTCHA</t>
  </si>
  <si>
    <t>QA-097</t>
  </si>
  <si>
    <t>Advertising lead form</t>
  </si>
  <si>
    <t>Stored in leads, notification sent</t>
  </si>
  <si>
    <t>QA-098</t>
  </si>
  <si>
    <t>Lead CSV export</t>
  </si>
  <si>
    <t>Export opens with Arabic text intact (UTF-8)</t>
  </si>
  <si>
    <t>QA-099</t>
  </si>
  <si>
    <t>48 issues present</t>
  </si>
  <si>
    <t>48/48 in archive</t>
  </si>
  <si>
    <t>QA-100</t>
  </si>
  <si>
    <t>Every PDF opens</t>
  </si>
  <si>
    <t>No broken/corrupt files</t>
  </si>
  <si>
    <t>QA-101</t>
  </si>
  <si>
    <t>Flipbook load</t>
  </si>
  <si>
    <t>First page &lt; 3 s on 4G</t>
  </si>
  <si>
    <t>QA-102</t>
  </si>
  <si>
    <t>Download filenames</t>
  </si>
  <si>
    <t>Meaningful names, correct headers</t>
  </si>
  <si>
    <t>QA-103</t>
  </si>
  <si>
    <t>Access restriction</t>
  </si>
  <si>
    <t>Gated issues blocked for guests</t>
  </si>
  <si>
    <t>QA-104</t>
  </si>
  <si>
    <t>Year/decade filters</t>
  </si>
  <si>
    <t>Counts match manifest</t>
  </si>
  <si>
    <t>QA-105</t>
  </si>
  <si>
    <t>Core journeys in Chrome (latest, Windows/macOS)</t>
  </si>
  <si>
    <t>Homepage, article, archive, issue reader, login and checkout work without visual/functional defects</t>
  </si>
  <si>
    <t>Chrome (latest, Windows/macOS)</t>
  </si>
  <si>
    <t>QA-106</t>
  </si>
  <si>
    <t>Core journeys in Safari (macOS)</t>
  </si>
  <si>
    <t>Safari (macOS)</t>
  </si>
  <si>
    <t>QA-107</t>
  </si>
  <si>
    <t>Core journeys in Safari (iOS)</t>
  </si>
  <si>
    <t>Safari (iOS)</t>
  </si>
  <si>
    <t>QA-108</t>
  </si>
  <si>
    <t>Core journeys in Firefox (latest)</t>
  </si>
  <si>
    <t>Firefox (latest)</t>
  </si>
  <si>
    <t>QA-109</t>
  </si>
  <si>
    <t>Core journeys in Edge (latest)</t>
  </si>
  <si>
    <t>Edge (latest)</t>
  </si>
  <si>
    <t>QA-110</t>
  </si>
  <si>
    <t>Core journeys in Samsung Internet (Android)</t>
  </si>
  <si>
    <t>Samsung Internet (Android)</t>
  </si>
  <si>
    <t xml:space="preserve">  DEPLOYMENT &amp; ROLLBACK RUNBOOK  ·  Cutover 1 Nov 2026</t>
  </si>
  <si>
    <t xml:space="preserve">  Production stays untouched until every Stage 1 item is Done and the client has approved deployment.</t>
  </si>
  <si>
    <t>Production ↗</t>
  </si>
  <si>
    <t>Step</t>
  </si>
  <si>
    <t>Stage</t>
  </si>
  <si>
    <t>Action</t>
  </si>
  <si>
    <t>Verification</t>
  </si>
  <si>
    <t>Tool / Location</t>
  </si>
  <si>
    <t>Owner</t>
  </si>
  <si>
    <t>Done At</t>
  </si>
  <si>
    <t>Notes</t>
  </si>
  <si>
    <t>1. Staging Verification</t>
  </si>
  <si>
    <t>All P0 tasks Completed in Master Tracker</t>
  </si>
  <si>
    <t>Dashboard shows 0 open P0 tasks and 0 blocked</t>
  </si>
  <si>
    <t>Dashboard</t>
  </si>
  <si>
    <t>Developer</t>
  </si>
  <si>
    <t>QA &amp; Testing: all P0 cases Pass</t>
  </si>
  <si>
    <t>QA summary pass rate for P0 = 100%</t>
  </si>
  <si>
    <t>QA sheet</t>
  </si>
  <si>
    <t>Client UAT written approval received</t>
  </si>
  <si>
    <t>Email/document archived (P6-18)</t>
  </si>
  <si>
    <t>Approval email</t>
  </si>
  <si>
    <t>Live payment keys &amp; production OAuth redirect URIs confirmed</t>
  </si>
  <si>
    <t>Gateway live mode approved; Google/Apple allow production domain</t>
  </si>
  <si>
    <t>Provider dashboards</t>
  </si>
  <si>
    <t>Announce content freeze window to editors</t>
  </si>
  <si>
    <t>Editors confirm no publishing during cutover</t>
  </si>
  <si>
    <t>2. Full Backup</t>
  </si>
  <si>
    <t>Full production files backup (incl. uploads)</t>
  </si>
  <si>
    <t>Archive size &amp; checksum recorded; stored off-server</t>
  </si>
  <si>
    <t>hPanel / SSH</t>
  </si>
  <si>
    <t>Export current theme, plugin list &amp; settings</t>
  </si>
  <si>
    <t>JNews theme + plugin versions recorded</t>
  </si>
  <si>
    <t>WP admin</t>
  </si>
  <si>
    <t>Export Customizer/widgets/menus from production</t>
  </si>
  <si>
    <t>Export files saved</t>
  </si>
  <si>
    <t>3. Database Backup</t>
  </si>
  <si>
    <t>Full production DB dump</t>
  </si>
  <si>
    <t>Dump imports cleanly into scratch DB</t>
  </si>
  <si>
    <t>phpMyAdmin / mysqldump</t>
  </si>
  <si>
    <t>Record row counts (posts 2,645 articles, users, terms)</t>
  </si>
  <si>
    <t>Counts saved for post-launch comparison</t>
  </si>
  <si>
    <t>SQL</t>
  </si>
  <si>
    <t>4. SEO Comparison</t>
  </si>
  <si>
    <t>Final staging crawl vs baseline</t>
  </si>
  <si>
    <t>No unexpected title/meta/canonical differences</t>
  </si>
  <si>
    <t>Redirect map loaded and tested</t>
  </si>
  <si>
    <t>All mapped URLs 301 correctly</t>
  </si>
  <si>
    <t>Redirect tool</t>
  </si>
  <si>
    <t>Confirm production will stay indexable</t>
  </si>
  <si>
    <t>Search engine visibility setting ON in production; staging noindex not migrated</t>
  </si>
  <si>
    <t>5. Theme Activation</t>
  </si>
  <si>
    <t>Enable maintenance mode (short)</t>
  </si>
  <si>
    <t>Visitors see maintenance page; admins can access</t>
  </si>
  <si>
    <t>Maintenance plugin</t>
  </si>
  <si>
    <t>Upload theme package to production</t>
  </si>
  <si>
    <t>Files match tagged Git release</t>
  </si>
  <si>
    <t>SFTP / Git</t>
  </si>
  <si>
    <t>Install/activate required plugins &amp; settings</t>
  </si>
  <si>
    <t>Plugin list matches staging</t>
  </si>
  <si>
    <t>Migrate magazine issues (48), leads config, roles, Customizer settings</t>
  </si>
  <si>
    <t>48 issues present; homepage sections configured</t>
  </si>
  <si>
    <t>Import tools</t>
  </si>
  <si>
    <t>Run approved DB optimizations</t>
  </si>
  <si>
    <t>Only steps rehearsed on staging executed</t>
  </si>
  <si>
    <t>SQL / plugin</t>
  </si>
  <si>
    <t>Activate theme 'altijara'</t>
  </si>
  <si>
    <t>Homepage renders new theme</t>
  </si>
  <si>
    <t>Switch credentials/webhooks to production (payments, OAuth, SMTP)</t>
  </si>
  <si>
    <t>Webhook endpoint registered with live secret</t>
  </si>
  <si>
    <t>Flush permalinks</t>
  </si>
  <si>
    <t>Settings &gt; Permalinks saved</t>
  </si>
  <si>
    <t>6. Cache Clearing</t>
  </si>
  <si>
    <t>Purge LiteSpeed cache (all)</t>
  </si>
  <si>
    <t>Purge confirmation</t>
  </si>
  <si>
    <t>LiteSpeed</t>
  </si>
  <si>
    <t>Purge CDN / hosting cache if applicable</t>
  </si>
  <si>
    <t>Fresh assets served (versioned URLs)</t>
  </si>
  <si>
    <t>hPanel / CDN</t>
  </si>
  <si>
    <t>Disable maintenance mode</t>
  </si>
  <si>
    <t>Public site visible</t>
  </si>
  <si>
    <t>7. Smoke Testing</t>
  </si>
  <si>
    <t>Homepage, article, category, author load (guest)</t>
  </si>
  <si>
    <t>200, correct layout</t>
  </si>
  <si>
    <t>Browser</t>
  </si>
  <si>
    <t>Issue archive, single issue, flipbook, download</t>
  </si>
  <si>
    <t>Works per access rules</t>
  </si>
  <si>
    <t>Login, register, reset, Google sign-in</t>
  </si>
  <si>
    <t>All succeed</t>
  </si>
  <si>
    <t>Live payment test (low value) + webhook received</t>
  </si>
  <si>
    <t>Tier activated; refund test transaction</t>
  </si>
  <si>
    <t>Gateway</t>
  </si>
  <si>
    <t>Contact &amp; lead forms</t>
  </si>
  <si>
    <t>Stored + emailed</t>
  </si>
  <si>
    <t>Sample crawl of 200 legacy URLs</t>
  </si>
  <si>
    <t>All 200, no 404</t>
  </si>
  <si>
    <t>8. Rollback Readiness</t>
  </si>
  <si>
    <t>Rollback decision owner &amp; go/no-go criteria agreed</t>
  </si>
  <si>
    <t>Criteria documented (see Rollback Plan)</t>
  </si>
  <si>
    <t>Backup files reachable &amp; restore commands ready</t>
  </si>
  <si>
    <t>Paths and commands in Notes</t>
  </si>
  <si>
    <t>Go / No-Go decision recorded</t>
  </si>
  <si>
    <t>Decision + time recorded</t>
  </si>
  <si>
    <t>9. Post-launch Monitoring</t>
  </si>
  <si>
    <t>Resubmit sitemaps in Google Search Console</t>
  </si>
  <si>
    <t>Sitemaps processed</t>
  </si>
  <si>
    <t>GSC</t>
  </si>
  <si>
    <t>Monitor PHP error log (24–48 h)</t>
  </si>
  <si>
    <t>No fatal errors</t>
  </si>
  <si>
    <t>debug.log / hPanel</t>
  </si>
  <si>
    <t>Monitor Search Console coverage/404s (7 days)</t>
  </si>
  <si>
    <t>No spike in 404s</t>
  </si>
  <si>
    <t>Check Core Web Vitals on production</t>
  </si>
  <si>
    <t>Targets met</t>
  </si>
  <si>
    <t>PageSpeed</t>
  </si>
  <si>
    <t>Compare post-launch row counts with pre-cutover</t>
  </si>
  <si>
    <t>Counts identical</t>
  </si>
  <si>
    <t>Lift content freeze; notify editors</t>
  </si>
  <si>
    <t>Editors publishing normally</t>
  </si>
  <si>
    <t xml:space="preserve">  ROLLBACK PLAN   (rehearsed in task P6-19 — record rehearsal time in Notes)</t>
  </si>
  <si>
    <t>Trigger</t>
  </si>
  <si>
    <t>Rollback action</t>
  </si>
  <si>
    <t>Target time</t>
  </si>
  <si>
    <t>Rehearsed?</t>
  </si>
  <si>
    <t>Fatal error / white screen after activation</t>
  </si>
  <si>
    <t>Re-activate previous theme from WP admin or rename theme folder via SFTP; purge cache</t>
  </si>
  <si>
    <t>&lt; 5 min</t>
  </si>
  <si>
    <t>Data corruption or missing content</t>
  </si>
  <si>
    <t>Enable maintenance; restore pre-cutover DB dump; purge cache; verify row counts</t>
  </si>
  <si>
    <t>&lt; 30 min</t>
  </si>
  <si>
    <t>Widespread 404s / permalink failure</t>
  </si>
  <si>
    <t>Flush permalinks; if unresolved re-activate previous theme; restore .htaccess backup</t>
  </si>
  <si>
    <t>&lt; 10 min</t>
  </si>
  <si>
    <t>Payments failing in live mode</t>
  </si>
  <si>
    <t>Disable checkout (maintenance notice on subscribe page); switch webhooks back; keep site live</t>
  </si>
  <si>
    <t>Severe performance degradation</t>
  </si>
  <si>
    <t>Revert LiteSpeed settings export; disable new heavy features via settings; else theme rollback</t>
  </si>
  <si>
    <t>&lt; 15 min</t>
  </si>
  <si>
    <t>Go / No-Go rule: roll back if any P0 smoke test in Stage 7 fails and cannot be fixed within 30 minutes, if content/row counts differ from the pre-cutover record, or if payments cannot be confirmed in live mode (payments may instead be disabled while the site stays live).</t>
  </si>
  <si>
    <t xml:space="preserve">  RISKS &amp; BLOCKERS REGISTER</t>
  </si>
  <si>
    <t xml:space="preserve">  Severity and Status are dropdowns. Open Critical/High risks are highlighted. Review daily during stand-up.</t>
  </si>
  <si>
    <t>Risk ID</t>
  </si>
  <si>
    <t>Related Phase</t>
  </si>
  <si>
    <t>Description</t>
  </si>
  <si>
    <t>Severity</t>
  </si>
  <si>
    <t>Likelihood</t>
  </si>
  <si>
    <t>Impact</t>
  </si>
  <si>
    <t>Mitigation</t>
  </si>
  <si>
    <t>Resolution</t>
  </si>
  <si>
    <t>Date Raised</t>
  </si>
  <si>
    <t>R-01</t>
  </si>
  <si>
    <t>Source Engineering Directive PDF was not available when this tracker was generated; detailed acceptance criteria may differ from the brief.</t>
  </si>
  <si>
    <t>High</t>
  </si>
  <si>
    <t>Possible</t>
  </si>
  <si>
    <t>Missed or mis-specified requirements</t>
  </si>
  <si>
    <t>Reconcile every task's Acceptance Criteria against the 13-page PDF on Day 1; add missing tasks in spare rows</t>
  </si>
  <si>
    <t>R-02</t>
  </si>
  <si>
    <t>Full scope (111 tasks) is very ambitious for one developer between 12 Oct and 1 Nov.</t>
  </si>
  <si>
    <t>Critical</t>
  </si>
  <si>
    <t>Likely</t>
  </si>
  <si>
    <t>Deadline miss or quality loss</t>
  </si>
  <si>
    <t>Watch the Dashboard Schedule Health daily; agree with client now which P2 items (e.g. Apple sign-in, print CSS, grid/list toggle, media kit gating) may move post-launch; protect P0 scope</t>
  </si>
  <si>
    <t>Developer + Client</t>
  </si>
  <si>
    <t>R-03</t>
  </si>
  <si>
    <t>Very large WordPress backup (uploads) may exceed Hostinger limits/timeouts.</t>
  </si>
  <si>
    <t>No restorable backup; cutover blocked</t>
  </si>
  <si>
    <t>Split backup (DB, uploads by year, theme/plugins); use SSH tar/rsync; store off-server; verify checksums</t>
  </si>
  <si>
    <t>R-04</t>
  </si>
  <si>
    <t>Database import to staging/production may fail (size, max_allowed_packet, timeouts, charset utf8mb4 Arabic).</t>
  </si>
  <si>
    <t>Corrupt Arabic text or incomplete DB</t>
  </si>
  <si>
    <t>Use mysqldump/CLI import or chunked import; confirm utf8mb4; compare row counts</t>
  </si>
  <si>
    <t>R-05</t>
  </si>
  <si>
    <t>Hosting restrictions (no SSH/WP-CLI, PHP limits, cron, .htaccess rules) on Hostinger plan.</t>
  </si>
  <si>
    <t>Medium</t>
  </si>
  <si>
    <t>Slower migration; blocked PDF protection</t>
  </si>
  <si>
    <t>Confirm plan capabilities Day 1 (P1-01); fallback to admin-based importer and PHP-served PDFs</t>
  </si>
  <si>
    <t>R-06</t>
  </si>
  <si>
    <t>Payment provider approval or live keys not ready by cutover.</t>
  </si>
  <si>
    <t>Subscriptions cannot launch</t>
  </si>
  <si>
    <t>Request Day 1 (P5-03); launch with subscriptions in sandbox-off/'coming soon' mode if not approved</t>
  </si>
  <si>
    <t>Client</t>
  </si>
  <si>
    <t>R-07</t>
  </si>
  <si>
    <t>Google / Apple credentials delayed (Apple requires paid developer account + domain verification).</t>
  </si>
  <si>
    <t>Social login missing at launch</t>
  </si>
  <si>
    <t>Request Day 1; ship email login first; Apple as P2</t>
  </si>
  <si>
    <t>R-08</t>
  </si>
  <si>
    <t>48 historical PDFs/covers incomplete or low quality.</t>
  </si>
  <si>
    <t>Archive incomplete</t>
  </si>
  <si>
    <t>Request Day 1 (P4-03); track missing list; launch with available issues clearly marked</t>
  </si>
  <si>
    <t>R-09</t>
  </si>
  <si>
    <t>Large PDFs slow flipbook / exceed upload limits.</t>
  </si>
  <si>
    <t>Poor reader UX</t>
  </si>
  <si>
    <t>Compress PDFs, lazy-load PDF.js, increase upload limit or upload via SFTP</t>
  </si>
  <si>
    <t>R-10</t>
  </si>
  <si>
    <t>Legacy JNews shortcodes/meta embedded in 2,645 articles break after theme switch.</t>
  </si>
  <si>
    <t>Broken article content, lost view counts</t>
  </si>
  <si>
    <t>Audit on Day 2 (P6-04); add shortcode fallbacks; migrate view meta</t>
  </si>
  <si>
    <t>R-11</t>
  </si>
  <si>
    <t>Permalink/SEO regressions after replacing JNews.</t>
  </si>
  <si>
    <t>Traffic loss</t>
  </si>
  <si>
    <t>Baseline crawl, full URL validation, redirect map, post-launch GSC monitoring</t>
  </si>
  <si>
    <t>R-12</t>
  </si>
  <si>
    <t>Working directly on shared staging without local environment — accidental breakage without history.</t>
  </si>
  <si>
    <t>Lost work / downtime of staging</t>
  </si>
  <si>
    <t>Git repo for theme; daily DB snapshot of staging; small incremental deploys</t>
  </si>
  <si>
    <t>R-13</t>
  </si>
  <si>
    <t>Content published on production during development diverges from staging.</t>
  </si>
  <si>
    <t>Lost posts at cutover</t>
  </si>
  <si>
    <t>Theme-only deployment strategy (production DB kept); content freeze only during cutover window</t>
  </si>
  <si>
    <t>R-14</t>
  </si>
  <si>
    <t>LiteSpeed caching of private pages (account, checkout) or stale homepage.</t>
  </si>
  <si>
    <t>Data exposure / stale content</t>
  </si>
  <si>
    <t>Exclude private URLs, vary on login cookie, purge on publish; test as guest &amp; member</t>
  </si>
  <si>
    <t>R-15</t>
  </si>
  <si>
    <t>Webhook spoofing or duplicate events corrupt subscription state.</t>
  </si>
  <si>
    <t>Revenue / access errors</t>
  </si>
  <si>
    <t>Signature verification, idempotency keys, event log</t>
  </si>
  <si>
    <t>R-16</t>
  </si>
  <si>
    <t>Client feedback/approval delays (content for About/Advertise, UAT).</t>
  </si>
  <si>
    <t>Schedule slip</t>
  </si>
  <si>
    <t>Share staging link early (P2-24); set feedback deadlines; placeholders until content arrives</t>
  </si>
  <si>
    <t>R-17</t>
  </si>
  <si>
    <t>Third-party plugin conflicts with new theme (SEO, LiteSpeed, forms).</t>
  </si>
  <si>
    <t>Features break</t>
  </si>
  <si>
    <t>Keep plugin set minimal; test each on staging; document versions</t>
  </si>
  <si>
    <t>R-18</t>
  </si>
  <si>
    <t>Single-developer availability (illness, fatigue) with no backup resource.</t>
  </si>
  <si>
    <t>Deadline miss</t>
  </si>
  <si>
    <t>Daily planner tracking, 6 h bug buffer, early escalation when daily variance appears</t>
  </si>
  <si>
    <t xml:space="preserve">  REQUIREMENT TRACEABILITY MAP</t>
  </si>
  <si>
    <t xml:space="preserve">  Every requirement from the brief mapped to tracker tasks. Coverage updates as tasks complete.</t>
  </si>
  <si>
    <t>Req #</t>
  </si>
  <si>
    <t>Requirement (from brief)</t>
  </si>
  <si>
    <t>Mapped Task IDs</t>
  </si>
  <si>
    <t>ƒ Tasks</t>
  </si>
  <si>
    <t>ƒ Done</t>
  </si>
  <si>
    <t>ƒ Coverage</t>
  </si>
  <si>
    <t>REQ-01</t>
  </si>
  <si>
    <t>Custom WordPress theme structure</t>
  </si>
  <si>
    <t>REQ-02</t>
  </si>
  <si>
    <t>Theme initialization</t>
  </si>
  <si>
    <t>REQ-03</t>
  </si>
  <si>
    <t>PHP templates and reusable components</t>
  </si>
  <si>
    <t>P1-05, P1-06</t>
  </si>
  <si>
    <t>REQ-04</t>
  </si>
  <si>
    <t>CSS and Vanilla JS architecture</t>
  </si>
  <si>
    <t>P1-04, P1-07, P1-08</t>
  </si>
  <si>
    <t>REQ-05</t>
  </si>
  <si>
    <t>RTL typography and responsive design</t>
  </si>
  <si>
    <t>P1-09, P1-10</t>
  </si>
  <si>
    <t>REQ-06</t>
  </si>
  <si>
    <t>WordPress integration</t>
  </si>
  <si>
    <t>P1-11, P1-12, P1-13</t>
  </si>
  <si>
    <t>REQ-07</t>
  </si>
  <si>
    <t>Query caching and Arabic date helpers</t>
  </si>
  <si>
    <t>P1-14, P1-15</t>
  </si>
  <si>
    <t>REQ-08</t>
  </si>
  <si>
    <t>REQ-09</t>
  </si>
  <si>
    <t>REQ-10</t>
  </si>
  <si>
    <t>REQ-11</t>
  </si>
  <si>
    <t>Chamber and opinion sections</t>
  </si>
  <si>
    <t>P2-12, P2-13</t>
  </si>
  <si>
    <t>REQ-12</t>
  </si>
  <si>
    <t>Reports and article grids</t>
  </si>
  <si>
    <t>P2-14, P2-15</t>
  </si>
  <si>
    <t>REQ-13</t>
  </si>
  <si>
    <t>Business, real estate, automotive, technology, healthcare, tourism sections</t>
  </si>
  <si>
    <t>P2-16, P2-17, P2-18, P2-19, P2-20, P2-21</t>
  </si>
  <si>
    <t>REQ-14</t>
  </si>
  <si>
    <t>REQ-15</t>
  </si>
  <si>
    <t>WordPress Customizer and Section Manager</t>
  </si>
  <si>
    <t>P2-01, P2-02</t>
  </si>
  <si>
    <t>REQ-16</t>
  </si>
  <si>
    <t>Dynamic category/tag selection</t>
  </si>
  <si>
    <t>REQ-17</t>
  </si>
  <si>
    <t>Post counts, sorting, offsets and manual post selection</t>
  </si>
  <si>
    <t>P2-04, P2-05</t>
  </si>
  <si>
    <t>REQ-18</t>
  </si>
  <si>
    <t>Layout switching, section visibility and cache controls</t>
  </si>
  <si>
    <t>P2-06, P2-07, P2-08</t>
  </si>
  <si>
    <t>REQ-19</t>
  </si>
  <si>
    <t>P3-01, P3-03</t>
  </si>
  <si>
    <t>REQ-20</t>
  </si>
  <si>
    <t>Category archives</t>
  </si>
  <si>
    <t>P3-09, P3-10</t>
  </si>
  <si>
    <t>REQ-21</t>
  </si>
  <si>
    <t>REQ-22</t>
  </si>
  <si>
    <t>Author profiles</t>
  </si>
  <si>
    <t>REQ-23</t>
  </si>
  <si>
    <t>REQ-24</t>
  </si>
  <si>
    <t>REQ-25</t>
  </si>
  <si>
    <t>Advertisement injection</t>
  </si>
  <si>
    <t>REQ-26</t>
  </si>
  <si>
    <t>REQ-27</t>
  </si>
  <si>
    <t>AJAX filtering</t>
  </si>
  <si>
    <t>REQ-28</t>
  </si>
  <si>
    <t>Grid/list switching</t>
  </si>
  <si>
    <t>REQ-29</t>
  </si>
  <si>
    <t>REQ-30</t>
  </si>
  <si>
    <t>REQ-31</t>
  </si>
  <si>
    <t>SEO compatibility</t>
  </si>
  <si>
    <t>REQ-32</t>
  </si>
  <si>
    <t>Magazine issue custom post type</t>
  </si>
  <si>
    <t>P4-01, P4-02</t>
  </si>
  <si>
    <t>REQ-33</t>
  </si>
  <si>
    <t>Issue archive</t>
  </si>
  <si>
    <t>REQ-34</t>
  </si>
  <si>
    <t>REQ-35</t>
  </si>
  <si>
    <t>Historical issue migration</t>
  </si>
  <si>
    <t>P4-03, P4-04</t>
  </si>
  <si>
    <t>REQ-36</t>
  </si>
  <si>
    <t>All 48 magazine issues</t>
  </si>
  <si>
    <t>P4-04, P4-12</t>
  </si>
  <si>
    <t>REQ-37</t>
  </si>
  <si>
    <t>Cover images</t>
  </si>
  <si>
    <t>REQ-38</t>
  </si>
  <si>
    <t>Year and decade filtering</t>
  </si>
  <si>
    <t>REQ-39</t>
  </si>
  <si>
    <t>REQ-40</t>
  </si>
  <si>
    <t>PDF downloads</t>
  </si>
  <si>
    <t>REQ-41</t>
  </si>
  <si>
    <t>Access restrictions</t>
  </si>
  <si>
    <t>REQ-42</t>
  </si>
  <si>
    <t>Login, registration and password reset</t>
  </si>
  <si>
    <t>REQ-43</t>
  </si>
  <si>
    <t>Google and Apple authentication</t>
  </si>
  <si>
    <t>P5-01, P5-02, P5-05, P5-06</t>
  </si>
  <si>
    <t>REQ-44</t>
  </si>
  <si>
    <t>REQ-45</t>
  </si>
  <si>
    <t>Security and rate limiting</t>
  </si>
  <si>
    <t>REQ-46</t>
  </si>
  <si>
    <t>Subscription tiers</t>
  </si>
  <si>
    <t>P5-07, P5-10</t>
  </si>
  <si>
    <t>REQ-47</t>
  </si>
  <si>
    <t>Payment gateway integration</t>
  </si>
  <si>
    <t>P5-03, P5-08</t>
  </si>
  <si>
    <t>REQ-48</t>
  </si>
  <si>
    <t>REQ-49</t>
  </si>
  <si>
    <t>REQ-50</t>
  </si>
  <si>
    <t>REQ-51</t>
  </si>
  <si>
    <t>Media kit</t>
  </si>
  <si>
    <t>REQ-52</t>
  </si>
  <si>
    <t>REQ-53</t>
  </si>
  <si>
    <t>REQ-54</t>
  </si>
  <si>
    <t>P5-19, P5-13</t>
  </si>
  <si>
    <t>REQ-55</t>
  </si>
  <si>
    <t>Editorial roles and permissions</t>
  </si>
  <si>
    <t>REQ-56</t>
  </si>
  <si>
    <t>Database backup and audit</t>
  </si>
  <si>
    <t>P6-01, P6-03, P6-20</t>
  </si>
  <si>
    <t>REQ-57</t>
  </si>
  <si>
    <t>REQ-58</t>
  </si>
  <si>
    <t>Safe database optimization</t>
  </si>
  <si>
    <t>REQ-59</t>
  </si>
  <si>
    <t>SEO preservation</t>
  </si>
  <si>
    <t>P6-06, P6-09, P6-10</t>
  </si>
  <si>
    <t>REQ-60</t>
  </si>
  <si>
    <t>Validation of all 2,645 article URLs</t>
  </si>
  <si>
    <t>P6-05, P6-08</t>
  </si>
  <si>
    <t>REQ-61</t>
  </si>
  <si>
    <t>Performance optimization</t>
  </si>
  <si>
    <t>REQ-62</t>
  </si>
  <si>
    <t>LiteSpeed caching</t>
  </si>
  <si>
    <t>REQ-63</t>
  </si>
  <si>
    <t>Responsive and cross-browser testing</t>
  </si>
  <si>
    <t>P6-13, P6-14, P6-16</t>
  </si>
  <si>
    <t>REQ-64</t>
  </si>
  <si>
    <t>REQ-65</t>
  </si>
  <si>
    <t>Deployment readiness</t>
  </si>
  <si>
    <t>P6-02, P6-17, P6-18</t>
  </si>
  <si>
    <t>REQ-66</t>
  </si>
  <si>
    <t>Rollback plan</t>
  </si>
  <si>
    <t>REQ-67</t>
  </si>
  <si>
    <t>Production cutover and post-launch verification</t>
  </si>
  <si>
    <t>P6-21, P6-22</t>
  </si>
  <si>
    <t>Environment</t>
  </si>
  <si>
    <t>ExtReq</t>
  </si>
  <si>
    <t>TestResult</t>
  </si>
  <si>
    <t>QAResult</t>
  </si>
  <si>
    <t>DeployStatus</t>
  </si>
  <si>
    <t>RiskStatus</t>
  </si>
  <si>
    <t>ProjectStart</t>
  </si>
  <si>
    <t>Completion</t>
  </si>
  <si>
    <t>Blocker</t>
  </si>
  <si>
    <t>TaskNotes</t>
  </si>
  <si>
    <t>Dates</t>
  </si>
  <si>
    <t>RiskPhase</t>
  </si>
  <si>
    <t>Device</t>
  </si>
  <si>
    <t>QANotes</t>
  </si>
  <si>
    <t>DeployNotes</t>
  </si>
  <si>
    <t>Very Likely</t>
  </si>
  <si>
    <t>Needs client review</t>
  </si>
  <si>
    <t>No defect</t>
  </si>
  <si>
    <t>OK</t>
  </si>
  <si>
    <t>Mitigation in place</t>
  </si>
  <si>
    <t>Monitoring</t>
  </si>
  <si>
    <t>Waiting on credentials</t>
  </si>
  <si>
    <t>Waiting for feedback</t>
  </si>
  <si>
    <t>Client (O2 Nations)</t>
  </si>
  <si>
    <t>Minor visual issue – logged</t>
  </si>
  <si>
    <t>OK – with minor issue</t>
  </si>
  <si>
    <t>Client approved deferral</t>
  </si>
  <si>
    <t>Mitigated</t>
  </si>
  <si>
    <t>Waiting on payment provider</t>
  </si>
  <si>
    <t>Reconcile with Engineering Directive PDF</t>
  </si>
  <si>
    <t>Functional bug – logged</t>
  </si>
  <si>
    <t>Skipped (N/A)</t>
  </si>
  <si>
    <t>Resolved – no impact</t>
  </si>
  <si>
    <t>Partial</t>
  </si>
  <si>
    <t>Failed</t>
  </si>
  <si>
    <t>Low</t>
  </si>
  <si>
    <t>Realized</t>
  </si>
  <si>
    <t>Unlikely</t>
  </si>
  <si>
    <t>Waiting on client content / feedback</t>
  </si>
  <si>
    <t>Partially done – continue tomorrow</t>
  </si>
  <si>
    <t>Hosting (Hostinger)</t>
  </si>
  <si>
    <t>Blocked by open task</t>
  </si>
  <si>
    <t>Failed – rollback triggered</t>
  </si>
  <si>
    <t>Accepted risk</t>
  </si>
  <si>
    <t>N/A</t>
  </si>
  <si>
    <t>Closed</t>
  </si>
  <si>
    <t>Waiting on historical PDFs / covers</t>
  </si>
  <si>
    <t>Deferred to post-launch (client approved)</t>
  </si>
  <si>
    <t>Payment Provider</t>
  </si>
  <si>
    <t>Retest after fix</t>
  </si>
  <si>
    <t>Repeated successfully</t>
  </si>
  <si>
    <t>Escalated to client</t>
  </si>
  <si>
    <t>Hosting / server access issue</t>
  </si>
  <si>
    <t>Reopened after QA</t>
  </si>
  <si>
    <t>Fixed &amp; retested</t>
  </si>
  <si>
    <t>Dependency task not finished</t>
  </si>
  <si>
    <t>Done – pending retest</t>
  </si>
  <si>
    <t>Bug found in testing</t>
  </si>
  <si>
    <t>Plugin / theme conflict</t>
  </si>
  <si>
    <t>Performance issue</t>
  </si>
  <si>
    <t>Other (see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</si>
</sst>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5" formatCode="dd\ mmm\ yyyy"/>
    <numFmt numFmtId="166" formatCode="ddd\ dd\ mmm\ yyyy"/>
    <numFmt numFmtId="167" formatCode="0.0%"/>
    <numFmt numFmtId="168" formatCode="\+0.0%;\-0.0%;0.0%"/>
    <numFmt numFmtId="169" formatCode="dd\ mmm"/>
    <numFmt numFmtId="170" formatCode="dd\ mmm\ yy"/>
    <numFmt numFmtId="171" formatCode="0%;\-0%;;@"/>
    <numFmt numFmtId="172" formatCode="0%;\-0%;0%"/>
    <numFmt numFmtId="173" formatCode="dd\ mmm\ hh:mm"/>
  </numFmts>
  <fonts count="38" x14ac:knownFonts="1">
    <font>
      <sz val="11"/>
      <color theme="1"/>
      <name val="Calibri"/>
      <family val="2"/>
      <scheme val="minor"/>
    </font>
    <font>
      <b/>
      <sz val="10"/>
      <color rgb="FF1F2937"/>
      <name val="Arial"/>
    </font>
    <font>
      <b/>
      <sz val="16"/>
      <color rgb="FFFFFFFF"/>
      <name val="Arial"/>
    </font>
    <font>
      <sz val="10"/>
      <color rgb="FFA7F3D0"/>
      <name val="Arial"/>
    </font>
    <font>
      <b/>
      <sz val="9"/>
      <color rgb="FF6B7280"/>
      <name val="Arial"/>
    </font>
    <font>
      <b/>
      <u/>
      <sz val="9"/>
      <color rgb="FFB91C1C"/>
      <name val="Arial"/>
    </font>
    <font>
      <b/>
      <u/>
      <sz val="9"/>
      <color rgb="FF047857"/>
      <name val="Arial"/>
    </font>
    <font>
      <b/>
      <u/>
      <sz val="10"/>
      <color rgb="FF047857"/>
      <name val="Arial"/>
    </font>
    <font>
      <b/>
      <sz val="11"/>
      <color rgb="FFFFFFFF"/>
      <name val="Arial"/>
    </font>
    <font>
      <b/>
      <sz val="9"/>
      <color rgb="FF374151"/>
      <name val="Arial"/>
    </font>
    <font>
      <b/>
      <sz val="11"/>
      <color rgb="FF0F1B2D"/>
      <name val="Arial"/>
    </font>
    <font>
      <b/>
      <sz val="8"/>
      <color rgb="FF6B7280"/>
      <name val="Arial"/>
    </font>
    <font>
      <b/>
      <sz val="22"/>
      <color rgb="FF0F1B2D"/>
      <name val="Arial"/>
    </font>
    <font>
      <i/>
      <sz val="8"/>
      <color rgb="FF9CA3AF"/>
      <name val="Arial"/>
    </font>
    <font>
      <b/>
      <sz val="10"/>
      <color rgb="FF047857"/>
      <name val="Arial"/>
    </font>
    <font>
      <b/>
      <sz val="20"/>
      <color rgb="FF0F1B2D"/>
      <name val="Arial"/>
    </font>
    <font>
      <b/>
      <sz val="20"/>
      <color rgb="FF065F46"/>
      <name val="Arial"/>
    </font>
    <font>
      <b/>
      <sz val="20"/>
      <color rgb="FF1E40AF"/>
      <name val="Arial"/>
    </font>
    <font>
      <b/>
      <sz val="20"/>
      <color rgb="FF374151"/>
      <name val="Arial"/>
    </font>
    <font>
      <b/>
      <sz val="20"/>
      <color rgb="FF92400E"/>
      <name val="Arial"/>
    </font>
    <font>
      <b/>
      <sz val="20"/>
      <color rgb="FF991B1B"/>
      <name val="Arial"/>
    </font>
    <font>
      <b/>
      <sz val="9"/>
      <color rgb="FFFFFFFF"/>
      <name val="Arial"/>
    </font>
    <font>
      <sz val="9"/>
      <color rgb="FF1F2937"/>
      <name val="Arial"/>
    </font>
    <font>
      <b/>
      <sz val="10"/>
      <color rgb="FF0F1B2D"/>
      <name val="Arial"/>
    </font>
    <font>
      <sz val="9"/>
      <color rgb="FF047857"/>
      <name val="Arial"/>
    </font>
    <font>
      <b/>
      <sz val="9"/>
      <color rgb="FF1F2937"/>
      <name val="Arial"/>
    </font>
    <font>
      <b/>
      <sz val="9"/>
      <color rgb="FF991B1B"/>
      <name val="Arial"/>
    </font>
    <font>
      <b/>
      <sz val="9"/>
      <color rgb="FF1E40AF"/>
      <name val="Arial"/>
    </font>
    <font>
      <b/>
      <sz val="9"/>
      <color rgb="FF92400E"/>
      <name val="Arial"/>
    </font>
    <font>
      <b/>
      <sz val="9"/>
      <color rgb="FF065F46"/>
      <name val="Arial"/>
    </font>
    <font>
      <b/>
      <i/>
      <sz val="9"/>
      <color rgb="FF047857"/>
      <name val="Arial"/>
    </font>
    <font>
      <sz val="9"/>
      <color rgb="FF374151"/>
      <name val="Arial"/>
    </font>
    <font>
      <sz val="9"/>
      <color rgb="FF6B7280"/>
      <name val="Arial"/>
    </font>
    <font>
      <sz val="9"/>
      <color rgb="FF4B5563"/>
      <name val="Arial"/>
    </font>
    <font>
      <b/>
      <sz val="9"/>
      <color rgb="FF0F1B2D"/>
      <name val="Arial"/>
    </font>
    <font>
      <b/>
      <sz val="18"/>
      <color rgb="FF0F1B2D"/>
      <name val="Arial"/>
    </font>
    <font>
      <b/>
      <sz val="14"/>
      <color rgb="FF0F1B2D"/>
      <name val="Arial"/>
    </font>
    <font>
      <sz val="10"/>
      <color rgb="FF1F2937"/>
      <name val="Arial"/>
    </font>
  </fonts>
  <fills count="17">
    <fill>
      <patternFill patternType="none"/>
    </fill>
    <fill>
      <patternFill patternType="gray125"/>
    </fill>
    <fill>
      <patternFill patternType="solid">
        <fgColor rgb="FF0F1B2D"/>
        <bgColor rgb="FF0F1B2D"/>
      </patternFill>
    </fill>
    <fill>
      <patternFill patternType="solid">
        <fgColor rgb="FF1F2937"/>
        <bgColor rgb="FF1F2937"/>
      </patternFill>
    </fill>
    <fill>
      <patternFill patternType="solid">
        <fgColor rgb="FFD1FAE5"/>
        <bgColor rgb="FFD1FAE5"/>
      </patternFill>
    </fill>
    <fill>
      <patternFill patternType="solid">
        <fgColor rgb="FF047857"/>
        <bgColor rgb="FF047857"/>
      </patternFill>
    </fill>
    <fill>
      <patternFill patternType="solid">
        <fgColor rgb="FFF3F4F6"/>
        <bgColor rgb="FFF3F4F6"/>
      </patternFill>
    </fill>
    <fill>
      <patternFill patternType="solid">
        <fgColor rgb="FFFFFBEB"/>
        <bgColor rgb="FFFFFBEB"/>
      </patternFill>
    </fill>
    <fill>
      <patternFill patternType="solid">
        <fgColor rgb="FFECFDF5"/>
        <bgColor rgb="FFECFDF5"/>
      </patternFill>
    </fill>
    <fill>
      <patternFill patternType="solid">
        <fgColor rgb="FFFFFFFF"/>
        <bgColor rgb="FFFFFFFF"/>
      </patternFill>
    </fill>
    <fill>
      <patternFill patternType="solid">
        <fgColor rgb="FFFEF2F2"/>
        <bgColor rgb="FFFEF2F2"/>
      </patternFill>
    </fill>
    <fill>
      <patternFill patternType="solid">
        <fgColor rgb="FFE5E7EB"/>
        <bgColor rgb="FFE5E7EB"/>
      </patternFill>
    </fill>
    <fill>
      <patternFill patternType="solid">
        <fgColor rgb="FFDBEAFE"/>
        <bgColor rgb="FFDBEAFE"/>
      </patternFill>
    </fill>
    <fill>
      <patternFill patternType="solid">
        <fgColor rgb="FFFEE2E2"/>
        <bgColor rgb="FFFEE2E2"/>
      </patternFill>
    </fill>
    <fill>
      <patternFill patternType="solid">
        <fgColor rgb="FFFEF3C7"/>
        <bgColor rgb="FFFEF3C7"/>
      </patternFill>
    </fill>
    <fill>
      <patternFill patternType="solid">
        <fgColor rgb="FFC6F6D5"/>
        <bgColor rgb="FFC6F6D5"/>
      </patternFill>
    </fill>
    <fill>
      <patternFill patternType="solid">
        <fgColor rgb="FF374151"/>
        <bgColor rgb="FF374151"/>
      </patternFill>
    </fill>
  </fills>
  <borders count="20">
    <border>
      <left/>
      <right/>
      <top/>
      <bottom/>
      <diagonal/>
    </border>
    <border>
      <left style="thin">
        <color rgb="FFD1D5DB"/>
      </left>
      <right style="thin">
        <color rgb="FFD1D5DB"/>
      </right>
      <top style="thin">
        <color rgb="FFD1D5DB"/>
      </top>
      <bottom style="thin">
        <color rgb="FFD1D5DB"/>
      </bottom>
      <diagonal/>
    </border>
    <border>
      <left style="thin">
        <color rgb="FFD1D5DB"/>
      </left>
      <right/>
      <top style="thick">
        <color rgb="FF10B981"/>
      </top>
      <bottom/>
      <diagonal/>
    </border>
    <border>
      <left/>
      <right/>
      <top style="thick">
        <color rgb="FF10B981"/>
      </top>
      <bottom/>
      <diagonal/>
    </border>
    <border>
      <left/>
      <right style="thin">
        <color rgb="FFD1D5DB"/>
      </right>
      <top style="thick">
        <color rgb="FF10B981"/>
      </top>
      <bottom/>
      <diagonal/>
    </border>
    <border>
      <left style="thin">
        <color rgb="FFD1D5DB"/>
      </left>
      <right/>
      <top/>
      <bottom/>
      <diagonal/>
    </border>
    <border>
      <left/>
      <right/>
      <top/>
      <bottom/>
      <diagonal/>
    </border>
    <border>
      <left/>
      <right style="thin">
        <color rgb="FFD1D5DB"/>
      </right>
      <top/>
      <bottom/>
      <diagonal/>
    </border>
    <border>
      <left style="thin">
        <color rgb="FFD1D5DB"/>
      </left>
      <right/>
      <top/>
      <bottom style="thin">
        <color rgb="FFD1D5DB"/>
      </bottom>
      <diagonal/>
    </border>
    <border>
      <left/>
      <right/>
      <top/>
      <bottom style="thin">
        <color rgb="FFD1D5DB"/>
      </bottom>
      <diagonal/>
    </border>
    <border>
      <left/>
      <right style="thin">
        <color rgb="FFD1D5DB"/>
      </right>
      <top/>
      <bottom style="thin">
        <color rgb="FFD1D5DB"/>
      </bottom>
      <diagonal/>
    </border>
    <border>
      <left style="thin">
        <color rgb="FFFFFFFF"/>
      </left>
      <right style="thin">
        <color rgb="FFFFFFFF"/>
      </right>
      <top style="thick">
        <color rgb="FF0F1B2D"/>
      </top>
      <bottom/>
      <diagonal/>
    </border>
    <border>
      <left style="thin">
        <color rgb="FFFFFFFF"/>
      </left>
      <right style="thin">
        <color rgb="FFFFFFFF"/>
      </right>
      <top/>
      <bottom/>
      <diagonal/>
    </border>
    <border>
      <left style="thin">
        <color rgb="FFFFFFFF"/>
      </left>
      <right style="thin">
        <color rgb="FFFFFFFF"/>
      </right>
      <top style="thick">
        <color rgb="FF065F46"/>
      </top>
      <bottom/>
      <diagonal/>
    </border>
    <border>
      <left style="thin">
        <color rgb="FFFFFFFF"/>
      </left>
      <right style="thin">
        <color rgb="FFFFFFFF"/>
      </right>
      <top style="thick">
        <color rgb="FF1E40AF"/>
      </top>
      <bottom/>
      <diagonal/>
    </border>
    <border>
      <left style="thin">
        <color rgb="FFFFFFFF"/>
      </left>
      <right style="thin">
        <color rgb="FFFFFFFF"/>
      </right>
      <top style="thick">
        <color rgb="FF374151"/>
      </top>
      <bottom/>
      <diagonal/>
    </border>
    <border>
      <left style="thin">
        <color rgb="FFFFFFFF"/>
      </left>
      <right style="thin">
        <color rgb="FFFFFFFF"/>
      </right>
      <top style="thick">
        <color rgb="FF92400E"/>
      </top>
      <bottom/>
      <diagonal/>
    </border>
    <border>
      <left style="thin">
        <color rgb="FFFFFFFF"/>
      </left>
      <right style="thin">
        <color rgb="FFFFFFFF"/>
      </right>
      <top style="thick">
        <color rgb="FF991B1B"/>
      </top>
      <bottom/>
      <diagonal/>
    </border>
    <border>
      <left/>
      <right/>
      <top style="thin">
        <color rgb="FFD1D5DB"/>
      </top>
      <bottom style="thin">
        <color rgb="FFD1D5DB"/>
      </bottom>
      <diagonal/>
    </border>
    <border>
      <left/>
      <right style="thin">
        <color rgb="FFD1D5DB"/>
      </right>
      <top style="thin">
        <color rgb="FFD1D5DB"/>
      </top>
      <bottom style="thin">
        <color rgb="FFD1D5DB"/>
      </bottom>
      <diagonal/>
    </border>
  </borders>
  <cellStyleXfs count="1">
    <xf numFmtId="0" fontId="0" fillId="0" borderId="0"/>
  </cellStyleXfs>
  <cellXfs count="141">
    <xf numFmtId="0" fontId="0" fillId="0" borderId="0" xfId="0"/>
    <xf numFmtId="0" fontId="4" fillId="0" borderId="0" xfId="0" applyFont="1"/>
    <xf numFmtId="0" fontId="5" fillId="0" borderId="0" xfId="0" applyFont="1"/>
    <xf numFmtId="0" fontId="6" fillId="0" borderId="0" xfId="0" applyFont="1"/>
    <xf numFmtId="0" fontId="7" fillId="4" borderId="1" xfId="0" applyFont="1" applyFill="1" applyBorder="1" applyAlignment="1">
      <alignment horizontal="center" vertical="center" wrapText="1"/>
    </xf>
    <xf numFmtId="0" fontId="21" fillId="3" borderId="1" xfId="0" applyFont="1" applyFill="1" applyBorder="1" applyAlignment="1">
      <alignment horizontal="center" vertical="center" wrapText="1"/>
    </xf>
    <xf numFmtId="0" fontId="23" fillId="9" borderId="1" xfId="0" applyFont="1" applyFill="1" applyBorder="1" applyAlignment="1">
      <alignment horizontal="center" vertical="center" wrapText="1"/>
    </xf>
    <xf numFmtId="0" fontId="22" fillId="9" borderId="1" xfId="0" applyFont="1" applyFill="1" applyBorder="1" applyAlignment="1">
      <alignment horizontal="center" vertical="center" wrapText="1"/>
    </xf>
    <xf numFmtId="9" fontId="22" fillId="9" borderId="1" xfId="0" applyNumberFormat="1" applyFont="1" applyFill="1" applyBorder="1" applyAlignment="1">
      <alignment horizontal="center" vertical="center" wrapText="1"/>
    </xf>
    <xf numFmtId="0" fontId="23" fillId="6" borderId="1" xfId="0" applyFont="1" applyFill="1" applyBorder="1" applyAlignment="1">
      <alignment horizontal="center" vertical="center" wrapText="1"/>
    </xf>
    <xf numFmtId="0" fontId="22" fillId="6" borderId="1" xfId="0" applyFont="1" applyFill="1" applyBorder="1" applyAlignment="1">
      <alignment horizontal="center" vertical="center" wrapText="1"/>
    </xf>
    <xf numFmtId="9" fontId="22" fillId="6" borderId="1" xfId="0" applyNumberFormat="1" applyFont="1" applyFill="1" applyBorder="1" applyAlignment="1">
      <alignment horizontal="center" vertical="center" wrapText="1"/>
    </xf>
    <xf numFmtId="0" fontId="21" fillId="2" borderId="1" xfId="0" applyFont="1" applyFill="1" applyBorder="1" applyAlignment="1">
      <alignment horizontal="center" vertical="center" wrapText="1"/>
    </xf>
    <xf numFmtId="9" fontId="21" fillId="2" borderId="1" xfId="0" applyNumberFormat="1" applyFont="1" applyFill="1" applyBorder="1" applyAlignment="1">
      <alignment horizontal="center" vertical="center" wrapText="1"/>
    </xf>
    <xf numFmtId="0" fontId="9" fillId="11" borderId="1" xfId="0" applyFont="1" applyFill="1" applyBorder="1" applyAlignment="1">
      <alignment horizontal="center" vertical="center" wrapText="1"/>
    </xf>
    <xf numFmtId="9" fontId="9" fillId="11" borderId="1" xfId="0" applyNumberFormat="1" applyFont="1" applyFill="1" applyBorder="1" applyAlignment="1">
      <alignment horizontal="center" vertical="center" wrapText="1"/>
    </xf>
    <xf numFmtId="169" fontId="22" fillId="6" borderId="1" xfId="0" applyNumberFormat="1" applyFont="1" applyFill="1" applyBorder="1" applyAlignment="1">
      <alignment horizontal="center" vertical="center" wrapText="1"/>
    </xf>
    <xf numFmtId="0" fontId="27" fillId="12" borderId="1" xfId="0" applyFont="1" applyFill="1" applyBorder="1" applyAlignment="1">
      <alignment horizontal="center" vertical="center" wrapText="1"/>
    </xf>
    <xf numFmtId="9" fontId="27" fillId="12" borderId="1" xfId="0" applyNumberFormat="1" applyFont="1" applyFill="1" applyBorder="1" applyAlignment="1">
      <alignment horizontal="center" vertical="center" wrapText="1"/>
    </xf>
    <xf numFmtId="169" fontId="22" fillId="9" borderId="1" xfId="0" applyNumberFormat="1" applyFont="1" applyFill="1" applyBorder="1" applyAlignment="1">
      <alignment horizontal="center" vertical="center" wrapText="1"/>
    </xf>
    <xf numFmtId="0" fontId="26" fillId="13" borderId="1" xfId="0" applyFont="1" applyFill="1" applyBorder="1" applyAlignment="1">
      <alignment horizontal="center" vertical="center" wrapText="1"/>
    </xf>
    <xf numFmtId="9" fontId="26" fillId="13" borderId="1" xfId="0" applyNumberFormat="1" applyFont="1" applyFill="1" applyBorder="1" applyAlignment="1">
      <alignment horizontal="center" vertical="center" wrapText="1"/>
    </xf>
    <xf numFmtId="0" fontId="28" fillId="14" borderId="1" xfId="0" applyFont="1" applyFill="1" applyBorder="1" applyAlignment="1">
      <alignment horizontal="center" vertical="center" wrapText="1"/>
    </xf>
    <xf numFmtId="9" fontId="28" fillId="14" borderId="1" xfId="0" applyNumberFormat="1" applyFont="1" applyFill="1" applyBorder="1" applyAlignment="1">
      <alignment horizontal="center" vertical="center" wrapText="1"/>
    </xf>
    <xf numFmtId="0" fontId="29" fillId="15" borderId="1" xfId="0" applyFont="1" applyFill="1" applyBorder="1" applyAlignment="1">
      <alignment horizontal="center" vertical="center" wrapText="1"/>
    </xf>
    <xf numFmtId="9" fontId="29" fillId="15" borderId="1" xfId="0" applyNumberFormat="1" applyFont="1" applyFill="1" applyBorder="1" applyAlignment="1">
      <alignment horizontal="center" vertical="center" wrapText="1"/>
    </xf>
    <xf numFmtId="0" fontId="22" fillId="9" borderId="1" xfId="0" applyFont="1" applyFill="1" applyBorder="1" applyAlignment="1">
      <alignment horizontal="left" vertical="center" wrapText="1"/>
    </xf>
    <xf numFmtId="0" fontId="22" fillId="6" borderId="1" xfId="0" applyFont="1" applyFill="1" applyBorder="1" applyAlignment="1">
      <alignment horizontal="left" vertical="center" wrapText="1"/>
    </xf>
    <xf numFmtId="0" fontId="25" fillId="0" borderId="0" xfId="0" applyFont="1"/>
    <xf numFmtId="0" fontId="25" fillId="9"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25" fillId="0" borderId="0" xfId="0" applyFont="1" applyAlignment="1">
      <alignment horizontal="right"/>
    </xf>
    <xf numFmtId="0" fontId="32" fillId="0" borderId="0" xfId="0" applyFont="1"/>
    <xf numFmtId="0" fontId="7" fillId="0" borderId="0" xfId="0" applyFont="1"/>
    <xf numFmtId="0" fontId="21" fillId="16" borderId="1" xfId="0" applyFont="1" applyFill="1" applyBorder="1" applyAlignment="1">
      <alignment horizontal="center" vertical="center" wrapText="1"/>
    </xf>
    <xf numFmtId="0" fontId="34" fillId="0" borderId="1" xfId="0" applyFont="1" applyBorder="1" applyAlignment="1">
      <alignment horizontal="center" vertical="top" wrapText="1"/>
    </xf>
    <xf numFmtId="0" fontId="22" fillId="0" borderId="1" xfId="0" applyFont="1" applyBorder="1" applyAlignment="1">
      <alignment horizontal="center" vertical="top" wrapText="1"/>
    </xf>
    <xf numFmtId="0" fontId="22" fillId="0" borderId="1" xfId="0" applyFont="1" applyBorder="1" applyAlignment="1">
      <alignment vertical="top" wrapText="1"/>
    </xf>
    <xf numFmtId="0" fontId="22" fillId="7" borderId="1" xfId="0" applyFont="1" applyFill="1" applyBorder="1" applyAlignment="1">
      <alignment horizontal="center" vertical="top" wrapText="1"/>
    </xf>
    <xf numFmtId="170" fontId="22" fillId="0" borderId="1" xfId="0" applyNumberFormat="1" applyFont="1" applyBorder="1" applyAlignment="1">
      <alignment horizontal="center" vertical="top" wrapText="1"/>
    </xf>
    <xf numFmtId="9" fontId="22" fillId="7" borderId="1" xfId="0" applyNumberFormat="1" applyFont="1" applyFill="1" applyBorder="1" applyAlignment="1">
      <alignment horizontal="center" vertical="top" wrapText="1"/>
    </xf>
    <xf numFmtId="0" fontId="22" fillId="7" borderId="1" xfId="0" applyFont="1" applyFill="1" applyBorder="1" applyAlignment="1">
      <alignment vertical="top" wrapText="1"/>
    </xf>
    <xf numFmtId="170" fontId="22" fillId="7" borderId="1" xfId="0" applyNumberFormat="1" applyFont="1" applyFill="1" applyBorder="1" applyAlignment="1">
      <alignment horizontal="center" vertical="top" wrapText="1"/>
    </xf>
    <xf numFmtId="171" fontId="33" fillId="11" borderId="1" xfId="0" applyNumberFormat="1" applyFont="1" applyFill="1" applyBorder="1" applyAlignment="1">
      <alignment horizontal="center" vertical="top" wrapText="1"/>
    </xf>
    <xf numFmtId="1" fontId="33" fillId="11" borderId="1" xfId="0" applyNumberFormat="1" applyFont="1" applyFill="1" applyBorder="1" applyAlignment="1">
      <alignment horizontal="center" vertical="top" wrapText="1"/>
    </xf>
    <xf numFmtId="0" fontId="33" fillId="11" borderId="1" xfId="0" applyFont="1" applyFill="1" applyBorder="1" applyAlignment="1">
      <alignment horizontal="center" vertical="top" wrapText="1"/>
    </xf>
    <xf numFmtId="0" fontId="11" fillId="6" borderId="3" xfId="0" applyFont="1" applyFill="1" applyBorder="1" applyAlignment="1">
      <alignment horizontal="center" vertical="center" wrapText="1"/>
    </xf>
    <xf numFmtId="9" fontId="35" fillId="6" borderId="0" xfId="0" applyNumberFormat="1" applyFont="1" applyFill="1" applyAlignment="1">
      <alignment horizontal="center" vertical="center" wrapText="1"/>
    </xf>
    <xf numFmtId="1" fontId="35" fillId="6" borderId="0" xfId="0" applyNumberFormat="1" applyFont="1" applyFill="1" applyAlignment="1">
      <alignment horizontal="center" vertical="center" wrapText="1"/>
    </xf>
    <xf numFmtId="169" fontId="35" fillId="6" borderId="0" xfId="0" applyNumberFormat="1" applyFont="1" applyFill="1" applyAlignment="1">
      <alignment horizontal="center" vertical="center" wrapText="1"/>
    </xf>
    <xf numFmtId="0" fontId="21" fillId="5" borderId="0" xfId="0" applyFont="1" applyFill="1" applyAlignment="1">
      <alignment horizontal="center" vertical="center" wrapText="1"/>
    </xf>
    <xf numFmtId="0" fontId="34" fillId="9" borderId="1" xfId="0" applyFont="1" applyFill="1" applyBorder="1" applyAlignment="1">
      <alignment horizontal="center" vertical="center" wrapText="1"/>
    </xf>
    <xf numFmtId="0" fontId="22" fillId="9" borderId="1" xfId="0" applyFont="1" applyFill="1" applyBorder="1" applyAlignment="1">
      <alignment vertical="top" wrapText="1"/>
    </xf>
    <xf numFmtId="172" fontId="22" fillId="9" borderId="1" xfId="0" applyNumberFormat="1" applyFont="1" applyFill="1" applyBorder="1" applyAlignment="1">
      <alignment horizontal="center" vertical="center" wrapText="1"/>
    </xf>
    <xf numFmtId="0" fontId="6" fillId="9" borderId="1" xfId="0" applyFont="1" applyFill="1" applyBorder="1" applyAlignment="1">
      <alignment vertical="top" wrapText="1"/>
    </xf>
    <xf numFmtId="170" fontId="22" fillId="7" borderId="1" xfId="0" applyNumberFormat="1" applyFont="1" applyFill="1" applyBorder="1" applyAlignment="1">
      <alignment vertical="top" wrapText="1"/>
    </xf>
    <xf numFmtId="0" fontId="23" fillId="0" borderId="0" xfId="0" applyFont="1"/>
    <xf numFmtId="173" fontId="22" fillId="7" borderId="1" xfId="0" applyNumberFormat="1" applyFont="1" applyFill="1" applyBorder="1" applyAlignment="1">
      <alignment vertical="top" wrapText="1"/>
    </xf>
    <xf numFmtId="170" fontId="22" fillId="9" borderId="1" xfId="0" applyNumberFormat="1" applyFont="1" applyFill="1" applyBorder="1" applyAlignment="1">
      <alignment vertical="top" wrapText="1"/>
    </xf>
    <xf numFmtId="0" fontId="22" fillId="11" borderId="1" xfId="0" applyFont="1" applyFill="1" applyBorder="1" applyAlignment="1">
      <alignment horizontal="center" vertical="center" wrapText="1"/>
    </xf>
    <xf numFmtId="0" fontId="1" fillId="0" borderId="0" xfId="0" applyFont="1"/>
    <xf numFmtId="165" fontId="0" fillId="0" borderId="0" xfId="0" applyNumberFormat="1"/>
    <xf numFmtId="9" fontId="0" fillId="0" borderId="0" xfId="0" applyNumberFormat="1"/>
    <xf numFmtId="167" fontId="12" fillId="9" borderId="5" xfId="0" applyNumberFormat="1" applyFont="1" applyFill="1" applyBorder="1" applyAlignment="1">
      <alignment horizontal="center" vertical="center" wrapText="1"/>
    </xf>
    <xf numFmtId="0" fontId="0" fillId="0" borderId="6" xfId="0" applyBorder="1"/>
    <xf numFmtId="0" fontId="0" fillId="0" borderId="7" xfId="0" applyBorder="1"/>
    <xf numFmtId="0" fontId="13" fillId="6" borderId="12" xfId="0" applyFont="1" applyFill="1" applyBorder="1" applyAlignment="1">
      <alignment horizontal="center" vertical="center" wrapText="1"/>
    </xf>
    <xf numFmtId="0" fontId="0" fillId="0" borderId="12" xfId="0" applyBorder="1"/>
    <xf numFmtId="0" fontId="22" fillId="6" borderId="1" xfId="0" applyFont="1" applyFill="1" applyBorder="1" applyAlignment="1">
      <alignment horizontal="left" vertical="center" wrapText="1"/>
    </xf>
    <xf numFmtId="0" fontId="22" fillId="6" borderId="1" xfId="0" applyFont="1" applyFill="1" applyBorder="1" applyAlignment="1">
      <alignment horizontal="center" vertical="center" wrapText="1"/>
    </xf>
    <xf numFmtId="0" fontId="17" fillId="6" borderId="12" xfId="0" applyFont="1" applyFill="1" applyBorder="1" applyAlignment="1">
      <alignment horizontal="center" vertical="center" wrapText="1"/>
    </xf>
    <xf numFmtId="0" fontId="8" fillId="5" borderId="0" xfId="0" applyFont="1" applyFill="1" applyAlignment="1">
      <alignment horizontal="left" vertical="center" wrapText="1"/>
    </xf>
    <xf numFmtId="0" fontId="0" fillId="5" borderId="0" xfId="0" applyFill="1"/>
    <xf numFmtId="0" fontId="22" fillId="9" borderId="1" xfId="0" applyFont="1" applyFill="1" applyBorder="1" applyAlignment="1">
      <alignment horizontal="left" vertical="center" wrapText="1"/>
    </xf>
    <xf numFmtId="0" fontId="22" fillId="9" borderId="1" xfId="0" applyFont="1" applyFill="1" applyBorder="1" applyAlignment="1">
      <alignment horizontal="center" vertical="center" wrapText="1"/>
    </xf>
    <xf numFmtId="0" fontId="7" fillId="9" borderId="1" xfId="0" applyFont="1" applyFill="1" applyBorder="1" applyAlignment="1">
      <alignment horizontal="left" vertical="center" wrapText="1"/>
    </xf>
    <xf numFmtId="168" fontId="12" fillId="9" borderId="5" xfId="0" applyNumberFormat="1" applyFont="1" applyFill="1" applyBorder="1" applyAlignment="1">
      <alignment horizontal="center" vertical="center" wrapText="1"/>
    </xf>
    <xf numFmtId="0" fontId="11" fillId="6" borderId="14" xfId="0" applyFont="1" applyFill="1" applyBorder="1" applyAlignment="1">
      <alignment horizontal="center" vertical="center" wrapText="1"/>
    </xf>
    <xf numFmtId="0" fontId="0" fillId="0" borderId="14" xfId="0" applyBorder="1"/>
    <xf numFmtId="0" fontId="3" fillId="3" borderId="0" xfId="0" applyFont="1" applyFill="1" applyAlignment="1">
      <alignment horizontal="left" vertical="center" wrapText="1"/>
    </xf>
    <xf numFmtId="0" fontId="0" fillId="3" borderId="0" xfId="0" applyFill="1"/>
    <xf numFmtId="0" fontId="24" fillId="6" borderId="1" xfId="0" applyFont="1" applyFill="1" applyBorder="1" applyAlignment="1">
      <alignment horizontal="left" vertical="center" wrapText="1"/>
    </xf>
    <xf numFmtId="0" fontId="21" fillId="3" borderId="1" xfId="0" applyFont="1" applyFill="1" applyBorder="1" applyAlignment="1">
      <alignment horizontal="center" vertical="center" wrapText="1"/>
    </xf>
    <xf numFmtId="0" fontId="0" fillId="0" borderId="18" xfId="0" applyBorder="1"/>
    <xf numFmtId="0" fontId="0" fillId="0" borderId="19" xfId="0" applyBorder="1"/>
    <xf numFmtId="165" fontId="10" fillId="7" borderId="1" xfId="0" applyNumberFormat="1" applyFont="1" applyFill="1" applyBorder="1" applyAlignment="1">
      <alignment horizontal="center" vertical="center" wrapText="1"/>
    </xf>
    <xf numFmtId="0" fontId="0" fillId="0" borderId="0" xfId="0"/>
    <xf numFmtId="0" fontId="11" fillId="9" borderId="2" xfId="0" applyFont="1" applyFill="1" applyBorder="1" applyAlignment="1">
      <alignment horizontal="center" vertical="center" wrapText="1"/>
    </xf>
    <xf numFmtId="0" fontId="0" fillId="0" borderId="3" xfId="0" applyBorder="1"/>
    <xf numFmtId="0" fontId="0" fillId="0" borderId="4" xfId="0" applyBorder="1"/>
    <xf numFmtId="0" fontId="24" fillId="9" borderId="1" xfId="0" applyFont="1" applyFill="1" applyBorder="1" applyAlignment="1">
      <alignment horizontal="left" vertical="center" wrapText="1"/>
    </xf>
    <xf numFmtId="0" fontId="11" fillId="6" borderId="17" xfId="0" applyFont="1" applyFill="1" applyBorder="1" applyAlignment="1">
      <alignment horizontal="center" vertical="center" wrapText="1"/>
    </xf>
    <xf numFmtId="0" fontId="0" fillId="0" borderId="17" xfId="0" applyBorder="1"/>
    <xf numFmtId="0" fontId="11" fillId="6" borderId="11" xfId="0" applyFont="1" applyFill="1" applyBorder="1" applyAlignment="1">
      <alignment horizontal="center" vertical="center" wrapText="1"/>
    </xf>
    <xf numFmtId="0" fontId="0" fillId="0" borderId="11" xfId="0" applyBorder="1"/>
    <xf numFmtId="0" fontId="11" fillId="6" borderId="15" xfId="0" applyFont="1" applyFill="1" applyBorder="1" applyAlignment="1">
      <alignment horizontal="center" vertical="center" wrapText="1"/>
    </xf>
    <xf numFmtId="0" fontId="0" fillId="0" borderId="15" xfId="0" applyBorder="1"/>
    <xf numFmtId="0" fontId="21" fillId="2" borderId="1" xfId="0" applyFont="1" applyFill="1" applyBorder="1" applyAlignment="1">
      <alignment horizontal="center" vertical="center" wrapText="1"/>
    </xf>
    <xf numFmtId="1" fontId="12" fillId="9" borderId="5" xfId="0" applyNumberFormat="1" applyFont="1" applyFill="1" applyBorder="1" applyAlignment="1">
      <alignment horizontal="center" vertical="center" wrapText="1"/>
    </xf>
    <xf numFmtId="0" fontId="15" fillId="6" borderId="12" xfId="0" applyFont="1" applyFill="1" applyBorder="1" applyAlignment="1">
      <alignment horizontal="center" vertical="center" wrapText="1"/>
    </xf>
    <xf numFmtId="0" fontId="9" fillId="6" borderId="1" xfId="0" applyFont="1" applyFill="1" applyBorder="1" applyAlignment="1">
      <alignment horizontal="left" vertical="center" wrapText="1"/>
    </xf>
    <xf numFmtId="165" fontId="10" fillId="6" borderId="1" xfId="0" applyNumberFormat="1" applyFont="1" applyFill="1" applyBorder="1" applyAlignment="1">
      <alignment horizontal="center" vertical="center" wrapText="1"/>
    </xf>
    <xf numFmtId="0" fontId="20" fillId="6" borderId="12" xfId="0" applyFont="1" applyFill="1" applyBorder="1" applyAlignment="1">
      <alignment horizontal="center" vertical="center" wrapText="1"/>
    </xf>
    <xf numFmtId="0" fontId="7" fillId="6" borderId="1" xfId="0" applyFont="1" applyFill="1" applyBorder="1" applyAlignment="1">
      <alignment horizontal="left" vertical="center" wrapText="1"/>
    </xf>
    <xf numFmtId="0" fontId="13" fillId="9" borderId="8" xfId="0" applyFont="1" applyFill="1" applyBorder="1" applyAlignment="1">
      <alignment horizontal="center" vertical="center" wrapText="1"/>
    </xf>
    <xf numFmtId="0" fontId="0" fillId="0" borderId="9" xfId="0" applyBorder="1"/>
    <xf numFmtId="0" fontId="0" fillId="0" borderId="10" xfId="0" applyBorder="1"/>
    <xf numFmtId="0" fontId="5" fillId="0" borderId="0" xfId="0" applyFont="1"/>
    <xf numFmtId="0" fontId="25" fillId="6" borderId="1" xfId="0" applyFont="1" applyFill="1" applyBorder="1" applyAlignment="1">
      <alignment horizontal="left" vertical="center" wrapText="1"/>
    </xf>
    <xf numFmtId="0" fontId="11" fillId="6" borderId="13" xfId="0" applyFont="1" applyFill="1" applyBorder="1" applyAlignment="1">
      <alignment horizontal="center" vertical="center" wrapText="1"/>
    </xf>
    <xf numFmtId="0" fontId="0" fillId="0" borderId="13" xfId="0" applyBorder="1"/>
    <xf numFmtId="0" fontId="2" fillId="2" borderId="0" xfId="0" applyFont="1" applyFill="1" applyAlignment="1">
      <alignment horizontal="left" vertical="center" wrapText="1"/>
    </xf>
    <xf numFmtId="0" fontId="0" fillId="2" borderId="0" xfId="0" applyFill="1"/>
    <xf numFmtId="0" fontId="31" fillId="0" borderId="0" xfId="0" applyFont="1" applyAlignment="1">
      <alignment horizontal="left" vertical="center" wrapText="1"/>
    </xf>
    <xf numFmtId="0" fontId="18" fillId="6" borderId="12" xfId="0" applyFont="1" applyFill="1" applyBorder="1" applyAlignment="1">
      <alignment horizontal="center" vertical="center" wrapText="1"/>
    </xf>
    <xf numFmtId="0" fontId="19" fillId="6" borderId="12" xfId="0" applyFont="1" applyFill="1" applyBorder="1" applyAlignment="1">
      <alignment horizontal="center" vertical="center" wrapText="1"/>
    </xf>
    <xf numFmtId="0" fontId="6" fillId="0" borderId="0" xfId="0" applyFont="1"/>
    <xf numFmtId="49" fontId="12" fillId="9" borderId="5" xfId="0" applyNumberFormat="1" applyFont="1" applyFill="1" applyBorder="1" applyAlignment="1">
      <alignment horizontal="center" vertical="center" wrapText="1"/>
    </xf>
    <xf numFmtId="0" fontId="30" fillId="0" borderId="0" xfId="0" applyFont="1"/>
    <xf numFmtId="0" fontId="11" fillId="6" borderId="16" xfId="0" applyFont="1" applyFill="1" applyBorder="1" applyAlignment="1">
      <alignment horizontal="center" vertical="center" wrapText="1"/>
    </xf>
    <xf numFmtId="0" fontId="0" fillId="0" borderId="16" xfId="0" applyBorder="1"/>
    <xf numFmtId="0" fontId="26" fillId="10" borderId="1" xfId="0" applyFont="1" applyFill="1" applyBorder="1" applyAlignment="1">
      <alignment horizontal="left" vertical="center" wrapText="1"/>
    </xf>
    <xf numFmtId="0" fontId="16" fillId="6" borderId="12" xfId="0" applyFont="1" applyFill="1" applyBorder="1" applyAlignment="1">
      <alignment horizontal="center" vertical="center" wrapText="1"/>
    </xf>
    <xf numFmtId="166" fontId="10" fillId="8" borderId="1" xfId="0" applyNumberFormat="1" applyFont="1" applyFill="1" applyBorder="1" applyAlignment="1">
      <alignment horizontal="center" vertical="center" wrapText="1"/>
    </xf>
    <xf numFmtId="0" fontId="25" fillId="9" borderId="1" xfId="0" applyFont="1" applyFill="1" applyBorder="1" applyAlignment="1">
      <alignment horizontal="left" vertical="center" wrapText="1"/>
    </xf>
    <xf numFmtId="0" fontId="14" fillId="6" borderId="0" xfId="0" applyFont="1" applyFill="1" applyAlignment="1">
      <alignment horizontal="left" vertical="center" wrapText="1"/>
    </xf>
    <xf numFmtId="0" fontId="22" fillId="9" borderId="0" xfId="0" applyFont="1" applyFill="1" applyAlignment="1">
      <alignment horizontal="left" vertical="center" wrapText="1"/>
    </xf>
    <xf numFmtId="0" fontId="14" fillId="9" borderId="0" xfId="0" applyFont="1" applyFill="1" applyAlignment="1">
      <alignment horizontal="left" vertical="center" wrapText="1"/>
    </xf>
    <xf numFmtId="0" fontId="22" fillId="6" borderId="0" xfId="0" applyFont="1" applyFill="1" applyAlignment="1">
      <alignment horizontal="left" vertical="center" wrapText="1"/>
    </xf>
    <xf numFmtId="0" fontId="11" fillId="6" borderId="3" xfId="0" applyFont="1" applyFill="1" applyBorder="1" applyAlignment="1">
      <alignment horizontal="center" vertical="center" wrapText="1"/>
    </xf>
    <xf numFmtId="0" fontId="0" fillId="6" borderId="3" xfId="0" applyFill="1" applyBorder="1"/>
    <xf numFmtId="0" fontId="7" fillId="0" borderId="0" xfId="0" applyFont="1"/>
    <xf numFmtId="1" fontId="35" fillId="6" borderId="0" xfId="0" applyNumberFormat="1" applyFont="1" applyFill="1" applyAlignment="1">
      <alignment horizontal="center" vertical="center" wrapText="1"/>
    </xf>
    <xf numFmtId="0" fontId="0" fillId="6" borderId="0" xfId="0" applyFill="1"/>
    <xf numFmtId="0" fontId="11" fillId="6" borderId="0" xfId="0" applyFont="1" applyFill="1" applyAlignment="1">
      <alignment horizontal="center" vertical="center" wrapText="1"/>
    </xf>
    <xf numFmtId="0" fontId="37" fillId="4" borderId="0" xfId="0" applyFont="1" applyFill="1" applyAlignment="1">
      <alignment vertical="top" wrapText="1"/>
    </xf>
    <xf numFmtId="9" fontId="35" fillId="6" borderId="0" xfId="0" applyNumberFormat="1" applyFont="1" applyFill="1" applyAlignment="1">
      <alignment horizontal="center" vertical="center" wrapText="1"/>
    </xf>
    <xf numFmtId="0" fontId="36" fillId="6" borderId="0" xfId="0" applyFont="1" applyFill="1" applyAlignment="1">
      <alignment horizontal="center" vertical="center" wrapText="1"/>
    </xf>
    <xf numFmtId="0" fontId="22" fillId="7" borderId="1" xfId="0" applyFont="1" applyFill="1" applyBorder="1" applyAlignment="1">
      <alignment vertical="top" wrapText="1"/>
    </xf>
    <xf numFmtId="0" fontId="22" fillId="9" borderId="1" xfId="0" applyFont="1" applyFill="1" applyBorder="1" applyAlignment="1">
      <alignment vertical="top" wrapText="1"/>
    </xf>
    <xf numFmtId="0" fontId="26" fillId="10" borderId="1" xfId="0" applyFont="1" applyFill="1" applyBorder="1" applyAlignment="1">
      <alignment vertical="top" wrapText="1"/>
    </xf>
  </cellXfs>
  <cellStyles count="1">
    <cellStyle name="Normal" xfId="0" builtinId="0"/>
  </cellStyles>
  <dxfs count="200">
    <dxf>
      <font>
        <b/>
        <color rgb="FFFFFFFF"/>
        <name val="Arial"/>
      </font>
      <fill>
        <patternFill patternType="solid">
          <fgColor rgb="FFEF4444"/>
          <bgColor rgb="FFEF4444"/>
        </patternFill>
      </fill>
    </dxf>
    <dxf>
      <font>
        <b/>
        <color rgb="FF065F46"/>
        <name val="Arial"/>
      </font>
      <fill>
        <patternFill patternType="solid">
          <fgColor rgb="FFC6F6D5"/>
          <bgColor rgb="FFC6F6D5"/>
        </patternFill>
      </fill>
    </dxf>
    <dxf>
      <font>
        <b/>
        <color rgb="FFFFFFFF"/>
        <name val="Arial"/>
      </font>
      <fill>
        <patternFill patternType="solid">
          <fgColor rgb="FFEF4444"/>
          <bgColor rgb="FFEF4444"/>
        </patternFill>
      </fill>
    </dxf>
    <dxf>
      <font>
        <b/>
        <color rgb="FF374151"/>
        <name val="Arial"/>
      </font>
      <fill>
        <patternFill patternType="solid">
          <fgColor rgb="FFE5E7EB"/>
          <bgColor rgb="FFE5E7EB"/>
        </patternFill>
      </fill>
    </dxf>
    <dxf>
      <font>
        <b/>
        <color rgb="FF065F46"/>
        <name val="Arial"/>
      </font>
      <fill>
        <patternFill patternType="solid">
          <fgColor rgb="FFC6F6D5"/>
          <bgColor rgb="FFC6F6D5"/>
        </patternFill>
      </fill>
    </dxf>
    <dxf>
      <font>
        <b/>
        <color rgb="FF92400E"/>
        <name val="Arial"/>
      </font>
      <fill>
        <patternFill patternType="solid">
          <fgColor rgb="FFFEF3C7"/>
          <bgColor rgb="FFFEF3C7"/>
        </patternFill>
      </fill>
    </dxf>
    <dxf>
      <font>
        <b/>
        <color rgb="FF991B1B"/>
        <name val="Arial"/>
      </font>
      <fill>
        <patternFill patternType="solid">
          <fgColor rgb="FFFEE2E2"/>
          <bgColor rgb="FFFEE2E2"/>
        </patternFill>
      </fill>
    </dxf>
    <dxf>
      <font>
        <b/>
        <color rgb="FF075985"/>
        <name val="Arial"/>
      </font>
      <fill>
        <patternFill patternType="solid">
          <fgColor rgb="FFE0F2FE"/>
          <bgColor rgb="FFE0F2FE"/>
        </patternFill>
      </fill>
    </dxf>
    <dxf>
      <font>
        <b/>
        <color rgb="FF92400E"/>
        <name val="Arial"/>
      </font>
      <fill>
        <patternFill patternType="solid">
          <fgColor rgb="FFFEF3C7"/>
          <bgColor rgb="FFFEF3C7"/>
        </patternFill>
      </fill>
    </dxf>
    <dxf>
      <font>
        <b/>
        <color rgb="FF991B1B"/>
        <name val="Arial"/>
      </font>
      <fill>
        <patternFill patternType="solid">
          <fgColor rgb="FFFEE2E2"/>
          <bgColor rgb="FFFEE2E2"/>
        </patternFill>
      </fill>
    </dxf>
    <dxf>
      <font>
        <b/>
        <color rgb="FFFFFFFF"/>
        <name val="Arial"/>
      </font>
      <fill>
        <patternFill patternType="solid">
          <fgColor rgb="FFEF4444"/>
          <bgColor rgb="FFEF4444"/>
        </patternFill>
      </fill>
    </dxf>
    <dxf>
      <font>
        <b/>
        <color rgb="FF374151"/>
        <name val="Arial"/>
      </font>
      <fill>
        <patternFill patternType="solid">
          <fgColor rgb="FFE5E7EB"/>
          <bgColor rgb="FFE5E7EB"/>
        </patternFill>
      </fill>
    </dxf>
    <dxf>
      <font>
        <b/>
        <color rgb="FFFFFFFF"/>
        <name val="Arial"/>
      </font>
      <fill>
        <patternFill patternType="solid">
          <fgColor rgb="FFEF4444"/>
          <bgColor rgb="FFEF4444"/>
        </patternFill>
      </fill>
    </dxf>
    <dxf>
      <font>
        <b/>
        <color rgb="FF1E40AF"/>
        <name val="Arial"/>
      </font>
      <fill>
        <patternFill patternType="solid">
          <fgColor rgb="FFDBEAFE"/>
          <bgColor rgb="FFDBEAFE"/>
        </patternFill>
      </fill>
    </dxf>
    <dxf>
      <font>
        <b/>
        <color rgb="FF065F46"/>
        <name val="Arial"/>
      </font>
      <fill>
        <patternFill patternType="solid">
          <fgColor rgb="FFC6F6D5"/>
          <bgColor rgb="FFC6F6D5"/>
        </patternFill>
      </fill>
    </dxf>
    <dxf>
      <font>
        <b/>
        <color rgb="FF047857"/>
        <name val="Arial"/>
      </font>
    </dxf>
    <dxf>
      <font>
        <b/>
        <color rgb="FF0F1B2D"/>
        <name val="Arial"/>
      </font>
    </dxf>
    <dxf>
      <font>
        <b/>
        <color rgb="FF047857"/>
        <name val="Arial"/>
      </font>
    </dxf>
    <dxf>
      <font>
        <b/>
        <color rgb="FF0F1B2D"/>
        <name val="Arial"/>
      </font>
    </dxf>
    <dxf>
      <font>
        <b/>
        <color rgb="FF047857"/>
        <name val="Arial"/>
      </font>
    </dxf>
    <dxf>
      <font>
        <b/>
        <color rgb="FF0F1B2D"/>
        <name val="Arial"/>
      </font>
    </dxf>
    <dxf>
      <font>
        <b/>
        <color rgb="FF047857"/>
        <name val="Arial"/>
      </font>
    </dxf>
    <dxf>
      <font>
        <b/>
        <color rgb="FF0F1B2D"/>
        <name val="Arial"/>
      </font>
    </dxf>
    <dxf>
      <font>
        <b/>
        <color rgb="FF047857"/>
        <name val="Arial"/>
      </font>
    </dxf>
    <dxf>
      <font>
        <b/>
        <color rgb="FF374151"/>
        <name val="Arial"/>
      </font>
      <fill>
        <patternFill patternType="solid">
          <fgColor rgb="FFE5E7EB"/>
          <bgColor rgb="FFE5E7EB"/>
        </patternFill>
      </fill>
    </dxf>
    <dxf>
      <font>
        <b/>
        <color rgb="FF991B1B"/>
        <name val="Arial"/>
      </font>
      <fill>
        <patternFill patternType="solid">
          <fgColor rgb="FFFEE2E2"/>
          <bgColor rgb="FFFEE2E2"/>
        </patternFill>
      </fill>
    </dxf>
    <dxf>
      <font>
        <b/>
        <color rgb="FF991B1B"/>
        <name val="Arial"/>
      </font>
      <fill>
        <patternFill patternType="solid">
          <fgColor rgb="FFFEE2E2"/>
          <bgColor rgb="FFFEE2E2"/>
        </patternFill>
      </fill>
    </dxf>
    <dxf>
      <font>
        <b/>
        <color rgb="FF065F46"/>
        <name val="Arial"/>
      </font>
      <fill>
        <patternFill patternType="solid">
          <fgColor rgb="FFC6F6D5"/>
          <bgColor rgb="FFC6F6D5"/>
        </patternFill>
      </fill>
    </dxf>
    <dxf>
      <font>
        <b/>
        <color rgb="FFB91C1C"/>
        <name val="Arial"/>
      </font>
    </dxf>
    <dxf>
      <font>
        <b/>
        <color rgb="FF1E40AF"/>
        <name val="Arial"/>
      </font>
      <fill>
        <patternFill patternType="solid">
          <fgColor rgb="FFDBEAFE"/>
          <bgColor rgb="FFDBEAFE"/>
        </patternFill>
      </fill>
    </dxf>
    <dxf>
      <font>
        <b/>
        <color rgb="FF92400E"/>
        <name val="Arial"/>
      </font>
      <fill>
        <patternFill patternType="solid">
          <fgColor rgb="FFFEF3C7"/>
          <bgColor rgb="FFFEF3C7"/>
        </patternFill>
      </fill>
    </dxf>
    <dxf>
      <font>
        <b/>
        <color rgb="FF92400E"/>
        <name val="Arial"/>
      </font>
      <fill>
        <patternFill patternType="solid">
          <fgColor rgb="FFFEF3C7"/>
          <bgColor rgb="FFFEF3C7"/>
        </patternFill>
      </fill>
    </dxf>
    <dxf>
      <font>
        <b/>
        <color rgb="FF065F46"/>
        <name val="Arial"/>
      </font>
      <fill>
        <patternFill patternType="solid">
          <fgColor rgb="FFC6F6D5"/>
          <bgColor rgb="FFC6F6D5"/>
        </patternFill>
      </fill>
    </dxf>
    <dxf>
      <font>
        <b/>
        <color rgb="FF92400E"/>
        <name val="Arial"/>
      </font>
      <fill>
        <patternFill patternType="solid">
          <fgColor rgb="FFFDE68A"/>
          <bgColor rgb="FFFDE68A"/>
        </patternFill>
      </fill>
    </dxf>
    <dxf>
      <font>
        <b/>
        <color rgb="FFFFFFFF"/>
        <name val="Arial"/>
      </font>
      <fill>
        <patternFill patternType="solid">
          <fgColor rgb="FFEF4444"/>
          <bgColor rgb="FFEF4444"/>
        </patternFill>
      </fill>
    </dxf>
    <dxf>
      <font>
        <b/>
        <color rgb="FFFFFFFF"/>
        <name val="Arial"/>
      </font>
      <fill>
        <patternFill patternType="solid">
          <fgColor rgb="FFEF4444"/>
          <bgColor rgb="FFEF4444"/>
        </patternFill>
      </fill>
    </dxf>
    <dxf>
      <font>
        <b/>
        <sz val="14"/>
        <color rgb="FF991B1B"/>
        <name val="Arial"/>
      </font>
      <fill>
        <patternFill patternType="solid">
          <fgColor rgb="FFFEE2E2"/>
          <bgColor rgb="FFFEE2E2"/>
        </patternFill>
      </fill>
    </dxf>
    <dxf>
      <font>
        <b/>
        <sz val="14"/>
        <color rgb="FF991B1B"/>
        <name val="Arial"/>
      </font>
      <fill>
        <patternFill patternType="solid">
          <fgColor rgb="FFFEE2E2"/>
          <bgColor rgb="FFFEE2E2"/>
        </patternFill>
      </fill>
    </dxf>
    <dxf>
      <font>
        <b/>
        <sz val="14"/>
        <color rgb="FF1E40AF"/>
        <name val="Arial"/>
      </font>
      <fill>
        <patternFill patternType="solid">
          <fgColor rgb="FFDBEAFE"/>
          <bgColor rgb="FFDBEAFE"/>
        </patternFill>
      </fill>
    </dxf>
    <dxf>
      <font>
        <b/>
        <sz val="14"/>
        <color rgb="FF065F46"/>
        <name val="Arial"/>
      </font>
      <fill>
        <patternFill patternType="solid">
          <fgColor rgb="FFC6F6D5"/>
          <bgColor rgb="FFC6F6D5"/>
        </patternFill>
      </fill>
    </dxf>
    <dxf>
      <font>
        <b/>
        <color rgb="FF92400E"/>
        <name val="Arial"/>
      </font>
      <fill>
        <patternFill patternType="solid">
          <fgColor rgb="FFFEF3C7"/>
          <bgColor rgb="FFFEF3C7"/>
        </patternFill>
      </fill>
    </dxf>
    <dxf>
      <font>
        <b/>
        <color rgb="FF991B1B"/>
        <name val="Arial"/>
      </font>
      <fill>
        <patternFill patternType="solid">
          <fgColor rgb="FFFEE2E2"/>
          <bgColor rgb="FFFEE2E2"/>
        </patternFill>
      </fill>
    </dxf>
    <dxf>
      <font>
        <b/>
        <color rgb="FF065F46"/>
        <name val="Arial"/>
      </font>
      <fill>
        <patternFill patternType="solid">
          <fgColor rgb="FFC6F6D5"/>
          <bgColor rgb="FFC6F6D5"/>
        </patternFill>
      </fill>
    </dxf>
    <dxf>
      <font>
        <b/>
        <color rgb="FF374151"/>
        <name val="Arial"/>
      </font>
      <fill>
        <patternFill patternType="solid">
          <fgColor rgb="FFE5E7EB"/>
          <bgColor rgb="FFE5E7EB"/>
        </patternFill>
      </fill>
    </dxf>
    <dxf>
      <font>
        <b/>
        <color rgb="FF991B1B"/>
        <name val="Arial"/>
      </font>
      <fill>
        <patternFill patternType="solid">
          <fgColor rgb="FFFEE2E2"/>
          <bgColor rgb="FFFEE2E2"/>
        </patternFill>
      </fill>
    </dxf>
    <dxf>
      <font>
        <b/>
        <color rgb="FF92400E"/>
        <name val="Arial"/>
      </font>
      <fill>
        <patternFill patternType="solid">
          <fgColor rgb="FFFEF3C7"/>
          <bgColor rgb="FFFEF3C7"/>
        </patternFill>
      </fill>
    </dxf>
    <dxf>
      <font>
        <b/>
        <color rgb="FF92400E"/>
        <name val="Arial"/>
      </font>
      <fill>
        <patternFill patternType="solid">
          <fgColor rgb="FFFEF3C7"/>
          <bgColor rgb="FFFEF3C7"/>
        </patternFill>
      </fill>
    </dxf>
    <dxf>
      <font>
        <b/>
        <color rgb="FF1E40AF"/>
        <name val="Arial"/>
      </font>
      <fill>
        <patternFill patternType="solid">
          <fgColor rgb="FFDBEAFE"/>
          <bgColor rgb="FFDBEAFE"/>
        </patternFill>
      </fill>
    </dxf>
    <dxf>
      <font>
        <b/>
        <color rgb="FF065F46"/>
        <name val="Arial"/>
      </font>
      <fill>
        <patternFill patternType="solid">
          <fgColor rgb="FFC6F6D5"/>
          <bgColor rgb="FFC6F6D5"/>
        </patternFill>
      </fill>
    </dxf>
    <dxf>
      <font>
        <b/>
        <color rgb="FF1E40AF"/>
        <name val="Arial"/>
      </font>
      <fill>
        <patternFill patternType="solid">
          <fgColor rgb="FFDBEAFE"/>
          <bgColor rgb="FFDBEAFE"/>
        </patternFill>
      </fill>
    </dxf>
    <dxf>
      <font>
        <b/>
        <color rgb="FF92400E"/>
        <name val="Arial"/>
      </font>
      <fill>
        <patternFill patternType="solid">
          <fgColor rgb="FFFEF3C7"/>
          <bgColor rgb="FFFEF3C7"/>
        </patternFill>
      </fill>
    </dxf>
    <dxf>
      <font>
        <b/>
        <color rgb="FF92400E"/>
        <name val="Arial"/>
      </font>
      <fill>
        <patternFill patternType="solid">
          <fgColor rgb="FFFEF3C7"/>
          <bgColor rgb="FFFEF3C7"/>
        </patternFill>
      </fill>
    </dxf>
    <dxf>
      <font>
        <b/>
        <color rgb="FF065F46"/>
        <name val="Arial"/>
      </font>
      <fill>
        <patternFill patternType="solid">
          <fgColor rgb="FFC6F6D5"/>
          <bgColor rgb="FFC6F6D5"/>
        </patternFill>
      </fill>
    </dxf>
    <dxf>
      <font>
        <b/>
        <color rgb="FF92400E"/>
        <name val="Arial"/>
      </font>
      <fill>
        <patternFill patternType="solid">
          <fgColor rgb="FFFDE68A"/>
          <bgColor rgb="FFFDE68A"/>
        </patternFill>
      </fill>
    </dxf>
    <dxf>
      <font>
        <b/>
        <color rgb="FFFFFFFF"/>
        <name val="Arial"/>
      </font>
      <fill>
        <patternFill patternType="solid">
          <fgColor rgb="FFEF4444"/>
          <bgColor rgb="FFEF4444"/>
        </patternFill>
      </fill>
    </dxf>
    <dxf>
      <font>
        <b/>
        <color rgb="FFFFFFFF"/>
        <name val="Arial"/>
      </font>
      <fill>
        <patternFill patternType="solid">
          <fgColor rgb="FFEF4444"/>
          <bgColor rgb="FFEF4444"/>
        </patternFill>
      </fill>
    </dxf>
    <dxf>
      <font>
        <b/>
        <sz val="14"/>
        <color rgb="FF991B1B"/>
        <name val="Arial"/>
      </font>
      <fill>
        <patternFill patternType="solid">
          <fgColor rgb="FFFEE2E2"/>
          <bgColor rgb="FFFEE2E2"/>
        </patternFill>
      </fill>
    </dxf>
    <dxf>
      <font>
        <b/>
        <sz val="14"/>
        <color rgb="FF991B1B"/>
        <name val="Arial"/>
      </font>
      <fill>
        <patternFill patternType="solid">
          <fgColor rgb="FFFEE2E2"/>
          <bgColor rgb="FFFEE2E2"/>
        </patternFill>
      </fill>
    </dxf>
    <dxf>
      <font>
        <b/>
        <sz val="14"/>
        <color rgb="FF1E40AF"/>
        <name val="Arial"/>
      </font>
      <fill>
        <patternFill patternType="solid">
          <fgColor rgb="FFDBEAFE"/>
          <bgColor rgb="FFDBEAFE"/>
        </patternFill>
      </fill>
    </dxf>
    <dxf>
      <font>
        <b/>
        <sz val="14"/>
        <color rgb="FF065F46"/>
        <name val="Arial"/>
      </font>
      <fill>
        <patternFill patternType="solid">
          <fgColor rgb="FFC6F6D5"/>
          <bgColor rgb="FFC6F6D5"/>
        </patternFill>
      </fill>
    </dxf>
    <dxf>
      <font>
        <b/>
        <color rgb="FF92400E"/>
        <name val="Arial"/>
      </font>
      <fill>
        <patternFill patternType="solid">
          <fgColor rgb="FFFEF3C7"/>
          <bgColor rgb="FFFEF3C7"/>
        </patternFill>
      </fill>
    </dxf>
    <dxf>
      <font>
        <b/>
        <color rgb="FF991B1B"/>
        <name val="Arial"/>
      </font>
      <fill>
        <patternFill patternType="solid">
          <fgColor rgb="FFFEE2E2"/>
          <bgColor rgb="FFFEE2E2"/>
        </patternFill>
      </fill>
    </dxf>
    <dxf>
      <font>
        <b/>
        <color rgb="FF065F46"/>
        <name val="Arial"/>
      </font>
      <fill>
        <patternFill patternType="solid">
          <fgColor rgb="FFC6F6D5"/>
          <bgColor rgb="FFC6F6D5"/>
        </patternFill>
      </fill>
    </dxf>
    <dxf>
      <font>
        <b/>
        <color rgb="FF374151"/>
        <name val="Arial"/>
      </font>
      <fill>
        <patternFill patternType="solid">
          <fgColor rgb="FFE5E7EB"/>
          <bgColor rgb="FFE5E7EB"/>
        </patternFill>
      </fill>
    </dxf>
    <dxf>
      <font>
        <b/>
        <color rgb="FF991B1B"/>
        <name val="Arial"/>
      </font>
      <fill>
        <patternFill patternType="solid">
          <fgColor rgb="FFFEE2E2"/>
          <bgColor rgb="FFFEE2E2"/>
        </patternFill>
      </fill>
    </dxf>
    <dxf>
      <font>
        <b/>
        <color rgb="FF92400E"/>
        <name val="Arial"/>
      </font>
      <fill>
        <patternFill patternType="solid">
          <fgColor rgb="FFFEF3C7"/>
          <bgColor rgb="FFFEF3C7"/>
        </patternFill>
      </fill>
    </dxf>
    <dxf>
      <font>
        <b/>
        <color rgb="FF92400E"/>
        <name val="Arial"/>
      </font>
      <fill>
        <patternFill patternType="solid">
          <fgColor rgb="FFFEF3C7"/>
          <bgColor rgb="FFFEF3C7"/>
        </patternFill>
      </fill>
    </dxf>
    <dxf>
      <font>
        <b/>
        <color rgb="FF1E40AF"/>
        <name val="Arial"/>
      </font>
      <fill>
        <patternFill patternType="solid">
          <fgColor rgb="FFDBEAFE"/>
          <bgColor rgb="FFDBEAFE"/>
        </patternFill>
      </fill>
    </dxf>
    <dxf>
      <font>
        <b/>
        <color rgb="FF065F46"/>
        <name val="Arial"/>
      </font>
      <fill>
        <patternFill patternType="solid">
          <fgColor rgb="FFC6F6D5"/>
          <bgColor rgb="FFC6F6D5"/>
        </patternFill>
      </fill>
    </dxf>
    <dxf>
      <font>
        <b/>
        <color rgb="FF1E40AF"/>
        <name val="Arial"/>
      </font>
      <fill>
        <patternFill patternType="solid">
          <fgColor rgb="FFDBEAFE"/>
          <bgColor rgb="FFDBEAFE"/>
        </patternFill>
      </fill>
    </dxf>
    <dxf>
      <font>
        <b/>
        <color rgb="FF92400E"/>
        <name val="Arial"/>
      </font>
      <fill>
        <patternFill patternType="solid">
          <fgColor rgb="FFFEF3C7"/>
          <bgColor rgb="FFFEF3C7"/>
        </patternFill>
      </fill>
    </dxf>
    <dxf>
      <font>
        <b/>
        <color rgb="FF92400E"/>
        <name val="Arial"/>
      </font>
      <fill>
        <patternFill patternType="solid">
          <fgColor rgb="FFFEF3C7"/>
          <bgColor rgb="FFFEF3C7"/>
        </patternFill>
      </fill>
    </dxf>
    <dxf>
      <font>
        <b/>
        <color rgb="FF065F46"/>
        <name val="Arial"/>
      </font>
      <fill>
        <patternFill patternType="solid">
          <fgColor rgb="FFC6F6D5"/>
          <bgColor rgb="FFC6F6D5"/>
        </patternFill>
      </fill>
    </dxf>
    <dxf>
      <font>
        <b/>
        <color rgb="FF92400E"/>
        <name val="Arial"/>
      </font>
      <fill>
        <patternFill patternType="solid">
          <fgColor rgb="FFFDE68A"/>
          <bgColor rgb="FFFDE68A"/>
        </patternFill>
      </fill>
    </dxf>
    <dxf>
      <font>
        <b/>
        <color rgb="FFFFFFFF"/>
        <name val="Arial"/>
      </font>
      <fill>
        <patternFill patternType="solid">
          <fgColor rgb="FFEF4444"/>
          <bgColor rgb="FFEF4444"/>
        </patternFill>
      </fill>
    </dxf>
    <dxf>
      <font>
        <b/>
        <color rgb="FFFFFFFF"/>
        <name val="Arial"/>
      </font>
      <fill>
        <patternFill patternType="solid">
          <fgColor rgb="FFEF4444"/>
          <bgColor rgb="FFEF4444"/>
        </patternFill>
      </fill>
    </dxf>
    <dxf>
      <font>
        <b/>
        <sz val="14"/>
        <color rgb="FF991B1B"/>
        <name val="Arial"/>
      </font>
      <fill>
        <patternFill patternType="solid">
          <fgColor rgb="FFFEE2E2"/>
          <bgColor rgb="FFFEE2E2"/>
        </patternFill>
      </fill>
    </dxf>
    <dxf>
      <font>
        <b/>
        <sz val="14"/>
        <color rgb="FF991B1B"/>
        <name val="Arial"/>
      </font>
      <fill>
        <patternFill patternType="solid">
          <fgColor rgb="FFFEE2E2"/>
          <bgColor rgb="FFFEE2E2"/>
        </patternFill>
      </fill>
    </dxf>
    <dxf>
      <font>
        <b/>
        <sz val="14"/>
        <color rgb="FF1E40AF"/>
        <name val="Arial"/>
      </font>
      <fill>
        <patternFill patternType="solid">
          <fgColor rgb="FFDBEAFE"/>
          <bgColor rgb="FFDBEAFE"/>
        </patternFill>
      </fill>
    </dxf>
    <dxf>
      <font>
        <b/>
        <sz val="14"/>
        <color rgb="FF065F46"/>
        <name val="Arial"/>
      </font>
      <fill>
        <patternFill patternType="solid">
          <fgColor rgb="FFC6F6D5"/>
          <bgColor rgb="FFC6F6D5"/>
        </patternFill>
      </fill>
    </dxf>
    <dxf>
      <font>
        <b/>
        <color rgb="FF92400E"/>
        <name val="Arial"/>
      </font>
      <fill>
        <patternFill patternType="solid">
          <fgColor rgb="FFFEF3C7"/>
          <bgColor rgb="FFFEF3C7"/>
        </patternFill>
      </fill>
    </dxf>
    <dxf>
      <font>
        <b/>
        <color rgb="FF991B1B"/>
        <name val="Arial"/>
      </font>
      <fill>
        <patternFill patternType="solid">
          <fgColor rgb="FFFEE2E2"/>
          <bgColor rgb="FFFEE2E2"/>
        </patternFill>
      </fill>
    </dxf>
    <dxf>
      <font>
        <b/>
        <color rgb="FF065F46"/>
        <name val="Arial"/>
      </font>
      <fill>
        <patternFill patternType="solid">
          <fgColor rgb="FFC6F6D5"/>
          <bgColor rgb="FFC6F6D5"/>
        </patternFill>
      </fill>
    </dxf>
    <dxf>
      <font>
        <b/>
        <color rgb="FF374151"/>
        <name val="Arial"/>
      </font>
      <fill>
        <patternFill patternType="solid">
          <fgColor rgb="FFE5E7EB"/>
          <bgColor rgb="FFE5E7EB"/>
        </patternFill>
      </fill>
    </dxf>
    <dxf>
      <font>
        <b/>
        <color rgb="FF991B1B"/>
        <name val="Arial"/>
      </font>
      <fill>
        <patternFill patternType="solid">
          <fgColor rgb="FFFEE2E2"/>
          <bgColor rgb="FFFEE2E2"/>
        </patternFill>
      </fill>
    </dxf>
    <dxf>
      <font>
        <b/>
        <color rgb="FF92400E"/>
        <name val="Arial"/>
      </font>
      <fill>
        <patternFill patternType="solid">
          <fgColor rgb="FFFEF3C7"/>
          <bgColor rgb="FFFEF3C7"/>
        </patternFill>
      </fill>
    </dxf>
    <dxf>
      <font>
        <b/>
        <color rgb="FF92400E"/>
        <name val="Arial"/>
      </font>
      <fill>
        <patternFill patternType="solid">
          <fgColor rgb="FFFEF3C7"/>
          <bgColor rgb="FFFEF3C7"/>
        </patternFill>
      </fill>
    </dxf>
    <dxf>
      <font>
        <b/>
        <color rgb="FF1E40AF"/>
        <name val="Arial"/>
      </font>
      <fill>
        <patternFill patternType="solid">
          <fgColor rgb="FFDBEAFE"/>
          <bgColor rgb="FFDBEAFE"/>
        </patternFill>
      </fill>
    </dxf>
    <dxf>
      <font>
        <b/>
        <color rgb="FF065F46"/>
        <name val="Arial"/>
      </font>
      <fill>
        <patternFill patternType="solid">
          <fgColor rgb="FFC6F6D5"/>
          <bgColor rgb="FFC6F6D5"/>
        </patternFill>
      </fill>
    </dxf>
    <dxf>
      <font>
        <b/>
        <color rgb="FF1E40AF"/>
        <name val="Arial"/>
      </font>
      <fill>
        <patternFill patternType="solid">
          <fgColor rgb="FFDBEAFE"/>
          <bgColor rgb="FFDBEAFE"/>
        </patternFill>
      </fill>
    </dxf>
    <dxf>
      <font>
        <b/>
        <color rgb="FF92400E"/>
        <name val="Arial"/>
      </font>
      <fill>
        <patternFill patternType="solid">
          <fgColor rgb="FFFEF3C7"/>
          <bgColor rgb="FFFEF3C7"/>
        </patternFill>
      </fill>
    </dxf>
    <dxf>
      <font>
        <b/>
        <color rgb="FF92400E"/>
        <name val="Arial"/>
      </font>
      <fill>
        <patternFill patternType="solid">
          <fgColor rgb="FFFEF3C7"/>
          <bgColor rgb="FFFEF3C7"/>
        </patternFill>
      </fill>
    </dxf>
    <dxf>
      <font>
        <b/>
        <color rgb="FF065F46"/>
        <name val="Arial"/>
      </font>
      <fill>
        <patternFill patternType="solid">
          <fgColor rgb="FFC6F6D5"/>
          <bgColor rgb="FFC6F6D5"/>
        </patternFill>
      </fill>
    </dxf>
    <dxf>
      <font>
        <b/>
        <color rgb="FF92400E"/>
        <name val="Arial"/>
      </font>
      <fill>
        <patternFill patternType="solid">
          <fgColor rgb="FFFDE68A"/>
          <bgColor rgb="FFFDE68A"/>
        </patternFill>
      </fill>
    </dxf>
    <dxf>
      <font>
        <b/>
        <color rgb="FFFFFFFF"/>
        <name val="Arial"/>
      </font>
      <fill>
        <patternFill patternType="solid">
          <fgColor rgb="FFEF4444"/>
          <bgColor rgb="FFEF4444"/>
        </patternFill>
      </fill>
    </dxf>
    <dxf>
      <font>
        <b/>
        <color rgb="FFFFFFFF"/>
        <name val="Arial"/>
      </font>
      <fill>
        <patternFill patternType="solid">
          <fgColor rgb="FFEF4444"/>
          <bgColor rgb="FFEF4444"/>
        </patternFill>
      </fill>
    </dxf>
    <dxf>
      <font>
        <b/>
        <sz val="14"/>
        <color rgb="FF991B1B"/>
        <name val="Arial"/>
      </font>
      <fill>
        <patternFill patternType="solid">
          <fgColor rgb="FFFEE2E2"/>
          <bgColor rgb="FFFEE2E2"/>
        </patternFill>
      </fill>
    </dxf>
    <dxf>
      <font>
        <b/>
        <sz val="14"/>
        <color rgb="FF991B1B"/>
        <name val="Arial"/>
      </font>
      <fill>
        <patternFill patternType="solid">
          <fgColor rgb="FFFEE2E2"/>
          <bgColor rgb="FFFEE2E2"/>
        </patternFill>
      </fill>
    </dxf>
    <dxf>
      <font>
        <b/>
        <sz val="14"/>
        <color rgb="FF1E40AF"/>
        <name val="Arial"/>
      </font>
      <fill>
        <patternFill patternType="solid">
          <fgColor rgb="FFDBEAFE"/>
          <bgColor rgb="FFDBEAFE"/>
        </patternFill>
      </fill>
    </dxf>
    <dxf>
      <font>
        <b/>
        <sz val="14"/>
        <color rgb="FF065F46"/>
        <name val="Arial"/>
      </font>
      <fill>
        <patternFill patternType="solid">
          <fgColor rgb="FFC6F6D5"/>
          <bgColor rgb="FFC6F6D5"/>
        </patternFill>
      </fill>
    </dxf>
    <dxf>
      <font>
        <b/>
        <color rgb="FF92400E"/>
        <name val="Arial"/>
      </font>
      <fill>
        <patternFill patternType="solid">
          <fgColor rgb="FFFEF3C7"/>
          <bgColor rgb="FFFEF3C7"/>
        </patternFill>
      </fill>
    </dxf>
    <dxf>
      <font>
        <b/>
        <color rgb="FF991B1B"/>
        <name val="Arial"/>
      </font>
      <fill>
        <patternFill patternType="solid">
          <fgColor rgb="FFFEE2E2"/>
          <bgColor rgb="FFFEE2E2"/>
        </patternFill>
      </fill>
    </dxf>
    <dxf>
      <font>
        <b/>
        <color rgb="FF065F46"/>
        <name val="Arial"/>
      </font>
      <fill>
        <patternFill patternType="solid">
          <fgColor rgb="FFC6F6D5"/>
          <bgColor rgb="FFC6F6D5"/>
        </patternFill>
      </fill>
    </dxf>
    <dxf>
      <font>
        <b/>
        <color rgb="FF374151"/>
        <name val="Arial"/>
      </font>
      <fill>
        <patternFill patternType="solid">
          <fgColor rgb="FFE5E7EB"/>
          <bgColor rgb="FFE5E7EB"/>
        </patternFill>
      </fill>
    </dxf>
    <dxf>
      <font>
        <b/>
        <color rgb="FF991B1B"/>
        <name val="Arial"/>
      </font>
      <fill>
        <patternFill patternType="solid">
          <fgColor rgb="FFFEE2E2"/>
          <bgColor rgb="FFFEE2E2"/>
        </patternFill>
      </fill>
    </dxf>
    <dxf>
      <font>
        <b/>
        <color rgb="FF92400E"/>
        <name val="Arial"/>
      </font>
      <fill>
        <patternFill patternType="solid">
          <fgColor rgb="FFFEF3C7"/>
          <bgColor rgb="FFFEF3C7"/>
        </patternFill>
      </fill>
    </dxf>
    <dxf>
      <font>
        <b/>
        <color rgb="FF92400E"/>
        <name val="Arial"/>
      </font>
      <fill>
        <patternFill patternType="solid">
          <fgColor rgb="FFFEF3C7"/>
          <bgColor rgb="FFFEF3C7"/>
        </patternFill>
      </fill>
    </dxf>
    <dxf>
      <font>
        <b/>
        <color rgb="FF1E40AF"/>
        <name val="Arial"/>
      </font>
      <fill>
        <patternFill patternType="solid">
          <fgColor rgb="FFDBEAFE"/>
          <bgColor rgb="FFDBEAFE"/>
        </patternFill>
      </fill>
    </dxf>
    <dxf>
      <font>
        <b/>
        <color rgb="FF065F46"/>
        <name val="Arial"/>
      </font>
      <fill>
        <patternFill patternType="solid">
          <fgColor rgb="FFC6F6D5"/>
          <bgColor rgb="FFC6F6D5"/>
        </patternFill>
      </fill>
    </dxf>
    <dxf>
      <font>
        <b/>
        <color rgb="FF1E40AF"/>
        <name val="Arial"/>
      </font>
      <fill>
        <patternFill patternType="solid">
          <fgColor rgb="FFDBEAFE"/>
          <bgColor rgb="FFDBEAFE"/>
        </patternFill>
      </fill>
    </dxf>
    <dxf>
      <font>
        <b/>
        <color rgb="FF92400E"/>
        <name val="Arial"/>
      </font>
      <fill>
        <patternFill patternType="solid">
          <fgColor rgb="FFFEF3C7"/>
          <bgColor rgb="FFFEF3C7"/>
        </patternFill>
      </fill>
    </dxf>
    <dxf>
      <font>
        <b/>
        <color rgb="FF92400E"/>
        <name val="Arial"/>
      </font>
      <fill>
        <patternFill patternType="solid">
          <fgColor rgb="FFFEF3C7"/>
          <bgColor rgb="FFFEF3C7"/>
        </patternFill>
      </fill>
    </dxf>
    <dxf>
      <font>
        <b/>
        <color rgb="FF065F46"/>
        <name val="Arial"/>
      </font>
      <fill>
        <patternFill patternType="solid">
          <fgColor rgb="FFC6F6D5"/>
          <bgColor rgb="FFC6F6D5"/>
        </patternFill>
      </fill>
    </dxf>
    <dxf>
      <font>
        <b/>
        <color rgb="FF92400E"/>
        <name val="Arial"/>
      </font>
      <fill>
        <patternFill patternType="solid">
          <fgColor rgb="FFFDE68A"/>
          <bgColor rgb="FFFDE68A"/>
        </patternFill>
      </fill>
    </dxf>
    <dxf>
      <font>
        <b/>
        <color rgb="FFFFFFFF"/>
        <name val="Arial"/>
      </font>
      <fill>
        <patternFill patternType="solid">
          <fgColor rgb="FFEF4444"/>
          <bgColor rgb="FFEF4444"/>
        </patternFill>
      </fill>
    </dxf>
    <dxf>
      <font>
        <b/>
        <color rgb="FFFFFFFF"/>
        <name val="Arial"/>
      </font>
      <fill>
        <patternFill patternType="solid">
          <fgColor rgb="FFEF4444"/>
          <bgColor rgb="FFEF4444"/>
        </patternFill>
      </fill>
    </dxf>
    <dxf>
      <font>
        <b/>
        <sz val="14"/>
        <color rgb="FF991B1B"/>
        <name val="Arial"/>
      </font>
      <fill>
        <patternFill patternType="solid">
          <fgColor rgb="FFFEE2E2"/>
          <bgColor rgb="FFFEE2E2"/>
        </patternFill>
      </fill>
    </dxf>
    <dxf>
      <font>
        <b/>
        <sz val="14"/>
        <color rgb="FF991B1B"/>
        <name val="Arial"/>
      </font>
      <fill>
        <patternFill patternType="solid">
          <fgColor rgb="FFFEE2E2"/>
          <bgColor rgb="FFFEE2E2"/>
        </patternFill>
      </fill>
    </dxf>
    <dxf>
      <font>
        <b/>
        <sz val="14"/>
        <color rgb="FF1E40AF"/>
        <name val="Arial"/>
      </font>
      <fill>
        <patternFill patternType="solid">
          <fgColor rgb="FFDBEAFE"/>
          <bgColor rgb="FFDBEAFE"/>
        </patternFill>
      </fill>
    </dxf>
    <dxf>
      <font>
        <b/>
        <sz val="14"/>
        <color rgb="FF065F46"/>
        <name val="Arial"/>
      </font>
      <fill>
        <patternFill patternType="solid">
          <fgColor rgb="FFC6F6D5"/>
          <bgColor rgb="FFC6F6D5"/>
        </patternFill>
      </fill>
    </dxf>
    <dxf>
      <font>
        <b/>
        <color rgb="FF92400E"/>
        <name val="Arial"/>
      </font>
      <fill>
        <patternFill patternType="solid">
          <fgColor rgb="FFFEF3C7"/>
          <bgColor rgb="FFFEF3C7"/>
        </patternFill>
      </fill>
    </dxf>
    <dxf>
      <font>
        <b/>
        <color rgb="FF991B1B"/>
        <name val="Arial"/>
      </font>
      <fill>
        <patternFill patternType="solid">
          <fgColor rgb="FFFEE2E2"/>
          <bgColor rgb="FFFEE2E2"/>
        </patternFill>
      </fill>
    </dxf>
    <dxf>
      <font>
        <b/>
        <color rgb="FF065F46"/>
        <name val="Arial"/>
      </font>
      <fill>
        <patternFill patternType="solid">
          <fgColor rgb="FFC6F6D5"/>
          <bgColor rgb="FFC6F6D5"/>
        </patternFill>
      </fill>
    </dxf>
    <dxf>
      <font>
        <b/>
        <color rgb="FF374151"/>
        <name val="Arial"/>
      </font>
      <fill>
        <patternFill patternType="solid">
          <fgColor rgb="FFE5E7EB"/>
          <bgColor rgb="FFE5E7EB"/>
        </patternFill>
      </fill>
    </dxf>
    <dxf>
      <font>
        <b/>
        <color rgb="FF991B1B"/>
        <name val="Arial"/>
      </font>
      <fill>
        <patternFill patternType="solid">
          <fgColor rgb="FFFEE2E2"/>
          <bgColor rgb="FFFEE2E2"/>
        </patternFill>
      </fill>
    </dxf>
    <dxf>
      <font>
        <b/>
        <color rgb="FF92400E"/>
        <name val="Arial"/>
      </font>
      <fill>
        <patternFill patternType="solid">
          <fgColor rgb="FFFEF3C7"/>
          <bgColor rgb="FFFEF3C7"/>
        </patternFill>
      </fill>
    </dxf>
    <dxf>
      <font>
        <b/>
        <color rgb="FF92400E"/>
        <name val="Arial"/>
      </font>
      <fill>
        <patternFill patternType="solid">
          <fgColor rgb="FFFEF3C7"/>
          <bgColor rgb="FFFEF3C7"/>
        </patternFill>
      </fill>
    </dxf>
    <dxf>
      <font>
        <b/>
        <color rgb="FF1E40AF"/>
        <name val="Arial"/>
      </font>
      <fill>
        <patternFill patternType="solid">
          <fgColor rgb="FFDBEAFE"/>
          <bgColor rgb="FFDBEAFE"/>
        </patternFill>
      </fill>
    </dxf>
    <dxf>
      <font>
        <b/>
        <color rgb="FF065F46"/>
        <name val="Arial"/>
      </font>
      <fill>
        <patternFill patternType="solid">
          <fgColor rgb="FFC6F6D5"/>
          <bgColor rgb="FFC6F6D5"/>
        </patternFill>
      </fill>
    </dxf>
    <dxf>
      <font>
        <b/>
        <color rgb="FF1E40AF"/>
        <name val="Arial"/>
      </font>
      <fill>
        <patternFill patternType="solid">
          <fgColor rgb="FFDBEAFE"/>
          <bgColor rgb="FFDBEAFE"/>
        </patternFill>
      </fill>
    </dxf>
    <dxf>
      <font>
        <b/>
        <color rgb="FF92400E"/>
        <name val="Arial"/>
      </font>
      <fill>
        <patternFill patternType="solid">
          <fgColor rgb="FFFEF3C7"/>
          <bgColor rgb="FFFEF3C7"/>
        </patternFill>
      </fill>
    </dxf>
    <dxf>
      <font>
        <b/>
        <color rgb="FF92400E"/>
        <name val="Arial"/>
      </font>
      <fill>
        <patternFill patternType="solid">
          <fgColor rgb="FFFEF3C7"/>
          <bgColor rgb="FFFEF3C7"/>
        </patternFill>
      </fill>
    </dxf>
    <dxf>
      <font>
        <b/>
        <color rgb="FF065F46"/>
        <name val="Arial"/>
      </font>
      <fill>
        <patternFill patternType="solid">
          <fgColor rgb="FFC6F6D5"/>
          <bgColor rgb="FFC6F6D5"/>
        </patternFill>
      </fill>
    </dxf>
    <dxf>
      <font>
        <b/>
        <color rgb="FF92400E"/>
        <name val="Arial"/>
      </font>
      <fill>
        <patternFill patternType="solid">
          <fgColor rgb="FFFDE68A"/>
          <bgColor rgb="FFFDE68A"/>
        </patternFill>
      </fill>
    </dxf>
    <dxf>
      <font>
        <b/>
        <color rgb="FFFFFFFF"/>
        <name val="Arial"/>
      </font>
      <fill>
        <patternFill patternType="solid">
          <fgColor rgb="FFEF4444"/>
          <bgColor rgb="FFEF4444"/>
        </patternFill>
      </fill>
    </dxf>
    <dxf>
      <font>
        <b/>
        <color rgb="FFFFFFFF"/>
        <name val="Arial"/>
      </font>
      <fill>
        <patternFill patternType="solid">
          <fgColor rgb="FFEF4444"/>
          <bgColor rgb="FFEF4444"/>
        </patternFill>
      </fill>
    </dxf>
    <dxf>
      <font>
        <b/>
        <sz val="14"/>
        <color rgb="FF991B1B"/>
        <name val="Arial"/>
      </font>
      <fill>
        <patternFill patternType="solid">
          <fgColor rgb="FFFEE2E2"/>
          <bgColor rgb="FFFEE2E2"/>
        </patternFill>
      </fill>
    </dxf>
    <dxf>
      <font>
        <b/>
        <sz val="14"/>
        <color rgb="FF991B1B"/>
        <name val="Arial"/>
      </font>
      <fill>
        <patternFill patternType="solid">
          <fgColor rgb="FFFEE2E2"/>
          <bgColor rgb="FFFEE2E2"/>
        </patternFill>
      </fill>
    </dxf>
    <dxf>
      <font>
        <b/>
        <sz val="14"/>
        <color rgb="FF1E40AF"/>
        <name val="Arial"/>
      </font>
      <fill>
        <patternFill patternType="solid">
          <fgColor rgb="FFDBEAFE"/>
          <bgColor rgb="FFDBEAFE"/>
        </patternFill>
      </fill>
    </dxf>
    <dxf>
      <font>
        <b/>
        <sz val="14"/>
        <color rgb="FF065F46"/>
        <name val="Arial"/>
      </font>
      <fill>
        <patternFill patternType="solid">
          <fgColor rgb="FFC6F6D5"/>
          <bgColor rgb="FFC6F6D5"/>
        </patternFill>
      </fill>
    </dxf>
    <dxf>
      <font>
        <b/>
        <color rgb="FF92400E"/>
        <name val="Arial"/>
      </font>
      <fill>
        <patternFill patternType="solid">
          <fgColor rgb="FFFEF3C7"/>
          <bgColor rgb="FFFEF3C7"/>
        </patternFill>
      </fill>
    </dxf>
    <dxf>
      <font>
        <b/>
        <color rgb="FF991B1B"/>
        <name val="Arial"/>
      </font>
      <fill>
        <patternFill patternType="solid">
          <fgColor rgb="FFFEE2E2"/>
          <bgColor rgb="FFFEE2E2"/>
        </patternFill>
      </fill>
    </dxf>
    <dxf>
      <font>
        <b/>
        <color rgb="FF065F46"/>
        <name val="Arial"/>
      </font>
      <fill>
        <patternFill patternType="solid">
          <fgColor rgb="FFC6F6D5"/>
          <bgColor rgb="FFC6F6D5"/>
        </patternFill>
      </fill>
    </dxf>
    <dxf>
      <font>
        <b/>
        <color rgb="FF374151"/>
        <name val="Arial"/>
      </font>
      <fill>
        <patternFill patternType="solid">
          <fgColor rgb="FFE5E7EB"/>
          <bgColor rgb="FFE5E7EB"/>
        </patternFill>
      </fill>
    </dxf>
    <dxf>
      <font>
        <b/>
        <color rgb="FF991B1B"/>
        <name val="Arial"/>
      </font>
      <fill>
        <patternFill patternType="solid">
          <fgColor rgb="FFFEE2E2"/>
          <bgColor rgb="FFFEE2E2"/>
        </patternFill>
      </fill>
    </dxf>
    <dxf>
      <font>
        <b/>
        <color rgb="FF92400E"/>
        <name val="Arial"/>
      </font>
      <fill>
        <patternFill patternType="solid">
          <fgColor rgb="FFFEF3C7"/>
          <bgColor rgb="FFFEF3C7"/>
        </patternFill>
      </fill>
    </dxf>
    <dxf>
      <font>
        <b/>
        <color rgb="FF92400E"/>
        <name val="Arial"/>
      </font>
      <fill>
        <patternFill patternType="solid">
          <fgColor rgb="FFFEF3C7"/>
          <bgColor rgb="FFFEF3C7"/>
        </patternFill>
      </fill>
    </dxf>
    <dxf>
      <font>
        <b/>
        <color rgb="FF1E40AF"/>
        <name val="Arial"/>
      </font>
      <fill>
        <patternFill patternType="solid">
          <fgColor rgb="FFDBEAFE"/>
          <bgColor rgb="FFDBEAFE"/>
        </patternFill>
      </fill>
    </dxf>
    <dxf>
      <font>
        <b/>
        <color rgb="FF065F46"/>
        <name val="Arial"/>
      </font>
      <fill>
        <patternFill patternType="solid">
          <fgColor rgb="FFC6F6D5"/>
          <bgColor rgb="FFC6F6D5"/>
        </patternFill>
      </fill>
    </dxf>
    <dxf>
      <font>
        <b/>
        <color rgb="FF1E40AF"/>
        <name val="Arial"/>
      </font>
      <fill>
        <patternFill patternType="solid">
          <fgColor rgb="FFDBEAFE"/>
          <bgColor rgb="FFDBEAFE"/>
        </patternFill>
      </fill>
    </dxf>
    <dxf>
      <font>
        <b/>
        <color rgb="FF065F46"/>
        <name val="Arial"/>
      </font>
      <fill>
        <patternFill patternType="solid">
          <fgColor rgb="FFC6F6D5"/>
          <bgColor rgb="FFC6F6D5"/>
        </patternFill>
      </fill>
    </dxf>
    <dxf>
      <font>
        <b/>
        <color rgb="FF92400E"/>
        <name val="Arial"/>
      </font>
      <fill>
        <patternFill patternType="solid">
          <fgColor rgb="FFFEF3C7"/>
          <bgColor rgb="FFFEF3C7"/>
        </patternFill>
      </fill>
    </dxf>
    <dxf>
      <font>
        <b/>
        <color rgb="FF92400E"/>
        <name val="Arial"/>
      </font>
      <fill>
        <patternFill patternType="solid">
          <fgColor rgb="FFFEF3C7"/>
          <bgColor rgb="FFFEF3C7"/>
        </patternFill>
      </fill>
    </dxf>
    <dxf>
      <font>
        <b/>
        <color rgb="FF92400E"/>
        <name val="Arial"/>
      </font>
      <fill>
        <patternFill patternType="solid">
          <fgColor rgb="FFFDE68A"/>
          <bgColor rgb="FFFDE68A"/>
        </patternFill>
      </fill>
    </dxf>
    <dxf>
      <font>
        <b/>
        <color rgb="FFFFFFFF"/>
        <name val="Arial"/>
      </font>
      <fill>
        <patternFill patternType="solid">
          <fgColor rgb="FFEF4444"/>
          <bgColor rgb="FFEF4444"/>
        </patternFill>
      </fill>
    </dxf>
    <dxf>
      <font>
        <b/>
        <color rgb="FFFFFFFF"/>
        <name val="Arial"/>
      </font>
      <fill>
        <patternFill patternType="solid">
          <fgColor rgb="FFEF4444"/>
          <bgColor rgb="FFEF4444"/>
        </patternFill>
      </fill>
    </dxf>
    <dxf>
      <font>
        <b/>
        <color rgb="FFB45309"/>
        <name val="Arial"/>
      </font>
    </dxf>
    <dxf>
      <font>
        <b/>
        <color rgb="FFFFFFFF"/>
        <name val="Arial"/>
      </font>
      <fill>
        <patternFill patternType="solid">
          <fgColor rgb="FFEF4444"/>
          <bgColor rgb="FFEF4444"/>
        </patternFill>
      </fill>
    </dxf>
    <dxf>
      <font>
        <b/>
        <color rgb="FF92400E"/>
        <name val="Arial"/>
      </font>
      <fill>
        <patternFill patternType="solid">
          <fgColor rgb="FFFDE68A"/>
          <bgColor rgb="FFFDE68A"/>
        </patternFill>
      </fill>
    </dxf>
    <dxf>
      <fill>
        <patternFill patternType="solid">
          <fgColor rgb="FFFDE68A"/>
          <bgColor rgb="FFFDE68A"/>
        </patternFill>
      </fill>
    </dxf>
    <dxf>
      <font>
        <b/>
        <color rgb="FFFFFFFF"/>
        <name val="Arial"/>
      </font>
      <fill>
        <patternFill patternType="solid">
          <fgColor rgb="FFEF4444"/>
          <bgColor rgb="FFEF4444"/>
        </patternFill>
      </fill>
    </dxf>
    <dxf>
      <font>
        <b/>
        <color rgb="FF374151"/>
        <name val="Arial"/>
      </font>
      <fill>
        <patternFill patternType="solid">
          <fgColor rgb="FFE5E7EB"/>
          <bgColor rgb="FFE5E7EB"/>
        </patternFill>
      </fill>
    </dxf>
    <dxf>
      <font>
        <b/>
        <color rgb="FF991B1B"/>
        <name val="Arial"/>
      </font>
      <fill>
        <patternFill patternType="solid">
          <fgColor rgb="FFFEE2E2"/>
          <bgColor rgb="FFFEE2E2"/>
        </patternFill>
      </fill>
    </dxf>
    <dxf>
      <font>
        <b/>
        <color rgb="FF92400E"/>
        <name val="Arial"/>
      </font>
      <fill>
        <patternFill patternType="solid">
          <fgColor rgb="FFFEF3C7"/>
          <bgColor rgb="FFFEF3C7"/>
        </patternFill>
      </fill>
    </dxf>
    <dxf>
      <font>
        <b/>
        <color rgb="FF92400E"/>
        <name val="Arial"/>
      </font>
      <fill>
        <patternFill patternType="solid">
          <fgColor rgb="FFFEF3C7"/>
          <bgColor rgb="FFFEF3C7"/>
        </patternFill>
      </fill>
    </dxf>
    <dxf>
      <font>
        <b/>
        <color rgb="FF1E40AF"/>
        <name val="Arial"/>
      </font>
      <fill>
        <patternFill patternType="solid">
          <fgColor rgb="FFDBEAFE"/>
          <bgColor rgb="FFDBEAFE"/>
        </patternFill>
      </fill>
    </dxf>
    <dxf>
      <font>
        <b/>
        <color rgb="FF065F46"/>
        <name val="Arial"/>
      </font>
      <fill>
        <patternFill patternType="solid">
          <fgColor rgb="FFC6F6D5"/>
          <bgColor rgb="FFC6F6D5"/>
        </patternFill>
      </fill>
    </dxf>
    <dxf>
      <font>
        <b/>
        <color rgb="FF075985"/>
        <name val="Arial"/>
      </font>
      <fill>
        <patternFill patternType="solid">
          <fgColor rgb="FFE0F2FE"/>
          <bgColor rgb="FFE0F2FE"/>
        </patternFill>
      </fill>
    </dxf>
    <dxf>
      <font>
        <b/>
        <color rgb="FF92400E"/>
        <name val="Arial"/>
      </font>
      <fill>
        <patternFill patternType="solid">
          <fgColor rgb="FFFEF3C7"/>
          <bgColor rgb="FFFEF3C7"/>
        </patternFill>
      </fill>
    </dxf>
    <dxf>
      <font>
        <b/>
        <color rgb="FF991B1B"/>
        <name val="Arial"/>
      </font>
      <fill>
        <patternFill patternType="solid">
          <fgColor rgb="FFFEE2E2"/>
          <bgColor rgb="FFFEE2E2"/>
        </patternFill>
      </fill>
    </dxf>
    <dxf>
      <fill>
        <patternFill patternType="solid">
          <fgColor rgb="FFFFFBEB"/>
          <bgColor rgb="FFFFFBEB"/>
        </patternFill>
      </fill>
    </dxf>
    <dxf>
      <fill>
        <patternFill patternType="solid">
          <fgColor rgb="FFFFFBEB"/>
          <bgColor rgb="FFFFFBEB"/>
        </patternFill>
      </fill>
    </dxf>
    <dxf>
      <fill>
        <patternFill patternType="solid">
          <fgColor rgb="FFEFF6FF"/>
          <bgColor rgb="FFEFF6FF"/>
        </patternFill>
      </fill>
    </dxf>
    <dxf>
      <fill>
        <patternFill patternType="solid">
          <fgColor rgb="FFF0FDF4"/>
          <bgColor rgb="FFF0FDF4"/>
        </patternFill>
      </fill>
    </dxf>
    <dxf>
      <fill>
        <patternFill patternType="solid">
          <fgColor rgb="FFFEE2E2"/>
          <bgColor rgb="FFFEE2E2"/>
        </patternFill>
      </fill>
    </dxf>
    <dxf>
      <fill>
        <patternFill patternType="solid">
          <fgColor rgb="FFFEE2E2"/>
          <bgColor rgb="FFFEE2E2"/>
        </patternFill>
      </fill>
    </dxf>
    <dxf>
      <font>
        <b/>
        <color rgb="FF374151"/>
        <name val="Arial"/>
      </font>
      <fill>
        <patternFill patternType="solid">
          <fgColor rgb="FFE5E7EB"/>
          <bgColor rgb="FFE5E7EB"/>
        </patternFill>
      </fill>
    </dxf>
    <dxf>
      <font>
        <b/>
        <color rgb="FF991B1B"/>
        <name val="Arial"/>
      </font>
      <fill>
        <patternFill patternType="solid">
          <fgColor rgb="FFFEE2E2"/>
          <bgColor rgb="FFFEE2E2"/>
        </patternFill>
      </fill>
    </dxf>
    <dxf>
      <font>
        <b/>
        <color rgb="FF991B1B"/>
        <name val="Arial"/>
      </font>
      <fill>
        <patternFill patternType="solid">
          <fgColor rgb="FFFEE2E2"/>
          <bgColor rgb="FFFEE2E2"/>
        </patternFill>
      </fill>
    </dxf>
    <dxf>
      <font>
        <b/>
        <color rgb="FF1E40AF"/>
        <name val="Arial"/>
      </font>
      <fill>
        <patternFill patternType="solid">
          <fgColor rgb="FFDBEAFE"/>
          <bgColor rgb="FFDBEAFE"/>
        </patternFill>
      </fill>
    </dxf>
    <dxf>
      <font>
        <b/>
        <color rgb="FF065F46"/>
        <name val="Arial"/>
      </font>
      <fill>
        <patternFill patternType="solid">
          <fgColor rgb="FFC6F6D5"/>
          <bgColor rgb="FFC6F6D5"/>
        </patternFill>
      </fill>
    </dxf>
    <dxf>
      <font>
        <b/>
        <color rgb="FFB45309"/>
        <name val="Arial"/>
      </font>
    </dxf>
    <dxf>
      <font>
        <b/>
        <color rgb="FF374151"/>
        <name val="Arial"/>
      </font>
      <fill>
        <patternFill patternType="solid">
          <fgColor rgb="FFE5E7EB"/>
          <bgColor rgb="FFE5E7EB"/>
        </patternFill>
      </fill>
    </dxf>
    <dxf>
      <font>
        <b/>
        <color rgb="FF991B1B"/>
        <name val="Arial"/>
      </font>
      <fill>
        <patternFill patternType="solid">
          <fgColor rgb="FFFEE2E2"/>
          <bgColor rgb="FFFEE2E2"/>
        </patternFill>
      </fill>
    </dxf>
    <dxf>
      <font>
        <b/>
        <color rgb="FF92400E"/>
        <name val="Arial"/>
      </font>
      <fill>
        <patternFill patternType="solid">
          <fgColor rgb="FFFEF3C7"/>
          <bgColor rgb="FFFEF3C7"/>
        </patternFill>
      </fill>
    </dxf>
    <dxf>
      <font>
        <b/>
        <color rgb="FF92400E"/>
        <name val="Arial"/>
      </font>
      <fill>
        <patternFill patternType="solid">
          <fgColor rgb="FFFEF3C7"/>
          <bgColor rgb="FFFEF3C7"/>
        </patternFill>
      </fill>
    </dxf>
    <dxf>
      <font>
        <b/>
        <color rgb="FF1E40AF"/>
        <name val="Arial"/>
      </font>
      <fill>
        <patternFill patternType="solid">
          <fgColor rgb="FFDBEAFE"/>
          <bgColor rgb="FFDBEAFE"/>
        </patternFill>
      </fill>
    </dxf>
    <dxf>
      <font>
        <b/>
        <color rgb="FF065F46"/>
        <name val="Arial"/>
      </font>
      <fill>
        <patternFill patternType="solid">
          <fgColor rgb="FFC6F6D5"/>
          <bgColor rgb="FFC6F6D5"/>
        </patternFill>
      </fill>
    </dxf>
    <dxf>
      <font>
        <b/>
        <sz val="20"/>
        <color rgb="FF047857"/>
        <name val="Arial"/>
      </font>
      <fill>
        <patternFill patternType="solid">
          <fgColor rgb="FFD1FAE5"/>
          <bgColor rgb="FFD1FAE5"/>
        </patternFill>
      </fill>
    </dxf>
    <dxf>
      <font>
        <b/>
        <sz val="20"/>
        <color rgb="FFB91C1C"/>
        <name val="Arial"/>
      </font>
      <fill>
        <patternFill patternType="solid">
          <fgColor rgb="FFFEE2E2"/>
          <bgColor rgb="FFFEE2E2"/>
        </patternFill>
      </fill>
    </dxf>
    <dxf>
      <font>
        <b/>
        <color rgb="FF374151"/>
        <name val="Arial"/>
      </font>
      <fill>
        <patternFill patternType="solid">
          <fgColor rgb="FFE5E7EB"/>
          <bgColor rgb="FFE5E7EB"/>
        </patternFill>
      </fill>
    </dxf>
    <dxf>
      <font>
        <b/>
        <color rgb="FF991B1B"/>
        <name val="Arial"/>
      </font>
      <fill>
        <patternFill patternType="solid">
          <fgColor rgb="FFFEE2E2"/>
          <bgColor rgb="FFFEE2E2"/>
        </patternFill>
      </fill>
    </dxf>
    <dxf>
      <font>
        <b/>
        <color rgb="FF92400E"/>
        <name val="Arial"/>
      </font>
      <fill>
        <patternFill patternType="solid">
          <fgColor rgb="FFFEF3C7"/>
          <bgColor rgb="FFFEF3C7"/>
        </patternFill>
      </fill>
    </dxf>
    <dxf>
      <font>
        <b/>
        <color rgb="FF92400E"/>
        <name val="Arial"/>
      </font>
      <fill>
        <patternFill patternType="solid">
          <fgColor rgb="FFFEF3C7"/>
          <bgColor rgb="FFFEF3C7"/>
        </patternFill>
      </fill>
    </dxf>
    <dxf>
      <font>
        <b/>
        <color rgb="FF1E40AF"/>
        <name val="Arial"/>
      </font>
      <fill>
        <patternFill patternType="solid">
          <fgColor rgb="FFDBEAFE"/>
          <bgColor rgb="FFDBEAFE"/>
        </patternFill>
      </fill>
    </dxf>
    <dxf>
      <font>
        <b/>
        <color rgb="FF065F46"/>
        <name val="Arial"/>
      </font>
      <fill>
        <patternFill patternType="solid">
          <fgColor rgb="FFC6F6D5"/>
          <bgColor rgb="FFC6F6D5"/>
        </patternFill>
      </fill>
    </dxf>
    <dxf>
      <font>
        <b/>
        <color rgb="FFB91C1C"/>
        <name val="Arial"/>
      </font>
      <fill>
        <patternFill patternType="solid">
          <fgColor rgb="FFFEE2E2"/>
          <bgColor rgb="FFFEE2E2"/>
        </patternFill>
      </fill>
    </dxf>
    <dxf>
      <font>
        <b/>
        <color rgb="FF047857"/>
        <name val="Arial"/>
      </font>
    </dxf>
    <dxf>
      <font>
        <b/>
        <color rgb="FFB91C1C"/>
        <name val="Arial"/>
      </font>
    </dxf>
    <dxf>
      <font>
        <b/>
        <color rgb="FF047857"/>
        <name val="Arial"/>
      </font>
      <fill>
        <patternFill patternType="solid">
          <fgColor rgb="FFD1FAE5"/>
          <bgColor rgb="FFD1FAE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Phase completion: planned vs actual</a:t>
            </a:r>
          </a:p>
        </c:rich>
      </c:tx>
      <c:overlay val="1"/>
    </c:title>
    <c:autoTitleDeleted val="0"/>
    <c:plotArea>
      <c:layout/>
      <c:barChart>
        <c:barDir val="col"/>
        <c:grouping val="clustered"/>
        <c:varyColors val="1"/>
        <c:ser>
          <c:idx val="0"/>
          <c:order val="0"/>
          <c:tx>
            <c:strRef>
              <c:f>'Executive Dashboard'!$M$20</c:f>
              <c:strCache>
                <c:ptCount val="1"/>
                <c:pt idx="0">
                  <c:v>Planned %</c:v>
                </c:pt>
              </c:strCache>
            </c:strRef>
          </c:tx>
          <c:spPr>
            <a:solidFill>
              <a:srgbClr val="CBD5E1"/>
            </a:solidFill>
            <a:ln>
              <a:prstDash val="solid"/>
            </a:ln>
          </c:spPr>
          <c:invertIfNegative val="1"/>
          <c:cat>
            <c:strRef>
              <c:f>'Executive Dashboard'!$B$21:$B$26</c:f>
              <c:strCache>
                <c:ptCount val="6"/>
                <c:pt idx="0">
                  <c:v>P1</c:v>
                </c:pt>
                <c:pt idx="1">
                  <c:v>P2</c:v>
                </c:pt>
                <c:pt idx="2">
                  <c:v>P3</c:v>
                </c:pt>
                <c:pt idx="3">
                  <c:v>P4</c:v>
                </c:pt>
                <c:pt idx="4">
                  <c:v>P5</c:v>
                </c:pt>
                <c:pt idx="5">
                  <c:v>P6</c:v>
                </c:pt>
              </c:strCache>
            </c:strRef>
          </c:cat>
          <c:val>
            <c:numRef>
              <c:f>'Executive Dashboard'!$M$21:$M$26</c:f>
              <c:numCache>
                <c:formatCode>0%</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540D-4F04-AA4A-7C588436F001}"/>
            </c:ext>
          </c:extLst>
        </c:ser>
        <c:ser>
          <c:idx val="1"/>
          <c:order val="1"/>
          <c:tx>
            <c:strRef>
              <c:f>'Executive Dashboard'!$N$20</c:f>
              <c:strCache>
                <c:ptCount val="1"/>
                <c:pt idx="0">
                  <c:v>Actual %</c:v>
                </c:pt>
              </c:strCache>
            </c:strRef>
          </c:tx>
          <c:spPr>
            <a:solidFill>
              <a:srgbClr val="10B981"/>
            </a:solidFill>
            <a:ln>
              <a:prstDash val="solid"/>
            </a:ln>
          </c:spPr>
          <c:invertIfNegative val="1"/>
          <c:cat>
            <c:strRef>
              <c:f>'Executive Dashboard'!$B$21:$B$26</c:f>
              <c:strCache>
                <c:ptCount val="6"/>
                <c:pt idx="0">
                  <c:v>P1</c:v>
                </c:pt>
                <c:pt idx="1">
                  <c:v>P2</c:v>
                </c:pt>
                <c:pt idx="2">
                  <c:v>P3</c:v>
                </c:pt>
                <c:pt idx="3">
                  <c:v>P4</c:v>
                </c:pt>
                <c:pt idx="4">
                  <c:v>P5</c:v>
                </c:pt>
                <c:pt idx="5">
                  <c:v>P6</c:v>
                </c:pt>
              </c:strCache>
            </c:strRef>
          </c:cat>
          <c:val>
            <c:numRef>
              <c:f>'Executive Dashboard'!$N$21:$N$26</c:f>
              <c:numCache>
                <c:formatCode>0%</c:formatCode>
                <c:ptCount val="6"/>
                <c:pt idx="0">
                  <c:v>0.11764705882352941</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540D-4F04-AA4A-7C588436F001}"/>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1"/>
          <c:min val="0"/>
        </c:scaling>
        <c:delete val="0"/>
        <c:axPos val="l"/>
        <c:numFmt formatCode="0%" sourceLinked="0"/>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Task status distribution</a:t>
            </a:r>
          </a:p>
        </c:rich>
      </c:tx>
      <c:overlay val="1"/>
    </c:title>
    <c:autoTitleDeleted val="0"/>
    <c:plotArea>
      <c:layout/>
      <c:doughnutChart>
        <c:varyColors val="1"/>
        <c:ser>
          <c:idx val="0"/>
          <c:order val="0"/>
          <c:tx>
            <c:strRef>
              <c:f>'Executive Dashboard'!$K$30</c:f>
              <c:strCache>
                <c:ptCount val="1"/>
                <c:pt idx="0">
                  <c:v>Count</c:v>
                </c:pt>
              </c:strCache>
            </c:strRef>
          </c:tx>
          <c:spPr>
            <a:ln>
              <a:prstDash val="solid"/>
            </a:ln>
          </c:spPr>
          <c:dPt>
            <c:idx val="0"/>
            <c:bubble3D val="0"/>
            <c:spPr>
              <a:solidFill>
                <a:srgbClr val="9CA3AF"/>
              </a:solidFill>
              <a:ln>
                <a:prstDash val="solid"/>
              </a:ln>
            </c:spPr>
            <c:extLst>
              <c:ext xmlns:c16="http://schemas.microsoft.com/office/drawing/2014/chart" uri="{C3380CC4-5D6E-409C-BE32-E72D297353CC}">
                <c16:uniqueId val="{00000001-AE5F-45FB-9886-C304EBFA1F6F}"/>
              </c:ext>
            </c:extLst>
          </c:dPt>
          <c:dPt>
            <c:idx val="1"/>
            <c:bubble3D val="0"/>
            <c:spPr>
              <a:solidFill>
                <a:srgbClr val="3B82F6"/>
              </a:solidFill>
              <a:ln>
                <a:prstDash val="solid"/>
              </a:ln>
            </c:spPr>
            <c:extLst>
              <c:ext xmlns:c16="http://schemas.microsoft.com/office/drawing/2014/chart" uri="{C3380CC4-5D6E-409C-BE32-E72D297353CC}">
                <c16:uniqueId val="{00000003-AE5F-45FB-9886-C304EBFA1F6F}"/>
              </c:ext>
            </c:extLst>
          </c:dPt>
          <c:dPt>
            <c:idx val="2"/>
            <c:bubble3D val="0"/>
            <c:spPr>
              <a:solidFill>
                <a:srgbClr val="EF4444"/>
              </a:solidFill>
              <a:ln>
                <a:prstDash val="solid"/>
              </a:ln>
            </c:spPr>
            <c:extLst>
              <c:ext xmlns:c16="http://schemas.microsoft.com/office/drawing/2014/chart" uri="{C3380CC4-5D6E-409C-BE32-E72D297353CC}">
                <c16:uniqueId val="{00000005-AE5F-45FB-9886-C304EBFA1F6F}"/>
              </c:ext>
            </c:extLst>
          </c:dPt>
          <c:dPt>
            <c:idx val="3"/>
            <c:bubble3D val="0"/>
            <c:spPr>
              <a:solidFill>
                <a:srgbClr val="F59E0B"/>
              </a:solidFill>
              <a:ln>
                <a:prstDash val="solid"/>
              </a:ln>
            </c:spPr>
            <c:extLst>
              <c:ext xmlns:c16="http://schemas.microsoft.com/office/drawing/2014/chart" uri="{C3380CC4-5D6E-409C-BE32-E72D297353CC}">
                <c16:uniqueId val="{00000007-AE5F-45FB-9886-C304EBFA1F6F}"/>
              </c:ext>
            </c:extLst>
          </c:dPt>
          <c:dPt>
            <c:idx val="4"/>
            <c:bubble3D val="0"/>
            <c:spPr>
              <a:solidFill>
                <a:srgbClr val="FCD34D"/>
              </a:solidFill>
              <a:ln>
                <a:prstDash val="solid"/>
              </a:ln>
            </c:spPr>
            <c:extLst>
              <c:ext xmlns:c16="http://schemas.microsoft.com/office/drawing/2014/chart" uri="{C3380CC4-5D6E-409C-BE32-E72D297353CC}">
                <c16:uniqueId val="{00000009-AE5F-45FB-9886-C304EBFA1F6F}"/>
              </c:ext>
            </c:extLst>
          </c:dPt>
          <c:dPt>
            <c:idx val="5"/>
            <c:bubble3D val="0"/>
            <c:spPr>
              <a:solidFill>
                <a:srgbClr val="10B981"/>
              </a:solidFill>
              <a:ln>
                <a:prstDash val="solid"/>
              </a:ln>
            </c:spPr>
            <c:extLst>
              <c:ext xmlns:c16="http://schemas.microsoft.com/office/drawing/2014/chart" uri="{C3380CC4-5D6E-409C-BE32-E72D297353CC}">
                <c16:uniqueId val="{0000000B-AE5F-45FB-9886-C304EBFA1F6F}"/>
              </c:ext>
            </c:extLst>
          </c:dPt>
          <c:cat>
            <c:strRef>
              <c:f>'Executive Dashboard'!$J$31:$J$36</c:f>
              <c:strCache>
                <c:ptCount val="6"/>
                <c:pt idx="0">
                  <c:v>Not Started</c:v>
                </c:pt>
                <c:pt idx="1">
                  <c:v>In Progress</c:v>
                </c:pt>
                <c:pt idx="2">
                  <c:v>Blocked</c:v>
                </c:pt>
                <c:pt idx="3">
                  <c:v>In Review</c:v>
                </c:pt>
                <c:pt idx="4">
                  <c:v>Testing</c:v>
                </c:pt>
                <c:pt idx="5">
                  <c:v>Completed</c:v>
                </c:pt>
              </c:strCache>
            </c:strRef>
          </c:cat>
          <c:val>
            <c:numRef>
              <c:f>'Executive Dashboard'!$K$31:$K$36</c:f>
              <c:numCache>
                <c:formatCode>General</c:formatCode>
                <c:ptCount val="6"/>
                <c:pt idx="0">
                  <c:v>109</c:v>
                </c:pt>
                <c:pt idx="1">
                  <c:v>0</c:v>
                </c:pt>
                <c:pt idx="2">
                  <c:v>0</c:v>
                </c:pt>
                <c:pt idx="3">
                  <c:v>0</c:v>
                </c:pt>
                <c:pt idx="4">
                  <c:v>0</c:v>
                </c:pt>
                <c:pt idx="5">
                  <c:v>2</c:v>
                </c:pt>
              </c:numCache>
            </c:numRef>
          </c:val>
          <c:extLst>
            <c:ext xmlns:c16="http://schemas.microsoft.com/office/drawing/2014/chart" uri="{C3380CC4-5D6E-409C-BE32-E72D297353CC}">
              <c16:uniqueId val="{0000000C-AE5F-45FB-9886-C304EBFA1F6F}"/>
            </c:ext>
          </c:extLst>
        </c:ser>
        <c:dLbls>
          <c:showLegendKey val="0"/>
          <c:showVal val="0"/>
          <c:showCatName val="0"/>
          <c:showSerName val="0"/>
          <c:showPercent val="0"/>
          <c:showBubbleSize val="0"/>
          <c:showLeaderLines val="1"/>
        </c:dLbls>
        <c:firstSliceAng val="0"/>
        <c:holeSize val="55"/>
      </c:doughnutChart>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0</xdr:colOff>
      <xdr:row>40</xdr:row>
      <xdr:rowOff>0</xdr:rowOff>
    </xdr:from>
    <xdr:ext cx="5220000" cy="288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0</xdr:colOff>
      <xdr:row>40</xdr:row>
      <xdr:rowOff>0</xdr:rowOff>
    </xdr:from>
    <xdr:ext cx="4500000" cy="288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Tasks" displayName="tblTasks" ref="A5:AC146">
  <autoFilter ref="A5:AC146" xr:uid="{00000000-0009-0000-0100-000001000000}"/>
  <tableColumns count="29">
    <tableColumn id="1" xr3:uid="{00000000-0010-0000-0000-000001000000}" name="Task ID"/>
    <tableColumn id="2" xr3:uid="{00000000-0010-0000-0000-000002000000}" name="Phase ▾"/>
    <tableColumn id="3" xr3:uid="{00000000-0010-0000-0000-000003000000}" name="Module ▾"/>
    <tableColumn id="4" xr3:uid="{00000000-0010-0000-0000-000004000000}" name="Task Name"/>
    <tableColumn id="5" xr3:uid="{00000000-0010-0000-0000-000005000000}" name="Detailed Description"/>
    <tableColumn id="6" xr3:uid="{00000000-0010-0000-0000-000006000000}" name="Priority ▾"/>
    <tableColumn id="7" xr3:uid="{00000000-0010-0000-0000-000007000000}" name="Status ▾"/>
    <tableColumn id="8" xr3:uid="{00000000-0010-0000-0000-000008000000}" name="Start Date ▾"/>
    <tableColumn id="9" xr3:uid="{00000000-0010-0000-0000-000009000000}" name="Due Date ▾"/>
    <tableColumn id="10" xr3:uid="{00000000-0010-0000-0000-00000A000000}" name="Completion % ▾"/>
    <tableColumn id="11" xr3:uid="{00000000-0010-0000-0000-00000B000000}" name="Dependencies ▾"/>
    <tableColumn id="12" xr3:uid="{00000000-0010-0000-0000-00000C000000}" name="Environment ▾"/>
    <tableColumn id="13" xr3:uid="{00000000-0010-0000-0000-00000D000000}" name="Related WordPress Files"/>
    <tableColumn id="14" xr3:uid="{00000000-0010-0000-0000-00000E000000}" name="Testing Checklist"/>
    <tableColumn id="15" xr3:uid="{00000000-0010-0000-0000-00000F000000}" name="Acceptance Criteria"/>
    <tableColumn id="16" xr3:uid="{00000000-0010-0000-0000-000010000000}" name="Blocker / Issue ▾"/>
    <tableColumn id="17" xr3:uid="{00000000-0010-0000-0000-000011000000}" name="Notes ▾"/>
    <tableColumn id="18" xr3:uid="{00000000-0010-0000-0000-000012000000}" name="Completion Date ▾"/>
    <tableColumn id="19" xr3:uid="{00000000-0010-0000-0000-000013000000}" name="External Requirement ▾"/>
    <tableColumn id="20" xr3:uid="{00000000-0010-0000-0000-000014000000}" name="Test Result ▾"/>
    <tableColumn id="21" xr3:uid="{00000000-0010-0000-0000-000015000000}" name="ƒ Effective %"/>
    <tableColumn id="22" xr3:uid="{00000000-0010-0000-0000-000016000000}" name="ƒ Planned %"/>
    <tableColumn id="23" xr3:uid="{00000000-0010-0000-0000-000017000000}" name="ƒ Days Left"/>
    <tableColumn id="24" xr3:uid="{00000000-0010-0000-0000-000018000000}" name="ƒ Overdue"/>
    <tableColumn id="25" xr3:uid="{00000000-0010-0000-0000-000019000000}" name="ƒ Dependency Check"/>
    <tableColumn id="26" xr3:uid="{00000000-0010-0000-0000-00001A000000}" name="ƒ Phase Key"/>
    <tableColumn id="27" xr3:uid="{00000000-0010-0000-0000-00001B000000}" name="ƒ Upcoming Key"/>
    <tableColumn id="28" xr3:uid="{00000000-0010-0000-0000-00001C000000}" name="ƒ Blocker Key"/>
    <tableColumn id="29" xr3:uid="{00000000-0010-0000-0000-00001D000000}" name="ƒ Alert"/>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QA" displayName="tblQA" ref="A31:K141">
  <autoFilter ref="A31:K141" xr:uid="{00000000-0009-0000-0100-000002000000}"/>
  <tableColumns count="11">
    <tableColumn id="1" xr3:uid="{00000000-0010-0000-0100-000001000000}" name="QA ID"/>
    <tableColumn id="2" xr3:uid="{00000000-0010-0000-0100-000002000000}" name="Area"/>
    <tableColumn id="3" xr3:uid="{00000000-0010-0000-0100-000003000000}" name="Test Case"/>
    <tableColumn id="4" xr3:uid="{00000000-0010-0000-0100-000004000000}" name="Expected Result"/>
    <tableColumn id="5" xr3:uid="{00000000-0010-0000-0100-000005000000}" name="Page / URL"/>
    <tableColumn id="6" xr3:uid="{00000000-0010-0000-0100-000006000000}" name="Device / Browser"/>
    <tableColumn id="7" xr3:uid="{00000000-0010-0000-0100-000007000000}" name="Priority"/>
    <tableColumn id="8" xr3:uid="{00000000-0010-0000-0100-000008000000}" name="Linked Task"/>
    <tableColumn id="9" xr3:uid="{00000000-0010-0000-0100-000009000000}" name="Result"/>
    <tableColumn id="10" xr3:uid="{00000000-0010-0000-0100-00000A000000}" name="Tested On"/>
    <tableColumn id="11" xr3:uid="{00000000-0010-0000-0100-00000B000000}" name="Defect / Notes"/>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Deploy" displayName="tblDeploy" ref="A6:I45">
  <autoFilter ref="A6:I45" xr:uid="{00000000-0009-0000-0100-000003000000}"/>
  <tableColumns count="9">
    <tableColumn id="1" xr3:uid="{00000000-0010-0000-0200-000001000000}" name="Step"/>
    <tableColumn id="2" xr3:uid="{00000000-0010-0000-0200-000002000000}" name="Stage"/>
    <tableColumn id="3" xr3:uid="{00000000-0010-0000-0200-000003000000}" name="Action"/>
    <tableColumn id="4" xr3:uid="{00000000-0010-0000-0200-000004000000}" name="Verification"/>
    <tableColumn id="5" xr3:uid="{00000000-0010-0000-0200-000005000000}" name="Tool / Location"/>
    <tableColumn id="6" xr3:uid="{00000000-0010-0000-0200-000006000000}" name="Owner"/>
    <tableColumn id="7" xr3:uid="{00000000-0010-0000-0200-000007000000}" name="Status"/>
    <tableColumn id="8" xr3:uid="{00000000-0010-0000-0200-000008000000}" name="Done At"/>
    <tableColumn id="9" xr3:uid="{00000000-0010-0000-0200-000009000000}" name="Notes"/>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Risks" displayName="tblRisks" ref="A5:K33">
  <autoFilter ref="A5:K33" xr:uid="{00000000-0009-0000-0100-000004000000}"/>
  <tableColumns count="11">
    <tableColumn id="1" xr3:uid="{00000000-0010-0000-0300-000001000000}" name="Risk ID"/>
    <tableColumn id="2" xr3:uid="{00000000-0010-0000-0300-000002000000}" name="Related Phase"/>
    <tableColumn id="3" xr3:uid="{00000000-0010-0000-0300-000003000000}" name="Description"/>
    <tableColumn id="4" xr3:uid="{00000000-0010-0000-0300-000004000000}" name="Severity"/>
    <tableColumn id="5" xr3:uid="{00000000-0010-0000-0300-000005000000}" name="Likelihood"/>
    <tableColumn id="6" xr3:uid="{00000000-0010-0000-0300-000006000000}" name="Impact"/>
    <tableColumn id="7" xr3:uid="{00000000-0010-0000-0300-000007000000}" name="Mitigation"/>
    <tableColumn id="8" xr3:uid="{00000000-0010-0000-0300-000008000000}" name="Owner"/>
    <tableColumn id="9" xr3:uid="{00000000-0010-0000-0300-000009000000}" name="Status"/>
    <tableColumn id="10" xr3:uid="{00000000-0010-0000-0300-00000A000000}" name="Resolution"/>
    <tableColumn id="11" xr3:uid="{00000000-0010-0000-0300-00000B000000}" name="Date Raised"/>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ReqMap" displayName="tblReqMap" ref="A5:G72">
  <autoFilter ref="A5:G72" xr:uid="{00000000-0009-0000-0100-000005000000}"/>
  <tableColumns count="7">
    <tableColumn id="1" xr3:uid="{00000000-0010-0000-0400-000001000000}" name="Req #"/>
    <tableColumn id="2" xr3:uid="{00000000-0010-0000-0400-000002000000}" name="Phase"/>
    <tableColumn id="3" xr3:uid="{00000000-0010-0000-0400-000003000000}" name="Requirement (from brief)"/>
    <tableColumn id="4" xr3:uid="{00000000-0010-0000-0400-000004000000}" name="Mapped Task IDs"/>
    <tableColumn id="5" xr3:uid="{00000000-0010-0000-0400-000005000000}" name="ƒ Tasks"/>
    <tableColumn id="6" xr3:uid="{00000000-0010-0000-0400-000006000000}" name="ƒ Done"/>
    <tableColumn id="7" xr3:uid="{00000000-0010-0000-0400-000007000000}" name="ƒ Coverage"/>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hocolate-jellyfish-822708.hostingersite.com/" TargetMode="External"/><Relationship Id="rId1" Type="http://schemas.openxmlformats.org/officeDocument/2006/relationships/hyperlink" Target="https://altijaramagazine.co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altijaramagazine.com/" TargetMode="External"/><Relationship Id="rId1" Type="http://schemas.openxmlformats.org/officeDocument/2006/relationships/hyperlink" Target="https://chocolate-jellyfish-822708.hostingersite.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chocolate-jellyfish-822708.hostingersite.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chocolate-jellyfish-822708.hostingersite.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chocolate-jellyfish-822708.hostingersite.co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chocolate-jellyfish-822708.hostingersite.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chocolate-jellyfish-822708.hostingersite.com/"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chocolate-jellyfish-822708.hostingersite.com/" TargetMode="External"/></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chocolate-jellyfish-822708.hostingersite.com/" TargetMode="External"/></Relationships>
</file>

<file path=xl/worksheets/_rels/sheet10.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altijaramagazine.com/"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0B981"/>
    <pageSetUpPr fitToPage="1"/>
  </sheetPr>
  <dimension ref="A1:T78"/>
  <sheetViews>
    <sheetView showGridLines="0" tabSelected="1" zoomScale="90" workbookViewId="0">
      <pane ySplit="4" topLeftCell="A15" activePane="bottomLeft" state="frozen"/>
      <selection pane="bottomLeft" activeCell="F26" sqref="F26"/>
    </sheetView>
  </sheetViews>
  <sheetFormatPr defaultRowHeight="14.4" x14ac:dyDescent="0.3"/>
  <cols>
    <col min="1" max="1" width="2" customWidth="1"/>
    <col min="2" max="2" width="10.44140625" customWidth="1"/>
    <col min="3" max="5" width="12.44140625" customWidth="1"/>
    <col min="6" max="6" width="14" customWidth="1"/>
    <col min="7" max="17" width="10.44140625" customWidth="1"/>
    <col min="18" max="18" width="2" customWidth="1"/>
    <col min="19" max="20" width="13" hidden="1" customWidth="1"/>
  </cols>
  <sheetData>
    <row r="1" spans="1:18" ht="34.049999999999997" customHeight="1" x14ac:dyDescent="0.3">
      <c r="A1" s="111" t="s">
        <v>0</v>
      </c>
      <c r="B1" s="112"/>
      <c r="C1" s="112"/>
      <c r="D1" s="112"/>
      <c r="E1" s="112"/>
      <c r="F1" s="112"/>
      <c r="G1" s="112"/>
      <c r="H1" s="112"/>
      <c r="I1" s="112"/>
      <c r="J1" s="112"/>
      <c r="K1" s="112"/>
      <c r="L1" s="112"/>
      <c r="M1" s="112"/>
      <c r="N1" s="112"/>
      <c r="O1" s="112"/>
      <c r="P1" s="112"/>
      <c r="Q1" s="112"/>
      <c r="R1" s="112"/>
    </row>
    <row r="2" spans="1:18" ht="19.95" customHeight="1" x14ac:dyDescent="0.3">
      <c r="A2" s="79" t="s">
        <v>1</v>
      </c>
      <c r="B2" s="80"/>
      <c r="C2" s="80"/>
      <c r="D2" s="80"/>
      <c r="E2" s="80"/>
      <c r="F2" s="80"/>
      <c r="G2" s="80"/>
      <c r="H2" s="80"/>
      <c r="I2" s="80"/>
      <c r="J2" s="80"/>
      <c r="K2" s="80"/>
      <c r="L2" s="80"/>
      <c r="M2" s="80"/>
      <c r="N2" s="80"/>
      <c r="O2" s="80"/>
      <c r="P2" s="80"/>
      <c r="Q2" s="80"/>
      <c r="R2" s="80"/>
    </row>
    <row r="3" spans="1:18" x14ac:dyDescent="0.3">
      <c r="B3" s="1" t="s">
        <v>2</v>
      </c>
      <c r="E3" s="107" t="s">
        <v>3</v>
      </c>
      <c r="F3" s="86"/>
      <c r="G3" s="86"/>
      <c r="H3" s="86"/>
      <c r="J3" s="1" t="s">
        <v>4</v>
      </c>
      <c r="M3" s="116" t="s">
        <v>5</v>
      </c>
      <c r="N3" s="86"/>
      <c r="O3" s="86"/>
      <c r="P3" s="86"/>
      <c r="Q3" s="86"/>
    </row>
    <row r="4" spans="1:18" x14ac:dyDescent="0.3">
      <c r="B4" s="1" t="s">
        <v>6</v>
      </c>
      <c r="C4" s="4" t="s">
        <v>7</v>
      </c>
      <c r="D4" s="4" t="s">
        <v>8</v>
      </c>
      <c r="E4" s="4" t="s">
        <v>9</v>
      </c>
      <c r="F4" s="4" t="s">
        <v>10</v>
      </c>
      <c r="G4" s="4" t="s">
        <v>11</v>
      </c>
      <c r="H4" s="4" t="s">
        <v>12</v>
      </c>
      <c r="I4" s="4" t="s">
        <v>13</v>
      </c>
      <c r="J4" s="4" t="s">
        <v>14</v>
      </c>
      <c r="K4" s="4" t="s">
        <v>15</v>
      </c>
      <c r="L4" s="4" t="s">
        <v>16</v>
      </c>
      <c r="M4" s="4" t="s">
        <v>17</v>
      </c>
    </row>
    <row r="6" spans="1:18" ht="22.05" customHeight="1" x14ac:dyDescent="0.3">
      <c r="B6" s="71" t="s">
        <v>18</v>
      </c>
      <c r="C6" s="72"/>
      <c r="D6" s="72"/>
      <c r="E6" s="72"/>
      <c r="F6" s="72"/>
      <c r="G6" s="72"/>
      <c r="H6" s="72"/>
      <c r="I6" s="72"/>
      <c r="J6" s="72"/>
      <c r="K6" s="72"/>
      <c r="L6" s="72"/>
      <c r="M6" s="72"/>
      <c r="N6" s="72"/>
      <c r="O6" s="72"/>
      <c r="P6" s="72"/>
      <c r="Q6" s="72"/>
    </row>
    <row r="7" spans="1:18" ht="24" customHeight="1" x14ac:dyDescent="0.3">
      <c r="B7" s="100" t="s">
        <v>19</v>
      </c>
      <c r="C7" s="86"/>
      <c r="D7" s="85"/>
      <c r="E7" s="86"/>
      <c r="F7" s="100" t="s">
        <v>20</v>
      </c>
      <c r="G7" s="86"/>
      <c r="H7" s="123">
        <f ca="1">IF(D7="",TODAY(),D7)</f>
        <v>46306</v>
      </c>
      <c r="I7" s="86"/>
      <c r="L7" s="100" t="s">
        <v>21</v>
      </c>
      <c r="M7" s="86"/>
      <c r="N7" s="101">
        <v>46327</v>
      </c>
      <c r="O7" s="86"/>
    </row>
    <row r="9" spans="1:18" ht="22.05" customHeight="1" x14ac:dyDescent="0.3">
      <c r="B9" s="71" t="s">
        <v>22</v>
      </c>
      <c r="C9" s="72"/>
      <c r="D9" s="72"/>
      <c r="E9" s="72"/>
      <c r="F9" s="72"/>
      <c r="G9" s="72"/>
      <c r="H9" s="72"/>
      <c r="I9" s="72"/>
      <c r="J9" s="72"/>
      <c r="K9" s="72"/>
      <c r="L9" s="72"/>
      <c r="M9" s="72"/>
      <c r="N9" s="72"/>
      <c r="O9" s="72"/>
      <c r="P9" s="72"/>
      <c r="Q9" s="72"/>
    </row>
    <row r="10" spans="1:18" x14ac:dyDescent="0.3">
      <c r="B10" s="87" t="s">
        <v>23</v>
      </c>
      <c r="C10" s="88"/>
      <c r="D10" s="89"/>
      <c r="E10" s="87" t="s">
        <v>24</v>
      </c>
      <c r="F10" s="88"/>
      <c r="G10" s="89"/>
      <c r="H10" s="87" t="s">
        <v>25</v>
      </c>
      <c r="I10" s="88"/>
      <c r="J10" s="89"/>
      <c r="K10" s="87" t="s">
        <v>26</v>
      </c>
      <c r="L10" s="88"/>
      <c r="M10" s="89"/>
      <c r="N10" s="87" t="s">
        <v>27</v>
      </c>
      <c r="O10" s="88"/>
      <c r="P10" s="89"/>
    </row>
    <row r="11" spans="1:18" ht="40.049999999999997" customHeight="1" x14ac:dyDescent="0.3">
      <c r="B11" s="63">
        <f>IFERROR(SUMPRODUCT(('Master Tracker'!$A$6:$A$400&lt;&gt;"")*'Master Tracker'!$U$6:$U$400)/COUNTIF('Master Tracker'!$A$6:$A$400,"?*"),0)</f>
        <v>1.8018018018018018E-2</v>
      </c>
      <c r="C11" s="64"/>
      <c r="D11" s="65"/>
      <c r="E11" s="63">
        <f ca="1">IFERROR(SUMPRODUCT(('Master Tracker'!$A$6:$A$400&lt;&gt;"")*'Master Tracker'!$V$6:$V$400)/COUNTIF('Master Tracker'!$A$6:$A$400,"?*"),0)</f>
        <v>0</v>
      </c>
      <c r="F11" s="64"/>
      <c r="G11" s="65"/>
      <c r="H11" s="76">
        <f ca="1">B11-E11</f>
        <v>1.8018018018018018E-2</v>
      </c>
      <c r="I11" s="64"/>
      <c r="J11" s="65"/>
      <c r="K11" s="98">
        <f ca="1">Deadline-StatusDate</f>
        <v>21</v>
      </c>
      <c r="L11" s="64"/>
      <c r="M11" s="65"/>
      <c r="N11" s="117" t="str">
        <f ca="1">IF(OR(N16&gt;0,L16&gt;0),"AT RISK",IF(B11-E11&lt;-0.05,"BEHIND","ON TRACK"))</f>
        <v>ON TRACK</v>
      </c>
      <c r="O11" s="64"/>
      <c r="P11" s="65"/>
    </row>
    <row r="12" spans="1:18" x14ac:dyDescent="0.3">
      <c r="B12" s="104" t="s">
        <v>28</v>
      </c>
      <c r="C12" s="105"/>
      <c r="D12" s="106"/>
      <c r="E12" s="104" t="s">
        <v>29</v>
      </c>
      <c r="F12" s="105"/>
      <c r="G12" s="106"/>
      <c r="H12" s="104" t="s">
        <v>30</v>
      </c>
      <c r="I12" s="105"/>
      <c r="J12" s="106"/>
      <c r="K12" s="104" t="s">
        <v>31</v>
      </c>
      <c r="L12" s="105"/>
      <c r="M12" s="106"/>
      <c r="N12" s="104" t="s">
        <v>32</v>
      </c>
      <c r="O12" s="105"/>
      <c r="P12" s="106"/>
    </row>
    <row r="13" spans="1:18" ht="22.05" customHeight="1" x14ac:dyDescent="0.3">
      <c r="B13" s="125" t="str">
        <f ca="1">"Overall  "&amp;REPT("█",ROUND(B11*60,0))&amp;REPT("░",60-ROUND(B11*60,0))&amp;"  "&amp;TEXT(B11,"0%")&amp;"   |   Planned "&amp;TEXT(E11,"0%")</f>
        <v>Overall  █░░░░░░░░░░░░░░░░░░░░░░░░░░░░░░░░░░░░░░░░░░░░░░░░░░░░░░░░░░░  2%   |   Planned 0%</v>
      </c>
      <c r="C13" s="86"/>
      <c r="D13" s="86"/>
      <c r="E13" s="86"/>
      <c r="F13" s="86"/>
      <c r="G13" s="86"/>
      <c r="H13" s="86"/>
      <c r="I13" s="86"/>
      <c r="J13" s="86"/>
      <c r="K13" s="86"/>
      <c r="L13" s="86"/>
      <c r="M13" s="86"/>
      <c r="N13" s="86"/>
      <c r="O13" s="86"/>
      <c r="P13" s="86"/>
      <c r="Q13" s="86"/>
    </row>
    <row r="15" spans="1:18" x14ac:dyDescent="0.3">
      <c r="B15" s="93" t="s">
        <v>33</v>
      </c>
      <c r="C15" s="94"/>
      <c r="D15" s="109" t="s">
        <v>34</v>
      </c>
      <c r="E15" s="110"/>
      <c r="F15" s="77" t="s">
        <v>35</v>
      </c>
      <c r="G15" s="78"/>
      <c r="H15" s="95" t="s">
        <v>36</v>
      </c>
      <c r="I15" s="96"/>
      <c r="J15" s="119" t="s">
        <v>37</v>
      </c>
      <c r="K15" s="120"/>
      <c r="L15" s="91" t="s">
        <v>38</v>
      </c>
      <c r="M15" s="92"/>
      <c r="N15" s="91" t="s">
        <v>39</v>
      </c>
      <c r="O15" s="92"/>
      <c r="P15" s="93" t="s">
        <v>40</v>
      </c>
      <c r="Q15" s="94"/>
    </row>
    <row r="16" spans="1:18" ht="34.049999999999997" customHeight="1" x14ac:dyDescent="0.3">
      <c r="B16" s="99">
        <f>COUNTIF('Master Tracker'!$A$6:$A$400,"?*")</f>
        <v>111</v>
      </c>
      <c r="C16" s="67"/>
      <c r="D16" s="122">
        <f>COUNTIFS('Master Tracker'!$G$6:$G$400,"Completed",'Master Tracker'!$A$6:$A$400,"?*")</f>
        <v>2</v>
      </c>
      <c r="E16" s="67"/>
      <c r="F16" s="70">
        <f>COUNTIFS('Master Tracker'!$G$6:$G$400,"In Progress",'Master Tracker'!$A$6:$A$400,"?*")</f>
        <v>0</v>
      </c>
      <c r="G16" s="67"/>
      <c r="H16" s="114">
        <f>COUNTIFS('Master Tracker'!$G$6:$G$400,"Not Started",'Master Tracker'!$A$6:$A$400,"?*")</f>
        <v>109</v>
      </c>
      <c r="I16" s="67"/>
      <c r="J16" s="115">
        <f>COUNTIFS('Master Tracker'!$G$6:$G$400,"In Review",'Master Tracker'!$A$6:$A$400,"?*")+COUNTIFS('Master Tracker'!$G$6:$G$400,"Testing",'Master Tracker'!$A$6:$A$400,"?*")</f>
        <v>0</v>
      </c>
      <c r="K16" s="67"/>
      <c r="L16" s="102">
        <f>COUNTIFS('Master Tracker'!$G$6:$G$400,"Blocked",'Master Tracker'!$A$6:$A$400,"?*")</f>
        <v>0</v>
      </c>
      <c r="M16" s="67"/>
      <c r="N16" s="102">
        <f ca="1">COUNTIF('Master Tracker'!$X$6:$X$400,"OVERDUE")</f>
        <v>0</v>
      </c>
      <c r="O16" s="67"/>
      <c r="P16" s="99">
        <f>COUNTIFS('Master Tracker'!$F$6:$F$400,"P0",'Master Tracker'!$G$6:$G$400,"&lt;&gt;Completed",'Master Tracker'!$A$6:$A$400,"?*")</f>
        <v>71</v>
      </c>
      <c r="Q16" s="67"/>
    </row>
    <row r="17" spans="2:17" x14ac:dyDescent="0.3">
      <c r="B17" s="66" t="s">
        <v>41</v>
      </c>
      <c r="C17" s="67"/>
      <c r="D17" s="66" t="str">
        <f>IF($B$16=0,"",TEXT(D16/$B$16,"0%")&amp;" of tasks")</f>
        <v>2% of tasks</v>
      </c>
      <c r="E17" s="67"/>
      <c r="F17" s="66" t="str">
        <f>IF($B$16=0,"",TEXT(F16/$B$16,"0%")&amp;" of tasks")</f>
        <v>0% of tasks</v>
      </c>
      <c r="G17" s="67"/>
      <c r="H17" s="66" t="str">
        <f>IF($B$16=0,"",TEXT(H16/$B$16,"0%")&amp;" of tasks")</f>
        <v>98% of tasks</v>
      </c>
      <c r="I17" s="67"/>
      <c r="J17" s="66" t="str">
        <f>IF($B$16=0,"",TEXT(J16/$B$16,"0%")&amp;" of tasks")</f>
        <v>0% of tasks</v>
      </c>
      <c r="K17" s="67"/>
      <c r="L17" s="66" t="str">
        <f>IF($B$16=0,"",TEXT(L16/$B$16,"0%")&amp;" of tasks")</f>
        <v>0% of tasks</v>
      </c>
      <c r="M17" s="67"/>
      <c r="N17" s="66" t="str">
        <f ca="1">IF($B$16=0,"",TEXT(N16/$B$16,"0%")&amp;" of tasks")</f>
        <v>0% of tasks</v>
      </c>
      <c r="O17" s="67"/>
      <c r="P17" s="66" t="str">
        <f>IF($B$16=0,"",TEXT(P16/$B$16,"0%")&amp;" of tasks")</f>
        <v>64% of tasks</v>
      </c>
      <c r="Q17" s="67"/>
    </row>
    <row r="19" spans="2:17" ht="22.05" customHeight="1" x14ac:dyDescent="0.3">
      <c r="B19" s="71" t="s">
        <v>42</v>
      </c>
      <c r="C19" s="72"/>
      <c r="D19" s="72"/>
      <c r="E19" s="72"/>
      <c r="F19" s="72"/>
      <c r="G19" s="72"/>
      <c r="H19" s="72"/>
      <c r="I19" s="72"/>
      <c r="J19" s="72"/>
      <c r="K19" s="72"/>
      <c r="L19" s="72"/>
      <c r="M19" s="72"/>
      <c r="N19" s="72"/>
      <c r="O19" s="72"/>
      <c r="P19" s="72"/>
      <c r="Q19" s="72"/>
    </row>
    <row r="20" spans="2:17" x14ac:dyDescent="0.3">
      <c r="B20" s="5" t="s">
        <v>43</v>
      </c>
      <c r="C20" s="82" t="s">
        <v>44</v>
      </c>
      <c r="D20" s="83"/>
      <c r="E20" s="84"/>
      <c r="F20" s="5" t="s">
        <v>45</v>
      </c>
      <c r="G20" s="5" t="s">
        <v>46</v>
      </c>
      <c r="H20" s="5" t="s">
        <v>47</v>
      </c>
      <c r="I20" s="5" t="s">
        <v>48</v>
      </c>
      <c r="J20" s="5" t="s">
        <v>49</v>
      </c>
      <c r="K20" s="5" t="s">
        <v>50</v>
      </c>
      <c r="L20" s="5" t="s">
        <v>51</v>
      </c>
      <c r="M20" s="5" t="s">
        <v>52</v>
      </c>
      <c r="N20" s="5" t="s">
        <v>53</v>
      </c>
      <c r="O20" s="82" t="s">
        <v>54</v>
      </c>
      <c r="P20" s="84"/>
      <c r="Q20" s="5" t="s">
        <v>55</v>
      </c>
    </row>
    <row r="21" spans="2:17" x14ac:dyDescent="0.3">
      <c r="B21" s="6" t="s">
        <v>8</v>
      </c>
      <c r="C21" s="75" t="s">
        <v>56</v>
      </c>
      <c r="D21" s="74"/>
      <c r="E21" s="74"/>
      <c r="F21" s="7" t="str">
        <f>TEXT(_xlfn.MINIFS('Master Tracker'!$H$6:$H$400,'Master Tracker'!$B$6:$B$400,"Phase 1"),"dd mmm")&amp;" – "&amp;TEXT(_xlfn.MAXIFS('Master Tracker'!$I$6:$I$400,'Master Tracker'!$B$6:$B$400,"Phase 1"),"dd mmm")</f>
        <v>12 Oct – 14 Oct</v>
      </c>
      <c r="G21" s="7">
        <f>COUNTIFS('Master Tracker'!$B$6:$B$400,"Phase 1",'Master Tracker'!$A$6:$A$400,"?*")</f>
        <v>17</v>
      </c>
      <c r="H21" s="7">
        <f>COUNTIFS('Master Tracker'!$B$6:$B$400,"Phase 1",'Master Tracker'!$G$6:$G$400,"Completed")</f>
        <v>2</v>
      </c>
      <c r="I21" s="7">
        <f>COUNTIFS('Master Tracker'!$B$6:$B$400,"Phase 1",'Master Tracker'!$G$6:$G$400,"Blocked")</f>
        <v>0</v>
      </c>
      <c r="J21" s="7">
        <f ca="1">COUNTIFS('Master Tracker'!$B$6:$B$400,"Phase 1",'Master Tracker'!$X$6:$X$400,"OVERDUE")</f>
        <v>0</v>
      </c>
      <c r="K21" s="7">
        <f>COUNTIFS('Master Tracker'!$B$6:$B$400,"Phase 1",'Master Tracker'!$G$6:$G$400,"In Progress")</f>
        <v>0</v>
      </c>
      <c r="L21" s="7">
        <f>COUNTIFS('Master Tracker'!$B$6:$B$400,"Phase 1",'Master Tracker'!$F$6:$F$400,"P0",'Master Tracker'!$G$6:$G$400,"&lt;&gt;Completed",'Master Tracker'!$A$6:$A$400,"?*")</f>
        <v>12</v>
      </c>
      <c r="M21" s="8">
        <f ca="1">IFERROR(SUMPRODUCT(('Master Tracker'!$B$6:$B$400="Phase 1")*'Master Tracker'!$V$6:$V$400)/G21,0)</f>
        <v>0</v>
      </c>
      <c r="N21" s="8">
        <f>IFERROR(SUMPRODUCT(('Master Tracker'!$B$6:$B$400="Phase 1")*'Master Tracker'!$U$6:$U$400)/G21,0)</f>
        <v>0.11764705882352941</v>
      </c>
      <c r="O21" s="90" t="str">
        <f t="shared" ref="O21:O26" si="0">REPT("█",ROUND(N21*14,0))&amp;REPT("░",14-ROUND(N21*14,0))</f>
        <v>██░░░░░░░░░░░░</v>
      </c>
      <c r="P21" s="74"/>
      <c r="Q21" s="7" t="str">
        <f t="shared" ref="Q21:Q26" ca="1" si="1">IF(G21=0,"—",IF(H21=G21,"Complete",IF(I21&gt;0,"Blocked",IF(J21&gt;0,"Behind",IF(N21+0.1&lt;M21,"Behind",IF(N21&gt;0,"On Track","Not Started"))))))</f>
        <v>On Track</v>
      </c>
    </row>
    <row r="22" spans="2:17" x14ac:dyDescent="0.3">
      <c r="B22" s="9" t="s">
        <v>9</v>
      </c>
      <c r="C22" s="103" t="s">
        <v>57</v>
      </c>
      <c r="D22" s="69"/>
      <c r="E22" s="69"/>
      <c r="F22" s="10" t="str">
        <f>TEXT(_xlfn.MINIFS('Master Tracker'!$H$6:$H$400,'Master Tracker'!$B$6:$B$400,"Phase 2"),"dd mmm")&amp;" – "&amp;TEXT(_xlfn.MAXIFS('Master Tracker'!$I$6:$I$400,'Master Tracker'!$B$6:$B$400,"Phase 2"),"dd mmm")</f>
        <v>15 Oct – 17 Oct</v>
      </c>
      <c r="G22" s="10">
        <f>COUNTIFS('Master Tracker'!$B$6:$B$400,"Phase 2",'Master Tracker'!$A$6:$A$400,"?*")</f>
        <v>24</v>
      </c>
      <c r="H22" s="10">
        <f>COUNTIFS('Master Tracker'!$B$6:$B$400,"Phase 2",'Master Tracker'!$G$6:$G$400,"Completed")</f>
        <v>0</v>
      </c>
      <c r="I22" s="10">
        <f>COUNTIFS('Master Tracker'!$B$6:$B$400,"Phase 2",'Master Tracker'!$G$6:$G$400,"Blocked")</f>
        <v>0</v>
      </c>
      <c r="J22" s="10">
        <f ca="1">COUNTIFS('Master Tracker'!$B$6:$B$400,"Phase 2",'Master Tracker'!$X$6:$X$400,"OVERDUE")</f>
        <v>0</v>
      </c>
      <c r="K22" s="10">
        <f>COUNTIFS('Master Tracker'!$B$6:$B$400,"Phase 2",'Master Tracker'!$G$6:$G$400,"In Progress")</f>
        <v>0</v>
      </c>
      <c r="L22" s="10">
        <f>COUNTIFS('Master Tracker'!$B$6:$B$400,"Phase 2",'Master Tracker'!$F$6:$F$400,"P0",'Master Tracker'!$G$6:$G$400,"&lt;&gt;Completed",'Master Tracker'!$A$6:$A$400,"?*")</f>
        <v>11</v>
      </c>
      <c r="M22" s="11">
        <f ca="1">IFERROR(SUMPRODUCT(('Master Tracker'!$B$6:$B$400="Phase 2")*'Master Tracker'!$V$6:$V$400)/G22,0)</f>
        <v>0</v>
      </c>
      <c r="N22" s="11">
        <f>IFERROR(SUMPRODUCT(('Master Tracker'!$B$6:$B$400="Phase 2")*'Master Tracker'!$U$6:$U$400)/G22,0)</f>
        <v>0</v>
      </c>
      <c r="O22" s="81" t="str">
        <f t="shared" si="0"/>
        <v>░░░░░░░░░░░░░░</v>
      </c>
      <c r="P22" s="69"/>
      <c r="Q22" s="10" t="str">
        <f t="shared" ca="1" si="1"/>
        <v>Not Started</v>
      </c>
    </row>
    <row r="23" spans="2:17" x14ac:dyDescent="0.3">
      <c r="B23" s="6" t="s">
        <v>10</v>
      </c>
      <c r="C23" s="75" t="s">
        <v>58</v>
      </c>
      <c r="D23" s="74"/>
      <c r="E23" s="74"/>
      <c r="F23" s="7" t="str">
        <f>TEXT(_xlfn.MINIFS('Master Tracker'!$H$6:$H$400,'Master Tracker'!$B$6:$B$400,"Phase 3"),"dd mmm")&amp;" – "&amp;TEXT(_xlfn.MAXIFS('Master Tracker'!$I$6:$I$400,'Master Tracker'!$B$6:$B$400,"Phase 3"),"dd mmm")</f>
        <v>18 Oct – 20 Oct</v>
      </c>
      <c r="G23" s="7">
        <f>COUNTIFS('Master Tracker'!$B$6:$B$400,"Phase 3",'Master Tracker'!$A$6:$A$400,"?*")</f>
        <v>16</v>
      </c>
      <c r="H23" s="7">
        <f>COUNTIFS('Master Tracker'!$B$6:$B$400,"Phase 3",'Master Tracker'!$G$6:$G$400,"Completed")</f>
        <v>0</v>
      </c>
      <c r="I23" s="7">
        <f>COUNTIFS('Master Tracker'!$B$6:$B$400,"Phase 3",'Master Tracker'!$G$6:$G$400,"Blocked")</f>
        <v>0</v>
      </c>
      <c r="J23" s="7">
        <f ca="1">COUNTIFS('Master Tracker'!$B$6:$B$400,"Phase 3",'Master Tracker'!$X$6:$X$400,"OVERDUE")</f>
        <v>0</v>
      </c>
      <c r="K23" s="7">
        <f>COUNTIFS('Master Tracker'!$B$6:$B$400,"Phase 3",'Master Tracker'!$G$6:$G$400,"In Progress")</f>
        <v>0</v>
      </c>
      <c r="L23" s="7">
        <f>COUNTIFS('Master Tracker'!$B$6:$B$400,"Phase 3",'Master Tracker'!$F$6:$F$400,"P0",'Master Tracker'!$G$6:$G$400,"&lt;&gt;Completed",'Master Tracker'!$A$6:$A$400,"?*")</f>
        <v>8</v>
      </c>
      <c r="M23" s="8">
        <f ca="1">IFERROR(SUMPRODUCT(('Master Tracker'!$B$6:$B$400="Phase 3")*'Master Tracker'!$V$6:$V$400)/G23,0)</f>
        <v>0</v>
      </c>
      <c r="N23" s="8">
        <f>IFERROR(SUMPRODUCT(('Master Tracker'!$B$6:$B$400="Phase 3")*'Master Tracker'!$U$6:$U$400)/G23,0)</f>
        <v>0</v>
      </c>
      <c r="O23" s="90" t="str">
        <f t="shared" si="0"/>
        <v>░░░░░░░░░░░░░░</v>
      </c>
      <c r="P23" s="74"/>
      <c r="Q23" s="7" t="str">
        <f t="shared" ca="1" si="1"/>
        <v>Not Started</v>
      </c>
    </row>
    <row r="24" spans="2:17" x14ac:dyDescent="0.3">
      <c r="B24" s="9" t="s">
        <v>11</v>
      </c>
      <c r="C24" s="103" t="s">
        <v>59</v>
      </c>
      <c r="D24" s="69"/>
      <c r="E24" s="69"/>
      <c r="F24" s="10" t="str">
        <f>TEXT(_xlfn.MINIFS('Master Tracker'!$H$6:$H$400,'Master Tracker'!$B$6:$B$400,"Phase 4"),"dd mmm")&amp;" – "&amp;TEXT(_xlfn.MAXIFS('Master Tracker'!$I$6:$I$400,'Master Tracker'!$B$6:$B$400,"Phase 4"),"dd mmm")</f>
        <v>12 Oct – 22 Oct</v>
      </c>
      <c r="G24" s="10">
        <f>COUNTIFS('Master Tracker'!$B$6:$B$400,"Phase 4",'Master Tracker'!$A$6:$A$400,"?*")</f>
        <v>12</v>
      </c>
      <c r="H24" s="10">
        <f>COUNTIFS('Master Tracker'!$B$6:$B$400,"Phase 4",'Master Tracker'!$G$6:$G$400,"Completed")</f>
        <v>0</v>
      </c>
      <c r="I24" s="10">
        <f>COUNTIFS('Master Tracker'!$B$6:$B$400,"Phase 4",'Master Tracker'!$G$6:$G$400,"Blocked")</f>
        <v>0</v>
      </c>
      <c r="J24" s="10">
        <f ca="1">COUNTIFS('Master Tracker'!$B$6:$B$400,"Phase 4",'Master Tracker'!$X$6:$X$400,"OVERDUE")</f>
        <v>0</v>
      </c>
      <c r="K24" s="10">
        <f>COUNTIFS('Master Tracker'!$B$6:$B$400,"Phase 4",'Master Tracker'!$G$6:$G$400,"In Progress")</f>
        <v>0</v>
      </c>
      <c r="L24" s="10">
        <f>COUNTIFS('Master Tracker'!$B$6:$B$400,"Phase 4",'Master Tracker'!$F$6:$F$400,"P0",'Master Tracker'!$G$6:$G$400,"&lt;&gt;Completed",'Master Tracker'!$A$6:$A$400,"?*")</f>
        <v>9</v>
      </c>
      <c r="M24" s="11">
        <f ca="1">IFERROR(SUMPRODUCT(('Master Tracker'!$B$6:$B$400="Phase 4")*'Master Tracker'!$V$6:$V$400)/G24,0)</f>
        <v>0</v>
      </c>
      <c r="N24" s="11">
        <f>IFERROR(SUMPRODUCT(('Master Tracker'!$B$6:$B$400="Phase 4")*'Master Tracker'!$U$6:$U$400)/G24,0)</f>
        <v>0</v>
      </c>
      <c r="O24" s="81" t="str">
        <f t="shared" si="0"/>
        <v>░░░░░░░░░░░░░░</v>
      </c>
      <c r="P24" s="69"/>
      <c r="Q24" s="10" t="str">
        <f t="shared" ca="1" si="1"/>
        <v>Not Started</v>
      </c>
    </row>
    <row r="25" spans="2:17" x14ac:dyDescent="0.3">
      <c r="B25" s="6" t="s">
        <v>12</v>
      </c>
      <c r="C25" s="75" t="s">
        <v>60</v>
      </c>
      <c r="D25" s="74"/>
      <c r="E25" s="74"/>
      <c r="F25" s="7" t="str">
        <f>TEXT(_xlfn.MINIFS('Master Tracker'!$H$6:$H$400,'Master Tracker'!$B$6:$B$400,"Phase 5"),"dd mmm")&amp;" – "&amp;TEXT(_xlfn.MAXIFS('Master Tracker'!$I$6:$I$400,'Master Tracker'!$B$6:$B$400,"Phase 5"),"dd mmm")</f>
        <v>12 Oct – 25 Oct</v>
      </c>
      <c r="G25" s="7">
        <f>COUNTIFS('Master Tracker'!$B$6:$B$400,"Phase 5",'Master Tracker'!$A$6:$A$400,"?*")</f>
        <v>20</v>
      </c>
      <c r="H25" s="7">
        <f>COUNTIFS('Master Tracker'!$B$6:$B$400,"Phase 5",'Master Tracker'!$G$6:$G$400,"Completed")</f>
        <v>0</v>
      </c>
      <c r="I25" s="7">
        <f>COUNTIFS('Master Tracker'!$B$6:$B$400,"Phase 5",'Master Tracker'!$G$6:$G$400,"Blocked")</f>
        <v>0</v>
      </c>
      <c r="J25" s="7">
        <f ca="1">COUNTIFS('Master Tracker'!$B$6:$B$400,"Phase 5",'Master Tracker'!$X$6:$X$400,"OVERDUE")</f>
        <v>0</v>
      </c>
      <c r="K25" s="7">
        <f>COUNTIFS('Master Tracker'!$B$6:$B$400,"Phase 5",'Master Tracker'!$G$6:$G$400,"In Progress")</f>
        <v>0</v>
      </c>
      <c r="L25" s="7">
        <f>COUNTIFS('Master Tracker'!$B$6:$B$400,"Phase 5",'Master Tracker'!$F$6:$F$400,"P0",'Master Tracker'!$G$6:$G$400,"&lt;&gt;Completed",'Master Tracker'!$A$6:$A$400,"?*")</f>
        <v>11</v>
      </c>
      <c r="M25" s="8">
        <f ca="1">IFERROR(SUMPRODUCT(('Master Tracker'!$B$6:$B$400="Phase 5")*'Master Tracker'!$V$6:$V$400)/G25,0)</f>
        <v>0</v>
      </c>
      <c r="N25" s="8">
        <f>IFERROR(SUMPRODUCT(('Master Tracker'!$B$6:$B$400="Phase 5")*'Master Tracker'!$U$6:$U$400)/G25,0)</f>
        <v>0</v>
      </c>
      <c r="O25" s="90" t="str">
        <f t="shared" si="0"/>
        <v>░░░░░░░░░░░░░░</v>
      </c>
      <c r="P25" s="74"/>
      <c r="Q25" s="7" t="str">
        <f t="shared" ca="1" si="1"/>
        <v>Not Started</v>
      </c>
    </row>
    <row r="26" spans="2:17" x14ac:dyDescent="0.3">
      <c r="B26" s="9" t="s">
        <v>13</v>
      </c>
      <c r="C26" s="103" t="s">
        <v>61</v>
      </c>
      <c r="D26" s="69"/>
      <c r="E26" s="69"/>
      <c r="F26" s="10" t="str">
        <f>TEXT(_xlfn.MINIFS('Master Tracker'!$H$6:$H$400,'Master Tracker'!$B$6:$B$400,"Phase 6"),"dd mmm")&amp;" – "&amp;TEXT(_xlfn.MAXIFS('Master Tracker'!$I$6:$I$400,'Master Tracker'!$B$6:$B$400,"Phase 6"),"dd mmm")</f>
        <v>12 Oct – 01 Nov</v>
      </c>
      <c r="G26" s="10">
        <f>COUNTIFS('Master Tracker'!$B$6:$B$400,"Phase 6",'Master Tracker'!$A$6:$A$400,"?*")</f>
        <v>22</v>
      </c>
      <c r="H26" s="10">
        <f>COUNTIFS('Master Tracker'!$B$6:$B$400,"Phase 6",'Master Tracker'!$G$6:$G$400,"Completed")</f>
        <v>0</v>
      </c>
      <c r="I26" s="10">
        <f>COUNTIFS('Master Tracker'!$B$6:$B$400,"Phase 6",'Master Tracker'!$G$6:$G$400,"Blocked")</f>
        <v>0</v>
      </c>
      <c r="J26" s="10">
        <f ca="1">COUNTIFS('Master Tracker'!$B$6:$B$400,"Phase 6",'Master Tracker'!$X$6:$X$400,"OVERDUE")</f>
        <v>0</v>
      </c>
      <c r="K26" s="10">
        <f>COUNTIFS('Master Tracker'!$B$6:$B$400,"Phase 6",'Master Tracker'!$G$6:$G$400,"In Progress")</f>
        <v>0</v>
      </c>
      <c r="L26" s="10">
        <f>COUNTIFS('Master Tracker'!$B$6:$B$400,"Phase 6",'Master Tracker'!$F$6:$F$400,"P0",'Master Tracker'!$G$6:$G$400,"&lt;&gt;Completed",'Master Tracker'!$A$6:$A$400,"?*")</f>
        <v>20</v>
      </c>
      <c r="M26" s="11">
        <f ca="1">IFERROR(SUMPRODUCT(('Master Tracker'!$B$6:$B$400="Phase 6")*'Master Tracker'!$V$6:$V$400)/G26,0)</f>
        <v>0</v>
      </c>
      <c r="N26" s="11">
        <f>IFERROR(SUMPRODUCT(('Master Tracker'!$B$6:$B$400="Phase 6")*'Master Tracker'!$U$6:$U$400)/G26,0)</f>
        <v>0</v>
      </c>
      <c r="O26" s="81" t="str">
        <f t="shared" si="0"/>
        <v>░░░░░░░░░░░░░░</v>
      </c>
      <c r="P26" s="69"/>
      <c r="Q26" s="10" t="str">
        <f t="shared" ca="1" si="1"/>
        <v>Not Started</v>
      </c>
    </row>
    <row r="27" spans="2:17" x14ac:dyDescent="0.3">
      <c r="B27" s="12" t="s">
        <v>62</v>
      </c>
      <c r="C27" s="97"/>
      <c r="D27" s="97"/>
      <c r="E27" s="97"/>
      <c r="F27" s="97"/>
      <c r="G27" s="12">
        <f t="shared" ref="G27:L27" si="2">SUM(G21:G26)</f>
        <v>111</v>
      </c>
      <c r="H27" s="12">
        <f t="shared" si="2"/>
        <v>2</v>
      </c>
      <c r="I27" s="12">
        <f t="shared" si="2"/>
        <v>0</v>
      </c>
      <c r="J27" s="12">
        <f t="shared" ca="1" si="2"/>
        <v>0</v>
      </c>
      <c r="K27" s="12">
        <f t="shared" si="2"/>
        <v>0</v>
      </c>
      <c r="L27" s="12">
        <f t="shared" si="2"/>
        <v>71</v>
      </c>
      <c r="M27" s="13">
        <f ca="1">E11</f>
        <v>0</v>
      </c>
      <c r="N27" s="13">
        <f>B11</f>
        <v>1.8018018018018018E-2</v>
      </c>
      <c r="O27" s="12"/>
      <c r="P27" s="12"/>
      <c r="Q27" s="12"/>
    </row>
    <row r="29" spans="2:17" ht="22.05" customHeight="1" x14ac:dyDescent="0.3">
      <c r="B29" s="71" t="s">
        <v>63</v>
      </c>
      <c r="C29" s="72"/>
      <c r="D29" s="72"/>
      <c r="E29" s="72"/>
      <c r="F29" s="72"/>
      <c r="G29" s="72"/>
      <c r="H29" s="72"/>
      <c r="J29" s="71" t="s">
        <v>64</v>
      </c>
      <c r="K29" s="72"/>
      <c r="L29" s="72"/>
      <c r="N29" s="71" t="s">
        <v>65</v>
      </c>
      <c r="O29" s="72"/>
      <c r="P29" s="72"/>
      <c r="Q29" s="72"/>
    </row>
    <row r="30" spans="2:17" x14ac:dyDescent="0.3">
      <c r="B30" s="82" t="s">
        <v>66</v>
      </c>
      <c r="C30" s="83"/>
      <c r="D30" s="84"/>
      <c r="E30" s="5" t="s">
        <v>46</v>
      </c>
      <c r="F30" s="5" t="s">
        <v>67</v>
      </c>
      <c r="G30" s="5" t="s">
        <v>68</v>
      </c>
      <c r="H30" s="5" t="s">
        <v>69</v>
      </c>
      <c r="J30" s="5" t="s">
        <v>70</v>
      </c>
      <c r="K30" s="5" t="s">
        <v>71</v>
      </c>
      <c r="L30" s="5" t="s">
        <v>72</v>
      </c>
      <c r="N30" s="82" t="s">
        <v>73</v>
      </c>
      <c r="O30" s="84"/>
      <c r="P30" s="5" t="s">
        <v>68</v>
      </c>
      <c r="Q30" s="5" t="s">
        <v>74</v>
      </c>
    </row>
    <row r="31" spans="2:17" x14ac:dyDescent="0.3">
      <c r="B31" s="108" t="s">
        <v>75</v>
      </c>
      <c r="C31" s="69"/>
      <c r="D31" s="69"/>
      <c r="E31" s="10">
        <f>COUNTIFS('Master Tracker'!$F$6:$F$400,"P0",'Master Tracker'!$A$6:$A$400,"?*")</f>
        <v>73</v>
      </c>
      <c r="F31" s="10">
        <f>COUNTIFS('Master Tracker'!$F$6:$F$400,"P0",'Master Tracker'!$G$6:$G$400,"Completed")</f>
        <v>2</v>
      </c>
      <c r="G31" s="10">
        <f>E31-F31</f>
        <v>71</v>
      </c>
      <c r="H31" s="11">
        <f>IFERROR(F31/E31,0)</f>
        <v>2.7397260273972601E-2</v>
      </c>
      <c r="J31" s="14" t="s">
        <v>76</v>
      </c>
      <c r="K31" s="14">
        <f>COUNTIFS('Master Tracker'!$G$6:$G$400,"Not Started",'Master Tracker'!$A$6:$A$400,"?*")</f>
        <v>109</v>
      </c>
      <c r="L31" s="15">
        <f t="shared" ref="L31:L37" si="3">IFERROR(K31/$B$16,0)</f>
        <v>0.98198198198198194</v>
      </c>
      <c r="N31" s="69" t="s">
        <v>77</v>
      </c>
      <c r="O31" s="69"/>
      <c r="P31" s="10">
        <f>COUNTIFS('Master Tracker'!$S$6:$S$400,"Credentials",'Master Tracker'!$G$6:$G$400,"&lt;&gt;Completed",'Master Tracker'!$A$6:$A$400,"?*")</f>
        <v>6</v>
      </c>
      <c r="Q31" s="16">
        <f>IF(P31=0,"—",_xlfn.MINIFS('Master Tracker'!$I$6:$I$400,'Master Tracker'!$S$6:$S$400,"Credentials",'Master Tracker'!$G$6:$G$400,"&lt;&gt;Completed"))</f>
        <v>46308</v>
      </c>
    </row>
    <row r="32" spans="2:17" x14ac:dyDescent="0.3">
      <c r="B32" s="124" t="s">
        <v>78</v>
      </c>
      <c r="C32" s="74"/>
      <c r="D32" s="74"/>
      <c r="E32" s="7">
        <f>COUNTIFS('Master Tracker'!$F$6:$F$400,"P1",'Master Tracker'!$A$6:$A$400,"?*")</f>
        <v>34</v>
      </c>
      <c r="F32" s="7">
        <f>COUNTIFS('Master Tracker'!$F$6:$F$400,"P1",'Master Tracker'!$G$6:$G$400,"Completed")</f>
        <v>0</v>
      </c>
      <c r="G32" s="7">
        <f>E32-F32</f>
        <v>34</v>
      </c>
      <c r="H32" s="8">
        <f>IFERROR(F32/E32,0)</f>
        <v>0</v>
      </c>
      <c r="J32" s="17" t="s">
        <v>79</v>
      </c>
      <c r="K32" s="17">
        <f>COUNTIFS('Master Tracker'!$G$6:$G$400,"In Progress",'Master Tracker'!$A$6:$A$400,"?*")</f>
        <v>0</v>
      </c>
      <c r="L32" s="18">
        <f t="shared" si="3"/>
        <v>0</v>
      </c>
      <c r="N32" s="74" t="s">
        <v>80</v>
      </c>
      <c r="O32" s="74"/>
      <c r="P32" s="7">
        <f>COUNTIFS('Master Tracker'!$S$6:$S$400,"Payment Approval",'Master Tracker'!$G$6:$G$400,"&lt;&gt;Completed",'Master Tracker'!$A$6:$A$400,"?*")</f>
        <v>3</v>
      </c>
      <c r="Q32" s="19">
        <f>IF(P32=0,"—",_xlfn.MINIFS('Master Tracker'!$I$6:$I$400,'Master Tracker'!$S$6:$S$400,"Payment Approval",'Master Tracker'!$G$6:$G$400,"&lt;&gt;Completed"))</f>
        <v>46317</v>
      </c>
    </row>
    <row r="33" spans="2:17" x14ac:dyDescent="0.3">
      <c r="B33" s="108" t="s">
        <v>81</v>
      </c>
      <c r="C33" s="69"/>
      <c r="D33" s="69"/>
      <c r="E33" s="10">
        <f>COUNTIFS('Master Tracker'!$F$6:$F$400,"P2",'Master Tracker'!$A$6:$A$400,"?*")</f>
        <v>4</v>
      </c>
      <c r="F33" s="10">
        <f>COUNTIFS('Master Tracker'!$F$6:$F$400,"P2",'Master Tracker'!$G$6:$G$400,"Completed")</f>
        <v>0</v>
      </c>
      <c r="G33" s="10">
        <f>E33-F33</f>
        <v>4</v>
      </c>
      <c r="H33" s="11">
        <f>IFERROR(F33/E33,0)</f>
        <v>0</v>
      </c>
      <c r="J33" s="20" t="s">
        <v>48</v>
      </c>
      <c r="K33" s="20">
        <f>COUNTIFS('Master Tracker'!$G$6:$G$400,"Blocked",'Master Tracker'!$A$6:$A$400,"?*")</f>
        <v>0</v>
      </c>
      <c r="L33" s="21">
        <f t="shared" si="3"/>
        <v>0</v>
      </c>
      <c r="N33" s="69" t="s">
        <v>82</v>
      </c>
      <c r="O33" s="69"/>
      <c r="P33" s="10">
        <f>COUNTIFS('Master Tracker'!$S$6:$S$400,"Historical Assets",'Master Tracker'!$G$6:$G$400,"&lt;&gt;Completed",'Master Tracker'!$A$6:$A$400,"?*")</f>
        <v>1</v>
      </c>
      <c r="Q33" s="16">
        <f>IF(P33=0,"—",_xlfn.MINIFS('Master Tracker'!$I$6:$I$400,'Master Tracker'!$S$6:$S$400,"Historical Assets",'Master Tracker'!$G$6:$G$400,"&lt;&gt;Completed"))</f>
        <v>46315</v>
      </c>
    </row>
    <row r="34" spans="2:17" x14ac:dyDescent="0.3">
      <c r="J34" s="22" t="s">
        <v>83</v>
      </c>
      <c r="K34" s="22">
        <f>COUNTIFS('Master Tracker'!$G$6:$G$400,"In Review",'Master Tracker'!$A$6:$A$400,"?*")</f>
        <v>0</v>
      </c>
      <c r="L34" s="23">
        <f t="shared" si="3"/>
        <v>0</v>
      </c>
      <c r="N34" s="74" t="s">
        <v>84</v>
      </c>
      <c r="O34" s="74"/>
      <c r="P34" s="7">
        <f>COUNTIFS('Master Tracker'!$S$6:$S$400,"Server Access",'Master Tracker'!$G$6:$G$400,"&lt;&gt;Completed",'Master Tracker'!$A$6:$A$400,"?*")</f>
        <v>9</v>
      </c>
      <c r="Q34" s="19">
        <f>IF(P34=0,"—",_xlfn.MINIFS('Master Tracker'!$I$6:$I$400,'Master Tracker'!$S$6:$S$400,"Server Access",'Master Tracker'!$G$6:$G$400,"&lt;&gt;Completed"))</f>
        <v>46307</v>
      </c>
    </row>
    <row r="35" spans="2:17" x14ac:dyDescent="0.3">
      <c r="B35" s="121" t="str">
        <f ca="1">IF(N16+L16=0,"✓ No overdue or blocked tasks.","⚠ "&amp;N16&amp;" overdue and "&amp;L16&amp;" blocked task(s). See the lists below and the Master Tracker Alert column.")</f>
        <v>✓ No overdue or blocked tasks.</v>
      </c>
      <c r="C35" s="86"/>
      <c r="D35" s="86"/>
      <c r="E35" s="86"/>
      <c r="F35" s="86"/>
      <c r="G35" s="86"/>
      <c r="H35" s="86"/>
      <c r="J35" s="22" t="s">
        <v>85</v>
      </c>
      <c r="K35" s="22">
        <f>COUNTIFS('Master Tracker'!$G$6:$G$400,"Testing",'Master Tracker'!$A$6:$A$400,"?*")</f>
        <v>0</v>
      </c>
      <c r="L35" s="23">
        <f t="shared" si="3"/>
        <v>0</v>
      </c>
      <c r="N35" s="69" t="s">
        <v>86</v>
      </c>
      <c r="O35" s="69"/>
      <c r="P35" s="10">
        <f>COUNTIFS('Master Tracker'!$S$6:$S$400,"Client Content",'Master Tracker'!$G$6:$G$400,"&lt;&gt;Completed",'Master Tracker'!$A$6:$A$400,"?*")</f>
        <v>4</v>
      </c>
      <c r="Q35" s="16">
        <f>IF(P35=0,"—",_xlfn.MINIFS('Master Tracker'!$I$6:$I$400,'Master Tracker'!$S$6:$S$400,"Client Content",'Master Tracker'!$G$6:$G$400,"&lt;&gt;Completed"))</f>
        <v>46320</v>
      </c>
    </row>
    <row r="36" spans="2:17" x14ac:dyDescent="0.3">
      <c r="B36" s="86"/>
      <c r="C36" s="86"/>
      <c r="D36" s="86"/>
      <c r="E36" s="86"/>
      <c r="F36" s="86"/>
      <c r="G36" s="86"/>
      <c r="H36" s="86"/>
      <c r="J36" s="24" t="s">
        <v>67</v>
      </c>
      <c r="K36" s="24">
        <f>COUNTIFS('Master Tracker'!$G$6:$G$400,"Completed",'Master Tracker'!$A$6:$A$400,"?*")</f>
        <v>2</v>
      </c>
      <c r="L36" s="25">
        <f t="shared" si="3"/>
        <v>1.8018018018018018E-2</v>
      </c>
    </row>
    <row r="37" spans="2:17" x14ac:dyDescent="0.3">
      <c r="B37" s="86"/>
      <c r="C37" s="86"/>
      <c r="D37" s="86"/>
      <c r="E37" s="86"/>
      <c r="F37" s="86"/>
      <c r="G37" s="86"/>
      <c r="H37" s="86"/>
      <c r="J37" s="20" t="s">
        <v>49</v>
      </c>
      <c r="K37" s="20">
        <f ca="1">N16</f>
        <v>0</v>
      </c>
      <c r="L37" s="21">
        <f t="shared" ca="1" si="3"/>
        <v>0</v>
      </c>
    </row>
    <row r="40" spans="2:17" ht="22.05" customHeight="1" x14ac:dyDescent="0.3">
      <c r="B40" s="71" t="s">
        <v>87</v>
      </c>
      <c r="C40" s="72"/>
      <c r="D40" s="72"/>
      <c r="E40" s="72"/>
      <c r="F40" s="72"/>
      <c r="G40" s="72"/>
      <c r="H40" s="72"/>
      <c r="I40" s="72"/>
      <c r="J40" s="72"/>
      <c r="K40" s="72"/>
      <c r="L40" s="72"/>
      <c r="M40" s="72"/>
      <c r="N40" s="72"/>
      <c r="O40" s="72"/>
      <c r="P40" s="72"/>
      <c r="Q40" s="72"/>
    </row>
    <row r="58" spans="2:20" ht="22.05" customHeight="1" x14ac:dyDescent="0.3">
      <c r="B58" s="71" t="s">
        <v>88</v>
      </c>
      <c r="C58" s="72"/>
      <c r="D58" s="72"/>
      <c r="E58" s="72"/>
      <c r="F58" s="72"/>
      <c r="G58" s="72"/>
      <c r="H58" s="72"/>
      <c r="I58" s="72"/>
      <c r="K58" s="71" t="s">
        <v>89</v>
      </c>
      <c r="L58" s="72"/>
      <c r="M58" s="72"/>
      <c r="N58" s="72"/>
      <c r="O58" s="72"/>
      <c r="P58" s="72"/>
      <c r="Q58" s="72"/>
    </row>
    <row r="59" spans="2:20" x14ac:dyDescent="0.3">
      <c r="B59" s="5" t="s">
        <v>90</v>
      </c>
      <c r="C59" s="82" t="s">
        <v>91</v>
      </c>
      <c r="D59" s="83"/>
      <c r="E59" s="84"/>
      <c r="F59" s="5" t="s">
        <v>43</v>
      </c>
      <c r="G59" s="5" t="s">
        <v>92</v>
      </c>
      <c r="H59" s="5" t="s">
        <v>93</v>
      </c>
      <c r="I59" s="5" t="s">
        <v>70</v>
      </c>
      <c r="K59" s="5" t="s">
        <v>90</v>
      </c>
      <c r="L59" s="82" t="s">
        <v>91</v>
      </c>
      <c r="M59" s="84"/>
      <c r="N59" s="5" t="s">
        <v>70</v>
      </c>
      <c r="O59" s="82" t="s">
        <v>94</v>
      </c>
      <c r="P59" s="83"/>
      <c r="Q59" s="84"/>
    </row>
    <row r="60" spans="2:20" x14ac:dyDescent="0.3">
      <c r="B60" s="7" t="str">
        <f ca="1">IF($S60="","",INDEX('Master Tracker'!$A$6:$A$400,$S60))</f>
        <v>P1-03</v>
      </c>
      <c r="C60" s="73" t="str">
        <f ca="1">IF($S60="","",INDEX('Master Tracker'!$D$6:$D$400,$S60))</f>
        <v>Theme setup: supports, menus, image sizes</v>
      </c>
      <c r="D60" s="74"/>
      <c r="E60" s="74"/>
      <c r="F60" s="7" t="str">
        <f ca="1">IF($S60="","",INDEX('Master Tracker'!$B$6:$B$400,$S60))</f>
        <v>Phase 1</v>
      </c>
      <c r="G60" s="19">
        <f ca="1">IF($S60="","",INDEX('Master Tracker'!$I$6:$I$400,$S60))</f>
        <v>46307</v>
      </c>
      <c r="H60" s="7">
        <f ca="1">IF($S60="","",INDEX('Master Tracker'!$W$6:$W$400,$S60))</f>
        <v>1</v>
      </c>
      <c r="I60" s="7" t="str">
        <f ca="1">IF($S60="","",INDEX('Master Tracker'!$G$6:$G$400,$S60))</f>
        <v>Not Started</v>
      </c>
      <c r="K60" s="7" t="str">
        <f>IF($T60="","",INDEX('Master Tracker'!$A:$A,$T60))</f>
        <v/>
      </c>
      <c r="L60" s="73" t="str">
        <f>IF($T60="","",INDEX('Master Tracker'!$D:$D,$T60))</f>
        <v/>
      </c>
      <c r="M60" s="74"/>
      <c r="N60" s="7" t="str">
        <f>IF($T60="","",INDEX('Master Tracker'!$G:$G,$T60))</f>
        <v/>
      </c>
      <c r="O60" s="73" t="str">
        <f>IF($T60="","",INDEX('Master Tracker'!$P:$P,$T60))</f>
        <v/>
      </c>
      <c r="P60" s="74"/>
      <c r="Q60" s="74"/>
      <c r="S60">
        <f ca="1">IFERROR(MATCH(SMALL('Master Tracker'!$AA$6:$AA$400,1),'Master Tracker'!$AA$6:$AA$400,0),"")</f>
        <v>3</v>
      </c>
      <c r="T60" t="str">
        <f>IFERROR(SMALL('Master Tracker'!$AB$6:$AB$400,1),"")</f>
        <v/>
      </c>
    </row>
    <row r="61" spans="2:20" x14ac:dyDescent="0.3">
      <c r="B61" s="10" t="str">
        <f ca="1">IF($S61="","",INDEX('Master Tracker'!$A$6:$A$400,$S61))</f>
        <v>P1-04</v>
      </c>
      <c r="C61" s="68" t="str">
        <f ca="1">IF($S61="","",INDEX('Master Tracker'!$D$6:$D$400,$S61))</f>
        <v>Asset enqueue, versioning &amp; conditional loading</v>
      </c>
      <c r="D61" s="69"/>
      <c r="E61" s="69"/>
      <c r="F61" s="10" t="str">
        <f ca="1">IF($S61="","",INDEX('Master Tracker'!$B$6:$B$400,$S61))</f>
        <v>Phase 1</v>
      </c>
      <c r="G61" s="16">
        <f ca="1">IF($S61="","",INDEX('Master Tracker'!$I$6:$I$400,$S61))</f>
        <v>46307</v>
      </c>
      <c r="H61" s="10">
        <f ca="1">IF($S61="","",INDEX('Master Tracker'!$W$6:$W$400,$S61))</f>
        <v>1</v>
      </c>
      <c r="I61" s="10" t="str">
        <f ca="1">IF($S61="","",INDEX('Master Tracker'!$G$6:$G$400,$S61))</f>
        <v>Not Started</v>
      </c>
      <c r="K61" s="10" t="str">
        <f>IF($T61="","",INDEX('Master Tracker'!$A:$A,$T61))</f>
        <v/>
      </c>
      <c r="L61" s="68" t="str">
        <f>IF($T61="","",INDEX('Master Tracker'!$D:$D,$T61))</f>
        <v/>
      </c>
      <c r="M61" s="69"/>
      <c r="N61" s="10" t="str">
        <f>IF($T61="","",INDEX('Master Tracker'!$G:$G,$T61))</f>
        <v/>
      </c>
      <c r="O61" s="68" t="str">
        <f>IF($T61="","",INDEX('Master Tracker'!$P:$P,$T61))</f>
        <v/>
      </c>
      <c r="P61" s="69"/>
      <c r="Q61" s="69"/>
      <c r="S61">
        <f ca="1">IFERROR(MATCH(SMALL('Master Tracker'!$AA$6:$AA$400,2),'Master Tracker'!$AA$6:$AA$400,0),"")</f>
        <v>4</v>
      </c>
      <c r="T61" t="str">
        <f>IFERROR(SMALL('Master Tracker'!$AB$6:$AB$400,2),"")</f>
        <v/>
      </c>
    </row>
    <row r="62" spans="2:20" x14ac:dyDescent="0.3">
      <c r="B62" s="7" t="str">
        <f ca="1">IF($S62="","",INDEX('Master Tracker'!$A$6:$A$400,$S62))</f>
        <v>P1-05</v>
      </c>
      <c r="C62" s="73" t="str">
        <f ca="1">IF($S62="","",INDEX('Master Tracker'!$D$6:$D$400,$S62))</f>
        <v>Base template hierarchy</v>
      </c>
      <c r="D62" s="74"/>
      <c r="E62" s="74"/>
      <c r="F62" s="7" t="str">
        <f ca="1">IF($S62="","",INDEX('Master Tracker'!$B$6:$B$400,$S62))</f>
        <v>Phase 1</v>
      </c>
      <c r="G62" s="19">
        <f ca="1">IF($S62="","",INDEX('Master Tracker'!$I$6:$I$400,$S62))</f>
        <v>46307</v>
      </c>
      <c r="H62" s="7">
        <f ca="1">IF($S62="","",INDEX('Master Tracker'!$W$6:$W$400,$S62))</f>
        <v>1</v>
      </c>
      <c r="I62" s="7" t="str">
        <f ca="1">IF($S62="","",INDEX('Master Tracker'!$G$6:$G$400,$S62))</f>
        <v>Not Started</v>
      </c>
      <c r="K62" s="7" t="str">
        <f>IF($T62="","",INDEX('Master Tracker'!$A:$A,$T62))</f>
        <v/>
      </c>
      <c r="L62" s="73" t="str">
        <f>IF($T62="","",INDEX('Master Tracker'!$D:$D,$T62))</f>
        <v/>
      </c>
      <c r="M62" s="74"/>
      <c r="N62" s="7" t="str">
        <f>IF($T62="","",INDEX('Master Tracker'!$G:$G,$T62))</f>
        <v/>
      </c>
      <c r="O62" s="73" t="str">
        <f>IF($T62="","",INDEX('Master Tracker'!$P:$P,$T62))</f>
        <v/>
      </c>
      <c r="P62" s="74"/>
      <c r="Q62" s="74"/>
      <c r="S62">
        <f ca="1">IFERROR(MATCH(SMALL('Master Tracker'!$AA$6:$AA$400,3),'Master Tracker'!$AA$6:$AA$400,0),"")</f>
        <v>5</v>
      </c>
      <c r="T62" t="str">
        <f>IFERROR(SMALL('Master Tracker'!$AB$6:$AB$400,3),"")</f>
        <v/>
      </c>
    </row>
    <row r="63" spans="2:20" x14ac:dyDescent="0.3">
      <c r="B63" s="10" t="str">
        <f ca="1">IF($S63="","",INDEX('Master Tracker'!$A$6:$A$400,$S63))</f>
        <v>P1-06</v>
      </c>
      <c r="C63" s="68" t="str">
        <f ca="1">IF($S63="","",INDEX('Master Tracker'!$D$6:$D$400,$S63))</f>
        <v>Reusable template-part components</v>
      </c>
      <c r="D63" s="69"/>
      <c r="E63" s="69"/>
      <c r="F63" s="10" t="str">
        <f ca="1">IF($S63="","",INDEX('Master Tracker'!$B$6:$B$400,$S63))</f>
        <v>Phase 1</v>
      </c>
      <c r="G63" s="16">
        <f ca="1">IF($S63="","",INDEX('Master Tracker'!$I$6:$I$400,$S63))</f>
        <v>46307</v>
      </c>
      <c r="H63" s="10">
        <f ca="1">IF($S63="","",INDEX('Master Tracker'!$W$6:$W$400,$S63))</f>
        <v>1</v>
      </c>
      <c r="I63" s="10" t="str">
        <f ca="1">IF($S63="","",INDEX('Master Tracker'!$G$6:$G$400,$S63))</f>
        <v>Not Started</v>
      </c>
      <c r="K63" s="10" t="str">
        <f>IF($T63="","",INDEX('Master Tracker'!$A:$A,$T63))</f>
        <v/>
      </c>
      <c r="L63" s="68" t="str">
        <f>IF($T63="","",INDEX('Master Tracker'!$D:$D,$T63))</f>
        <v/>
      </c>
      <c r="M63" s="69"/>
      <c r="N63" s="10" t="str">
        <f>IF($T63="","",INDEX('Master Tracker'!$G:$G,$T63))</f>
        <v/>
      </c>
      <c r="O63" s="68" t="str">
        <f>IF($T63="","",INDEX('Master Tracker'!$P:$P,$T63))</f>
        <v/>
      </c>
      <c r="P63" s="69"/>
      <c r="Q63" s="69"/>
      <c r="S63">
        <f ca="1">IFERROR(MATCH(SMALL('Master Tracker'!$AA$6:$AA$400,4),'Master Tracker'!$AA$6:$AA$400,0),"")</f>
        <v>6</v>
      </c>
      <c r="T63" t="str">
        <f>IFERROR(SMALL('Master Tracker'!$AB$6:$AB$400,4),"")</f>
        <v/>
      </c>
    </row>
    <row r="64" spans="2:20" x14ac:dyDescent="0.3">
      <c r="B64" s="7" t="str">
        <f ca="1">IF($S64="","",INDEX('Master Tracker'!$A$6:$A$400,$S64))</f>
        <v>P6-01</v>
      </c>
      <c r="C64" s="73" t="str">
        <f ca="1">IF($S64="","",INDEX('Master Tracker'!$D$6:$D$400,$S64))</f>
        <v>Full production backup (files + DB) before any work</v>
      </c>
      <c r="D64" s="74"/>
      <c r="E64" s="74"/>
      <c r="F64" s="7" t="str">
        <f ca="1">IF($S64="","",INDEX('Master Tracker'!$B$6:$B$400,$S64))</f>
        <v>Phase 6</v>
      </c>
      <c r="G64" s="19">
        <f ca="1">IF($S64="","",INDEX('Master Tracker'!$I$6:$I$400,$S64))</f>
        <v>46307</v>
      </c>
      <c r="H64" s="7">
        <f ca="1">IF($S64="","",INDEX('Master Tracker'!$W$6:$W$400,$S64))</f>
        <v>1</v>
      </c>
      <c r="I64" s="7" t="str">
        <f ca="1">IF($S64="","",INDEX('Master Tracker'!$G$6:$G$400,$S64))</f>
        <v>Not Started</v>
      </c>
      <c r="K64" s="7" t="str">
        <f>IF($T64="","",INDEX('Master Tracker'!$A:$A,$T64))</f>
        <v/>
      </c>
      <c r="L64" s="73" t="str">
        <f>IF($T64="","",INDEX('Master Tracker'!$D:$D,$T64))</f>
        <v/>
      </c>
      <c r="M64" s="74"/>
      <c r="N64" s="7" t="str">
        <f>IF($T64="","",INDEX('Master Tracker'!$G:$G,$T64))</f>
        <v/>
      </c>
      <c r="O64" s="73" t="str">
        <f>IF($T64="","",INDEX('Master Tracker'!$P:$P,$T64))</f>
        <v/>
      </c>
      <c r="P64" s="74"/>
      <c r="Q64" s="74"/>
      <c r="S64">
        <f ca="1">IFERROR(MATCH(SMALL('Master Tracker'!$AA$6:$AA$400,5),'Master Tracker'!$AA$6:$AA$400,0),"")</f>
        <v>90</v>
      </c>
      <c r="T64" t="str">
        <f>IFERROR(SMALL('Master Tracker'!$AB$6:$AB$400,5),"")</f>
        <v/>
      </c>
    </row>
    <row r="65" spans="2:20" x14ac:dyDescent="0.3">
      <c r="B65" s="10" t="str">
        <f ca="1">IF($S65="","",INDEX('Master Tracker'!$A$6:$A$400,$S65))</f>
        <v>P6-02</v>
      </c>
      <c r="C65" s="68" t="str">
        <f ca="1">IF($S65="","",INDEX('Master Tracker'!$D$6:$D$400,$S65))</f>
        <v>Verify staging mirrors production</v>
      </c>
      <c r="D65" s="69"/>
      <c r="E65" s="69"/>
      <c r="F65" s="10" t="str">
        <f ca="1">IF($S65="","",INDEX('Master Tracker'!$B$6:$B$400,$S65))</f>
        <v>Phase 6</v>
      </c>
      <c r="G65" s="16">
        <f ca="1">IF($S65="","",INDEX('Master Tracker'!$I$6:$I$400,$S65))</f>
        <v>46307</v>
      </c>
      <c r="H65" s="10">
        <f ca="1">IF($S65="","",INDEX('Master Tracker'!$W$6:$W$400,$S65))</f>
        <v>1</v>
      </c>
      <c r="I65" s="10" t="str">
        <f ca="1">IF($S65="","",INDEX('Master Tracker'!$G$6:$G$400,$S65))</f>
        <v>Not Started</v>
      </c>
      <c r="K65" s="10" t="str">
        <f>IF($T65="","",INDEX('Master Tracker'!$A:$A,$T65))</f>
        <v/>
      </c>
      <c r="L65" s="68" t="str">
        <f>IF($T65="","",INDEX('Master Tracker'!$D:$D,$T65))</f>
        <v/>
      </c>
      <c r="M65" s="69"/>
      <c r="N65" s="10" t="str">
        <f>IF($T65="","",INDEX('Master Tracker'!$G:$G,$T65))</f>
        <v/>
      </c>
      <c r="O65" s="68" t="str">
        <f>IF($T65="","",INDEX('Master Tracker'!$P:$P,$T65))</f>
        <v/>
      </c>
      <c r="P65" s="69"/>
      <c r="Q65" s="69"/>
      <c r="S65">
        <f ca="1">IFERROR(MATCH(SMALL('Master Tracker'!$AA$6:$AA$400,6),'Master Tracker'!$AA$6:$AA$400,0),"")</f>
        <v>91</v>
      </c>
      <c r="T65" t="str">
        <f>IFERROR(SMALL('Master Tracker'!$AB$6:$AB$400,6),"")</f>
        <v/>
      </c>
    </row>
    <row r="66" spans="2:20" x14ac:dyDescent="0.3">
      <c r="B66" s="7" t="str">
        <f ca="1">IF($S66="","",INDEX('Master Tracker'!$A$6:$A$400,$S66))</f>
        <v>P1-07</v>
      </c>
      <c r="C66" s="73" t="str">
        <f ca="1">IF($S66="","",INDEX('Master Tracker'!$D$6:$D$400,$S66))</f>
        <v>CSS architecture &amp; design tokens</v>
      </c>
      <c r="D66" s="74"/>
      <c r="E66" s="74"/>
      <c r="F66" s="7" t="str">
        <f ca="1">IF($S66="","",INDEX('Master Tracker'!$B$6:$B$400,$S66))</f>
        <v>Phase 1</v>
      </c>
      <c r="G66" s="19">
        <f ca="1">IF($S66="","",INDEX('Master Tracker'!$I$6:$I$400,$S66))</f>
        <v>46308</v>
      </c>
      <c r="H66" s="7">
        <f ca="1">IF($S66="","",INDEX('Master Tracker'!$W$6:$W$400,$S66))</f>
        <v>2</v>
      </c>
      <c r="I66" s="7" t="str">
        <f ca="1">IF($S66="","",INDEX('Master Tracker'!$G$6:$G$400,$S66))</f>
        <v>Not Started</v>
      </c>
      <c r="K66" s="7" t="str">
        <f>IF($T66="","",INDEX('Master Tracker'!$A:$A,$T66))</f>
        <v/>
      </c>
      <c r="L66" s="73" t="str">
        <f>IF($T66="","",INDEX('Master Tracker'!$D:$D,$T66))</f>
        <v/>
      </c>
      <c r="M66" s="74"/>
      <c r="N66" s="7" t="str">
        <f>IF($T66="","",INDEX('Master Tracker'!$G:$G,$T66))</f>
        <v/>
      </c>
      <c r="O66" s="73" t="str">
        <f>IF($T66="","",INDEX('Master Tracker'!$P:$P,$T66))</f>
        <v/>
      </c>
      <c r="P66" s="74"/>
      <c r="Q66" s="74"/>
      <c r="S66">
        <f ca="1">IFERROR(MATCH(SMALL('Master Tracker'!$AA$6:$AA$400,7),'Master Tracker'!$AA$6:$AA$400,0),"")</f>
        <v>7</v>
      </c>
      <c r="T66" t="str">
        <f>IFERROR(SMALL('Master Tracker'!$AB$6:$AB$400,7),"")</f>
        <v/>
      </c>
    </row>
    <row r="67" spans="2:20" x14ac:dyDescent="0.3">
      <c r="B67" s="10" t="str">
        <f ca="1">IF($S67="","",INDEX('Master Tracker'!$A$6:$A$400,$S67))</f>
        <v>P1-08</v>
      </c>
      <c r="C67" s="68" t="str">
        <f ca="1">IF($S67="","",INDEX('Master Tracker'!$D$6:$D$400,$S67))</f>
        <v>Vanilla JS module architecture</v>
      </c>
      <c r="D67" s="69"/>
      <c r="E67" s="69"/>
      <c r="F67" s="10" t="str">
        <f ca="1">IF($S67="","",INDEX('Master Tracker'!$B$6:$B$400,$S67))</f>
        <v>Phase 1</v>
      </c>
      <c r="G67" s="16">
        <f ca="1">IF($S67="","",INDEX('Master Tracker'!$I$6:$I$400,$S67))</f>
        <v>46308</v>
      </c>
      <c r="H67" s="10">
        <f ca="1">IF($S67="","",INDEX('Master Tracker'!$W$6:$W$400,$S67))</f>
        <v>2</v>
      </c>
      <c r="I67" s="10" t="str">
        <f ca="1">IF($S67="","",INDEX('Master Tracker'!$G$6:$G$400,$S67))</f>
        <v>Not Started</v>
      </c>
      <c r="K67" s="10" t="str">
        <f>IF($T67="","",INDEX('Master Tracker'!$A:$A,$T67))</f>
        <v/>
      </c>
      <c r="L67" s="68" t="str">
        <f>IF($T67="","",INDEX('Master Tracker'!$D:$D,$T67))</f>
        <v/>
      </c>
      <c r="M67" s="69"/>
      <c r="N67" s="10" t="str">
        <f>IF($T67="","",INDEX('Master Tracker'!$G:$G,$T67))</f>
        <v/>
      </c>
      <c r="O67" s="68" t="str">
        <f>IF($T67="","",INDEX('Master Tracker'!$P:$P,$T67))</f>
        <v/>
      </c>
      <c r="P67" s="69"/>
      <c r="Q67" s="69"/>
      <c r="S67">
        <f ca="1">IFERROR(MATCH(SMALL('Master Tracker'!$AA$6:$AA$400,8),'Master Tracker'!$AA$6:$AA$400,0),"")</f>
        <v>8</v>
      </c>
      <c r="T67" t="str">
        <f>IFERROR(SMALL('Master Tracker'!$AB$6:$AB$400,8),"")</f>
        <v/>
      </c>
    </row>
    <row r="68" spans="2:20" x14ac:dyDescent="0.3">
      <c r="B68" s="7" t="str">
        <f ca="1">IF($S68="","",INDEX('Master Tracker'!$A$6:$A$400,$S68))</f>
        <v>P1-09</v>
      </c>
      <c r="C68" s="73" t="str">
        <f ca="1">IF($S68="","",INDEX('Master Tracker'!$D$6:$D$400,$S68))</f>
        <v>RTL layout &amp; Arabic typography</v>
      </c>
      <c r="D68" s="74"/>
      <c r="E68" s="74"/>
      <c r="F68" s="7" t="str">
        <f ca="1">IF($S68="","",INDEX('Master Tracker'!$B$6:$B$400,$S68))</f>
        <v>Phase 1</v>
      </c>
      <c r="G68" s="19">
        <f ca="1">IF($S68="","",INDEX('Master Tracker'!$I$6:$I$400,$S68))</f>
        <v>46308</v>
      </c>
      <c r="H68" s="7">
        <f ca="1">IF($S68="","",INDEX('Master Tracker'!$W$6:$W$400,$S68))</f>
        <v>2</v>
      </c>
      <c r="I68" s="7" t="str">
        <f ca="1">IF($S68="","",INDEX('Master Tracker'!$G$6:$G$400,$S68))</f>
        <v>Not Started</v>
      </c>
      <c r="K68" s="7" t="str">
        <f>IF($T68="","",INDEX('Master Tracker'!$A:$A,$T68))</f>
        <v/>
      </c>
      <c r="L68" s="73" t="str">
        <f>IF($T68="","",INDEX('Master Tracker'!$D:$D,$T68))</f>
        <v/>
      </c>
      <c r="M68" s="74"/>
      <c r="N68" s="7" t="str">
        <f>IF($T68="","",INDEX('Master Tracker'!$G:$G,$T68))</f>
        <v/>
      </c>
      <c r="O68" s="73" t="str">
        <f>IF($T68="","",INDEX('Master Tracker'!$P:$P,$T68))</f>
        <v/>
      </c>
      <c r="P68" s="74"/>
      <c r="Q68" s="74"/>
      <c r="S68">
        <f ca="1">IFERROR(MATCH(SMALL('Master Tracker'!$AA$6:$AA$400,9),'Master Tracker'!$AA$6:$AA$400,0),"")</f>
        <v>9</v>
      </c>
      <c r="T68" t="str">
        <f>IFERROR(SMALL('Master Tracker'!$AB$6:$AB$400,9),"")</f>
        <v/>
      </c>
    </row>
    <row r="69" spans="2:20" x14ac:dyDescent="0.3">
      <c r="B69" s="10" t="str">
        <f ca="1">IF($S69="","",INDEX('Master Tracker'!$A$6:$A$400,$S69))</f>
        <v>P1-10</v>
      </c>
      <c r="C69" s="68" t="str">
        <f ca="1">IF($S69="","",INDEX('Master Tracker'!$D$6:$D$400,$S69))</f>
        <v>Responsive grid &amp; breakpoints</v>
      </c>
      <c r="D69" s="69"/>
      <c r="E69" s="69"/>
      <c r="F69" s="10" t="str">
        <f ca="1">IF($S69="","",INDEX('Master Tracker'!$B$6:$B$400,$S69))</f>
        <v>Phase 1</v>
      </c>
      <c r="G69" s="16">
        <f ca="1">IF($S69="","",INDEX('Master Tracker'!$I$6:$I$400,$S69))</f>
        <v>46308</v>
      </c>
      <c r="H69" s="10">
        <f ca="1">IF($S69="","",INDEX('Master Tracker'!$W$6:$W$400,$S69))</f>
        <v>2</v>
      </c>
      <c r="I69" s="10" t="str">
        <f ca="1">IF($S69="","",INDEX('Master Tracker'!$G$6:$G$400,$S69))</f>
        <v>Not Started</v>
      </c>
      <c r="K69" s="10" t="str">
        <f>IF($T69="","",INDEX('Master Tracker'!$A:$A,$T69))</f>
        <v/>
      </c>
      <c r="L69" s="68" t="str">
        <f>IF($T69="","",INDEX('Master Tracker'!$D:$D,$T69))</f>
        <v/>
      </c>
      <c r="M69" s="69"/>
      <c r="N69" s="10" t="str">
        <f>IF($T69="","",INDEX('Master Tracker'!$G:$G,$T69))</f>
        <v/>
      </c>
      <c r="O69" s="68" t="str">
        <f>IF($T69="","",INDEX('Master Tracker'!$P:$P,$T69))</f>
        <v/>
      </c>
      <c r="P69" s="69"/>
      <c r="Q69" s="69"/>
      <c r="S69">
        <f ca="1">IFERROR(MATCH(SMALL('Master Tracker'!$AA$6:$AA$400,10),'Master Tracker'!$AA$6:$AA$400,0),"")</f>
        <v>10</v>
      </c>
      <c r="T69" t="str">
        <f>IFERROR(SMALL('Master Tracker'!$AB$6:$AB$400,10),"")</f>
        <v/>
      </c>
    </row>
    <row r="70" spans="2:20" x14ac:dyDescent="0.3">
      <c r="K70" s="118" t="str">
        <f>IF(COUNT(T60:T69)=0,"✓ No blockers recorded",IF(COUNT('Master Tracker'!AB6:AB400)&gt;10,"+ more blockers — filter Master Tracker by Status = Blocked",""))</f>
        <v>✓ No blockers recorded</v>
      </c>
      <c r="L70" s="86"/>
      <c r="M70" s="86"/>
      <c r="N70" s="86"/>
      <c r="O70" s="86"/>
      <c r="P70" s="86"/>
      <c r="Q70" s="86"/>
    </row>
    <row r="72" spans="2:20" ht="22.05" customHeight="1" x14ac:dyDescent="0.3">
      <c r="B72" s="71" t="s">
        <v>95</v>
      </c>
      <c r="C72" s="72"/>
      <c r="D72" s="72"/>
      <c r="E72" s="72"/>
      <c r="F72" s="72"/>
      <c r="G72" s="72"/>
      <c r="H72" s="72"/>
      <c r="I72" s="72"/>
      <c r="J72" s="72"/>
      <c r="K72" s="72"/>
      <c r="L72" s="72"/>
      <c r="M72" s="72"/>
      <c r="N72" s="72"/>
      <c r="O72" s="72"/>
      <c r="P72" s="72"/>
      <c r="Q72" s="72"/>
    </row>
    <row r="73" spans="2:20" ht="18" customHeight="1" x14ac:dyDescent="0.3">
      <c r="B73" s="113" t="s">
        <v>96</v>
      </c>
      <c r="C73" s="86"/>
      <c r="D73" s="86"/>
      <c r="E73" s="86"/>
      <c r="F73" s="86"/>
      <c r="G73" s="86"/>
      <c r="H73" s="86"/>
      <c r="I73" s="86"/>
      <c r="J73" s="86"/>
      <c r="K73" s="86"/>
      <c r="L73" s="86"/>
      <c r="M73" s="86"/>
      <c r="N73" s="86"/>
      <c r="O73" s="86"/>
      <c r="P73" s="86"/>
      <c r="Q73" s="86"/>
    </row>
    <row r="74" spans="2:20" ht="18" customHeight="1" x14ac:dyDescent="0.3">
      <c r="B74" s="113" t="s">
        <v>97</v>
      </c>
      <c r="C74" s="86"/>
      <c r="D74" s="86"/>
      <c r="E74" s="86"/>
      <c r="F74" s="86"/>
      <c r="G74" s="86"/>
      <c r="H74" s="86"/>
      <c r="I74" s="86"/>
      <c r="J74" s="86"/>
      <c r="K74" s="86"/>
      <c r="L74" s="86"/>
      <c r="M74" s="86"/>
      <c r="N74" s="86"/>
      <c r="O74" s="86"/>
      <c r="P74" s="86"/>
      <c r="Q74" s="86"/>
    </row>
    <row r="75" spans="2:20" ht="18" customHeight="1" x14ac:dyDescent="0.3">
      <c r="B75" s="113" t="s">
        <v>98</v>
      </c>
      <c r="C75" s="86"/>
      <c r="D75" s="86"/>
      <c r="E75" s="86"/>
      <c r="F75" s="86"/>
      <c r="G75" s="86"/>
      <c r="H75" s="86"/>
      <c r="I75" s="86"/>
      <c r="J75" s="86"/>
      <c r="K75" s="86"/>
      <c r="L75" s="86"/>
      <c r="M75" s="86"/>
      <c r="N75" s="86"/>
      <c r="O75" s="86"/>
      <c r="P75" s="86"/>
      <c r="Q75" s="86"/>
    </row>
    <row r="76" spans="2:20" ht="18" customHeight="1" x14ac:dyDescent="0.3">
      <c r="B76" s="113" t="s">
        <v>99</v>
      </c>
      <c r="C76" s="86"/>
      <c r="D76" s="86"/>
      <c r="E76" s="86"/>
      <c r="F76" s="86"/>
      <c r="G76" s="86"/>
      <c r="H76" s="86"/>
      <c r="I76" s="86"/>
      <c r="J76" s="86"/>
      <c r="K76" s="86"/>
      <c r="L76" s="86"/>
      <c r="M76" s="86"/>
      <c r="N76" s="86"/>
      <c r="O76" s="86"/>
      <c r="P76" s="86"/>
      <c r="Q76" s="86"/>
    </row>
    <row r="77" spans="2:20" ht="18" customHeight="1" x14ac:dyDescent="0.3">
      <c r="B77" s="113" t="s">
        <v>100</v>
      </c>
      <c r="C77" s="86"/>
      <c r="D77" s="86"/>
      <c r="E77" s="86"/>
      <c r="F77" s="86"/>
      <c r="G77" s="86"/>
      <c r="H77" s="86"/>
      <c r="I77" s="86"/>
      <c r="J77" s="86"/>
      <c r="K77" s="86"/>
      <c r="L77" s="86"/>
      <c r="M77" s="86"/>
      <c r="N77" s="86"/>
      <c r="O77" s="86"/>
      <c r="P77" s="86"/>
      <c r="Q77" s="86"/>
    </row>
    <row r="78" spans="2:20" ht="18" customHeight="1" x14ac:dyDescent="0.3">
      <c r="B78" s="113" t="s">
        <v>101</v>
      </c>
      <c r="C78" s="86"/>
      <c r="D78" s="86"/>
      <c r="E78" s="86"/>
      <c r="F78" s="86"/>
      <c r="G78" s="86"/>
      <c r="H78" s="86"/>
      <c r="I78" s="86"/>
      <c r="J78" s="86"/>
      <c r="K78" s="86"/>
      <c r="L78" s="86"/>
      <c r="M78" s="86"/>
      <c r="N78" s="86"/>
      <c r="O78" s="86"/>
      <c r="P78" s="86"/>
      <c r="Q78" s="86"/>
    </row>
  </sheetData>
  <mergeCells count="126">
    <mergeCell ref="B77:Q77"/>
    <mergeCell ref="C68:E68"/>
    <mergeCell ref="O68:Q68"/>
    <mergeCell ref="N34:O34"/>
    <mergeCell ref="K58:Q58"/>
    <mergeCell ref="B13:Q13"/>
    <mergeCell ref="B78:Q78"/>
    <mergeCell ref="C65:E65"/>
    <mergeCell ref="J17:K17"/>
    <mergeCell ref="B76:Q76"/>
    <mergeCell ref="J15:K15"/>
    <mergeCell ref="L62:M62"/>
    <mergeCell ref="B35:H37"/>
    <mergeCell ref="L15:M15"/>
    <mergeCell ref="H12:J12"/>
    <mergeCell ref="O60:Q60"/>
    <mergeCell ref="B33:D33"/>
    <mergeCell ref="L64:M64"/>
    <mergeCell ref="D16:E16"/>
    <mergeCell ref="C66:E66"/>
    <mergeCell ref="P16:Q16"/>
    <mergeCell ref="B32:D32"/>
    <mergeCell ref="O66:Q66"/>
    <mergeCell ref="L63:M63"/>
    <mergeCell ref="B75:Q75"/>
    <mergeCell ref="N33:O33"/>
    <mergeCell ref="B17:C17"/>
    <mergeCell ref="D17:E17"/>
    <mergeCell ref="C67:E67"/>
    <mergeCell ref="O22:P22"/>
    <mergeCell ref="N17:O17"/>
    <mergeCell ref="P17:Q17"/>
    <mergeCell ref="O67:Q67"/>
    <mergeCell ref="C69:E69"/>
    <mergeCell ref="L60:M60"/>
    <mergeCell ref="C62:E62"/>
    <mergeCell ref="O23:P23"/>
    <mergeCell ref="C64:E64"/>
    <mergeCell ref="B73:Q73"/>
    <mergeCell ref="L67:M67"/>
    <mergeCell ref="K70:Q70"/>
    <mergeCell ref="O24:P24"/>
    <mergeCell ref="B74:Q74"/>
    <mergeCell ref="B58:I58"/>
    <mergeCell ref="A1:R1"/>
    <mergeCell ref="N29:Q29"/>
    <mergeCell ref="N12:P12"/>
    <mergeCell ref="L61:M61"/>
    <mergeCell ref="C63:E63"/>
    <mergeCell ref="B19:Q19"/>
    <mergeCell ref="E10:G10"/>
    <mergeCell ref="O63:Q63"/>
    <mergeCell ref="B7:C7"/>
    <mergeCell ref="B9:Q9"/>
    <mergeCell ref="N32:O32"/>
    <mergeCell ref="F7:G7"/>
    <mergeCell ref="E11:G11"/>
    <mergeCell ref="O20:P20"/>
    <mergeCell ref="H16:I16"/>
    <mergeCell ref="J16:K16"/>
    <mergeCell ref="E12:G12"/>
    <mergeCell ref="M3:Q3"/>
    <mergeCell ref="N11:P11"/>
    <mergeCell ref="H10:J10"/>
    <mergeCell ref="B12:D12"/>
    <mergeCell ref="H7:I7"/>
    <mergeCell ref="E3:H3"/>
    <mergeCell ref="N10:P10"/>
    <mergeCell ref="C61:E61"/>
    <mergeCell ref="O64:Q64"/>
    <mergeCell ref="O61:Q61"/>
    <mergeCell ref="F17:G17"/>
    <mergeCell ref="B72:Q72"/>
    <mergeCell ref="H17:I17"/>
    <mergeCell ref="O21:P21"/>
    <mergeCell ref="L69:M69"/>
    <mergeCell ref="C24:E24"/>
    <mergeCell ref="N30:O30"/>
    <mergeCell ref="B15:C15"/>
    <mergeCell ref="L59:M59"/>
    <mergeCell ref="B31:D31"/>
    <mergeCell ref="D15:E15"/>
    <mergeCell ref="C26:E26"/>
    <mergeCell ref="O69:Q69"/>
    <mergeCell ref="N7:O7"/>
    <mergeCell ref="L16:M16"/>
    <mergeCell ref="N16:O16"/>
    <mergeCell ref="C22:E22"/>
    <mergeCell ref="B6:Q6"/>
    <mergeCell ref="K12:M12"/>
    <mergeCell ref="C59:E59"/>
    <mergeCell ref="B10:D10"/>
    <mergeCell ref="O59:Q59"/>
    <mergeCell ref="L68:M68"/>
    <mergeCell ref="F15:G15"/>
    <mergeCell ref="A2:R2"/>
    <mergeCell ref="C23:E23"/>
    <mergeCell ref="O62:Q62"/>
    <mergeCell ref="O26:P26"/>
    <mergeCell ref="B30:D30"/>
    <mergeCell ref="D7:E7"/>
    <mergeCell ref="K10:M10"/>
    <mergeCell ref="O25:P25"/>
    <mergeCell ref="N31:O31"/>
    <mergeCell ref="J29:L29"/>
    <mergeCell ref="N15:O15"/>
    <mergeCell ref="P15:Q15"/>
    <mergeCell ref="H15:I15"/>
    <mergeCell ref="L65:M65"/>
    <mergeCell ref="B29:H29"/>
    <mergeCell ref="C27:F27"/>
    <mergeCell ref="C20:E20"/>
    <mergeCell ref="C25:E25"/>
    <mergeCell ref="K11:M11"/>
    <mergeCell ref="B16:C16"/>
    <mergeCell ref="N35:O35"/>
    <mergeCell ref="L7:M7"/>
    <mergeCell ref="B11:D11"/>
    <mergeCell ref="L17:M17"/>
    <mergeCell ref="O65:Q65"/>
    <mergeCell ref="F16:G16"/>
    <mergeCell ref="B40:Q40"/>
    <mergeCell ref="L66:M66"/>
    <mergeCell ref="C21:E21"/>
    <mergeCell ref="H11:J11"/>
    <mergeCell ref="C60:E60"/>
  </mergeCells>
  <conditionalFormatting sqref="B35:H37">
    <cfRule type="expression" dxfId="199" priority="11">
      <formula>$N$16+$L$16=0</formula>
    </cfRule>
  </conditionalFormatting>
  <conditionalFormatting sqref="H11">
    <cfRule type="expression" dxfId="198" priority="1">
      <formula>H11&lt;0</formula>
    </cfRule>
    <cfRule type="expression" dxfId="197" priority="2">
      <formula>H11&gt;=0</formula>
    </cfRule>
  </conditionalFormatting>
  <conditionalFormatting sqref="H31:H33">
    <cfRule type="dataBar" priority="10">
      <dataBar>
        <cfvo type="num" val="0"/>
        <cfvo type="num" val="1"/>
        <color rgb="FF10B981"/>
      </dataBar>
    </cfRule>
  </conditionalFormatting>
  <conditionalFormatting sqref="H60:H69">
    <cfRule type="expression" dxfId="196" priority="13">
      <formula>AND(H60&lt;&gt;"",H60&lt;=2)</formula>
    </cfRule>
  </conditionalFormatting>
  <conditionalFormatting sqref="I60:I69">
    <cfRule type="expression" dxfId="195" priority="14">
      <formula>$I60="Completed"</formula>
    </cfRule>
    <cfRule type="expression" dxfId="194" priority="15">
      <formula>$I60="In Progress"</formula>
    </cfRule>
    <cfRule type="expression" dxfId="193" priority="16">
      <formula>$I60="Testing"</formula>
    </cfRule>
    <cfRule type="expression" dxfId="192" priority="17">
      <formula>$I60="In Review"</formula>
    </cfRule>
    <cfRule type="expression" dxfId="191" priority="18">
      <formula>$I60="Blocked"</formula>
    </cfRule>
    <cfRule type="expression" dxfId="190" priority="19">
      <formula>$I60="Not Started"</formula>
    </cfRule>
  </conditionalFormatting>
  <conditionalFormatting sqref="N11">
    <cfRule type="expression" dxfId="189" priority="3">
      <formula>N11&lt;&gt;"ON TRACK"</formula>
    </cfRule>
    <cfRule type="expression" dxfId="188" priority="4">
      <formula>N11="ON TRACK"</formula>
    </cfRule>
  </conditionalFormatting>
  <conditionalFormatting sqref="N60:N69">
    <cfRule type="expression" dxfId="187" priority="20">
      <formula>$N60="Completed"</formula>
    </cfRule>
    <cfRule type="expression" dxfId="186" priority="21">
      <formula>$N60="In Progress"</formula>
    </cfRule>
    <cfRule type="expression" dxfId="185" priority="22">
      <formula>$N60="Testing"</formula>
    </cfRule>
    <cfRule type="expression" dxfId="184" priority="23">
      <formula>$N60="In Review"</formula>
    </cfRule>
    <cfRule type="expression" dxfId="183" priority="24">
      <formula>$N60="Blocked"</formula>
    </cfRule>
    <cfRule type="expression" dxfId="182" priority="25">
      <formula>$N60="Not Started"</formula>
    </cfRule>
  </conditionalFormatting>
  <conditionalFormatting sqref="P31:P35">
    <cfRule type="expression" dxfId="181" priority="12">
      <formula>P31&gt;0</formula>
    </cfRule>
  </conditionalFormatting>
  <conditionalFormatting sqref="Q21:Q26">
    <cfRule type="expression" dxfId="180" priority="5">
      <formula>$Q21="Complete"</formula>
    </cfRule>
    <cfRule type="expression" dxfId="179" priority="6">
      <formula>$Q21="On Track"</formula>
    </cfRule>
    <cfRule type="expression" dxfId="178" priority="7">
      <formula>$Q21="Behind"</formula>
    </cfRule>
    <cfRule type="expression" dxfId="177" priority="8">
      <formula>$Q21="Blocked"</formula>
    </cfRule>
    <cfRule type="expression" dxfId="176" priority="9">
      <formula>$Q21="Not Started"</formula>
    </cfRule>
  </conditionalFormatting>
  <hyperlinks>
    <hyperlink ref="E3" r:id="rId1" xr:uid="{00000000-0004-0000-0000-000000000000}"/>
    <hyperlink ref="M3" r:id="rId2" xr:uid="{00000000-0004-0000-0000-000001000000}"/>
    <hyperlink ref="C4" location="'Master Tracker'!A1" display="Master" xr:uid="{00000000-0004-0000-0000-000002000000}"/>
    <hyperlink ref="D4" location="'P1 Theme Foundation'!A1" display="P1" xr:uid="{00000000-0004-0000-0000-000003000000}"/>
    <hyperlink ref="E4" location="'P2 Homepage &amp; Sections'!A1" display="P2" xr:uid="{00000000-0004-0000-0000-000004000000}"/>
    <hyperlink ref="F4" location="'P3 Editorial Templates'!A1" display="P3" xr:uid="{00000000-0004-0000-0000-000005000000}"/>
    <hyperlink ref="G4" location="'P4 Issues Archive'!A1" display="P4" xr:uid="{00000000-0004-0000-0000-000006000000}"/>
    <hyperlink ref="H4" location="'P5 Auth Subs AdOps'!A1" display="P5" xr:uid="{00000000-0004-0000-0000-000007000000}"/>
    <hyperlink ref="I4" location="'P6 Cleanup &amp; Cutover'!A1" display="P6" xr:uid="{00000000-0004-0000-0000-000008000000}"/>
    <hyperlink ref="J4" location="'QA &amp; Testing'!A1" display="QA" xr:uid="{00000000-0004-0000-0000-000009000000}"/>
    <hyperlink ref="K4" location="'Deployment &amp; Rollback'!A1" display="Deploy" xr:uid="{00000000-0004-0000-0000-00000A000000}"/>
    <hyperlink ref="L4" location="'Risks &amp; Blockers'!A1" display="Risks" xr:uid="{00000000-0004-0000-0000-00000B000000}"/>
    <hyperlink ref="M4" location="'Requirement Map'!A1" display="Req Map" xr:uid="{00000000-0004-0000-0000-00000C000000}"/>
    <hyperlink ref="C21" location="'P1 Theme Foundation'!A1" display="Theme Foundation &amp; Asset Pipeline" xr:uid="{00000000-0004-0000-0000-00000D000000}"/>
    <hyperlink ref="C22" location="'P2 Homepage &amp; Sections'!A1" display="Homepage &amp; Dynamic Section Manager" xr:uid="{00000000-0004-0000-0000-00000E000000}"/>
    <hyperlink ref="C23" location="'P3 Editorial Templates'!A1" display="Editorial &amp; Taxonomy Templates" xr:uid="{00000000-0004-0000-0000-00000F000000}"/>
    <hyperlink ref="C24" location="'P4 Issues Archive'!A1" display="Digital Issues Archive &amp; CPT Engine" xr:uid="{00000000-0004-0000-0000-000010000000}"/>
    <hyperlink ref="C25" location="'P5 Auth Subs AdOps'!A1" display="Auth, Subscriptions, AdOps &amp; Leads" xr:uid="{00000000-0004-0000-0000-000011000000}"/>
    <hyperlink ref="C26" location="'P6 Cleanup &amp; Cutover'!A1" display="Database Cleanup, Crawl Audit &amp; Cutover" xr:uid="{00000000-0004-0000-0000-000012000000}"/>
  </hyperlinks>
  <pageMargins left="0.75" right="0.75" top="1" bottom="1" header="0.5" footer="0.5"/>
  <pageSetup fitToHeight="0" orientation="landscape"/>
  <drawing r:id="rId3"/>
  <legacyDrawing r:id="rId4"/>
  <extLst>
    <ext xmlns:x14="http://schemas.microsoft.com/office/spreadsheetml/2009/9/main" uri="{CCE6A557-97BC-4b89-ADB6-D9C93CAAB3DF}">
      <x14:dataValidations xmlns:xm="http://schemas.microsoft.com/office/excel/2006/main" count="1">
        <x14:dataValidation type="list" errorStyle="information" allowBlank="1" showErrorMessage="1" errorTitle="Custom value" error="This value is not in the list — click OK to keep it." xr:uid="{00000000-0002-0000-0000-000000000000}">
          <x14:formula1>
            <xm:f>Lists!$S$2:$S$62</xm:f>
          </x14:formula1>
          <xm:sqref>D7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F1B2D"/>
    <pageSetUpPr fitToPage="1"/>
  </sheetPr>
  <dimension ref="A1:AC146"/>
  <sheetViews>
    <sheetView showGridLines="0" zoomScale="90" workbookViewId="0">
      <pane xSplit="4" ySplit="5" topLeftCell="E15" activePane="bottomRight" state="frozen"/>
      <selection pane="topRight"/>
      <selection pane="bottomLeft"/>
      <selection pane="bottomRight" activeCell="D17" sqref="D17"/>
    </sheetView>
  </sheetViews>
  <sheetFormatPr defaultRowHeight="14.4" x14ac:dyDescent="0.3"/>
  <cols>
    <col min="1" max="2" width="9" customWidth="1"/>
    <col min="3" max="3" width="16" customWidth="1"/>
    <col min="4" max="4" width="34" customWidth="1"/>
    <col min="5" max="5" width="60" customWidth="1"/>
    <col min="6" max="6" width="8" customWidth="1"/>
    <col min="7" max="7" width="13" customWidth="1"/>
    <col min="8" max="9" width="11" customWidth="1"/>
    <col min="10" max="10" width="10" customWidth="1"/>
    <col min="11" max="11" width="16" customWidth="1"/>
    <col min="12" max="12" width="18" customWidth="1"/>
    <col min="13" max="13" width="32" customWidth="1"/>
    <col min="14" max="15" width="40" customWidth="1"/>
    <col min="16" max="17" width="26" customWidth="1"/>
    <col min="18" max="18" width="12" customWidth="1"/>
    <col min="19" max="19" width="15" customWidth="1"/>
    <col min="20" max="20" width="11" customWidth="1"/>
    <col min="21" max="22" width="9" customWidth="1"/>
    <col min="23" max="23" width="8" customWidth="1"/>
    <col min="24" max="24" width="10" customWidth="1"/>
    <col min="25" max="25" width="15" customWidth="1"/>
    <col min="26" max="27" width="9" hidden="1" customWidth="1"/>
    <col min="28" max="28" width="8" hidden="1" customWidth="1"/>
    <col min="29" max="29" width="12" customWidth="1"/>
  </cols>
  <sheetData>
    <row r="1" spans="1:29" ht="34.049999999999997" customHeight="1" x14ac:dyDescent="0.3">
      <c r="A1" s="111" t="s">
        <v>102</v>
      </c>
      <c r="B1" s="112"/>
      <c r="C1" s="112"/>
      <c r="D1" s="112"/>
      <c r="E1" s="112"/>
      <c r="F1" s="112"/>
      <c r="G1" s="112"/>
      <c r="H1" s="112"/>
      <c r="I1" s="112"/>
      <c r="J1" s="112"/>
      <c r="K1" s="112"/>
      <c r="L1" s="112"/>
      <c r="M1" s="112"/>
      <c r="N1" s="112"/>
      <c r="O1" s="112"/>
      <c r="P1" s="112"/>
      <c r="Q1" s="112"/>
      <c r="R1" s="112"/>
      <c r="S1" s="112"/>
      <c r="T1" s="112"/>
      <c r="U1" s="112"/>
      <c r="V1" s="112"/>
      <c r="W1" s="112"/>
      <c r="X1" s="112"/>
      <c r="Y1" s="112"/>
      <c r="Z1" s="112"/>
      <c r="AA1" s="112"/>
      <c r="AB1" s="112"/>
      <c r="AC1" s="112"/>
    </row>
    <row r="2" spans="1:29" ht="19.95" customHeight="1" x14ac:dyDescent="0.3">
      <c r="A2" s="79" t="s">
        <v>103</v>
      </c>
      <c r="B2" s="80"/>
      <c r="C2" s="80"/>
      <c r="D2" s="80"/>
      <c r="E2" s="80"/>
      <c r="F2" s="80"/>
      <c r="G2" s="80"/>
      <c r="H2" s="80"/>
      <c r="I2" s="80"/>
      <c r="J2" s="80"/>
      <c r="K2" s="80"/>
      <c r="L2" s="80"/>
      <c r="M2" s="80"/>
      <c r="N2" s="80"/>
      <c r="O2" s="80"/>
      <c r="P2" s="80"/>
      <c r="Q2" s="80"/>
      <c r="R2" s="80"/>
      <c r="S2" s="80"/>
      <c r="T2" s="80"/>
      <c r="U2" s="80"/>
      <c r="V2" s="80"/>
      <c r="W2" s="80"/>
      <c r="X2" s="80"/>
      <c r="Y2" s="80"/>
      <c r="Z2" s="80"/>
      <c r="AA2" s="80"/>
      <c r="AB2" s="80"/>
      <c r="AC2" s="80"/>
    </row>
    <row r="3" spans="1:29" x14ac:dyDescent="0.3">
      <c r="A3" s="28" t="s">
        <v>104</v>
      </c>
      <c r="B3" s="29" t="s">
        <v>105</v>
      </c>
      <c r="C3" s="30" t="s">
        <v>106</v>
      </c>
      <c r="D3" s="31" t="s">
        <v>107</v>
      </c>
      <c r="E3" s="32" t="s">
        <v>108</v>
      </c>
      <c r="G3" s="33" t="s">
        <v>109</v>
      </c>
      <c r="I3" s="3" t="s">
        <v>110</v>
      </c>
      <c r="K3" s="2" t="s">
        <v>111</v>
      </c>
    </row>
    <row r="5" spans="1:29" ht="31.95" customHeight="1" x14ac:dyDescent="0.3">
      <c r="A5" s="12" t="s">
        <v>112</v>
      </c>
      <c r="B5" s="12" t="s">
        <v>113</v>
      </c>
      <c r="C5" s="12" t="s">
        <v>114</v>
      </c>
      <c r="D5" s="12" t="s">
        <v>115</v>
      </c>
      <c r="E5" s="12" t="s">
        <v>116</v>
      </c>
      <c r="F5" s="12" t="s">
        <v>117</v>
      </c>
      <c r="G5" s="12" t="s">
        <v>118</v>
      </c>
      <c r="H5" s="12" t="s">
        <v>119</v>
      </c>
      <c r="I5" s="12" t="s">
        <v>120</v>
      </c>
      <c r="J5" s="12" t="s">
        <v>121</v>
      </c>
      <c r="K5" s="12" t="s">
        <v>122</v>
      </c>
      <c r="L5" s="12" t="s">
        <v>123</v>
      </c>
      <c r="M5" s="12" t="s">
        <v>124</v>
      </c>
      <c r="N5" s="12" t="s">
        <v>125</v>
      </c>
      <c r="O5" s="12" t="s">
        <v>126</v>
      </c>
      <c r="P5" s="12" t="s">
        <v>127</v>
      </c>
      <c r="Q5" s="12" t="s">
        <v>128</v>
      </c>
      <c r="R5" s="12" t="s">
        <v>129</v>
      </c>
      <c r="S5" s="12" t="s">
        <v>130</v>
      </c>
      <c r="T5" s="12" t="s">
        <v>131</v>
      </c>
      <c r="U5" s="34" t="s">
        <v>132</v>
      </c>
      <c r="V5" s="34" t="s">
        <v>133</v>
      </c>
      <c r="W5" s="34" t="s">
        <v>134</v>
      </c>
      <c r="X5" s="34" t="s">
        <v>135</v>
      </c>
      <c r="Y5" s="34" t="s">
        <v>136</v>
      </c>
      <c r="Z5" s="34" t="s">
        <v>137</v>
      </c>
      <c r="AA5" s="34" t="s">
        <v>138</v>
      </c>
      <c r="AB5" s="34" t="s">
        <v>139</v>
      </c>
      <c r="AC5" s="34" t="s">
        <v>140</v>
      </c>
    </row>
    <row r="6" spans="1:29" ht="61.95" customHeight="1" x14ac:dyDescent="0.3">
      <c r="A6" s="35" t="s">
        <v>141</v>
      </c>
      <c r="B6" s="36" t="s">
        <v>142</v>
      </c>
      <c r="C6" s="37" t="s">
        <v>143</v>
      </c>
      <c r="D6" s="37" t="s">
        <v>144</v>
      </c>
      <c r="E6" s="37" t="s">
        <v>145</v>
      </c>
      <c r="F6" s="36" t="s">
        <v>146</v>
      </c>
      <c r="G6" s="38" t="s">
        <v>67</v>
      </c>
      <c r="H6" s="39">
        <v>46307</v>
      </c>
      <c r="I6" s="39">
        <v>46307</v>
      </c>
      <c r="J6" s="40">
        <v>0</v>
      </c>
      <c r="K6" s="37" t="s">
        <v>147</v>
      </c>
      <c r="L6" s="37" t="s">
        <v>148</v>
      </c>
      <c r="M6" s="37" t="s">
        <v>149</v>
      </c>
      <c r="N6" s="37" t="s">
        <v>150</v>
      </c>
      <c r="O6" s="37" t="s">
        <v>151</v>
      </c>
      <c r="P6" s="41"/>
      <c r="Q6" s="41"/>
      <c r="R6" s="42"/>
      <c r="S6" s="37" t="s">
        <v>84</v>
      </c>
      <c r="T6" s="38" t="s">
        <v>152</v>
      </c>
      <c r="U6" s="43">
        <f t="shared" ref="U6:U37" si="0">IF(A6="",0,IF(G6="Completed",1,IF(G6="Not Started",0,MIN(0.99,N(J6)))))</f>
        <v>1</v>
      </c>
      <c r="V6" s="43">
        <f t="shared" ref="V6:V37" ca="1" si="1">IF(OR(A6="",H6="",I6=""),0,MAX(0,MIN(1,(StatusDate-H6+1)/(I6-H6+1))))</f>
        <v>0</v>
      </c>
      <c r="W6" s="44" t="str">
        <f t="shared" ref="W6:W37" si="2">IF(OR(A6="",I6="",G6="Completed"),"",I6-StatusDate)</f>
        <v/>
      </c>
      <c r="X6" s="45" t="str">
        <f t="shared" ref="X6:X37" ca="1" si="3">IF(A6="","",IF(AND(G6&lt;&gt;"Completed",I6&lt;&gt;"",I6&lt;StatusDate),"OVERDUE",""))</f>
        <v/>
      </c>
      <c r="Y6" s="45" t="str">
        <f t="shared" ref="Y6:Y37" si="4">IF(OR(A6="",K6=""),"",IF(SUMPRODUCT(($A$6:$A$400&lt;&gt;"")*ISNUMBER(SEARCH($A$6:$A$400,K6))*($G$6:$G$400&lt;&gt;"Completed"))=0,"✓ Ready","⏳ "&amp;SUMPRODUCT(($A$6:$A$400&lt;&gt;"")*ISNUMBER(SEARCH($A$6:$A$400,K6))*($G$6:$G$400&lt;&gt;"Completed"))&amp;" open"))</f>
        <v>⏳ 1 open</v>
      </c>
      <c r="Z6" s="45" t="str">
        <f>IF(A6="","",B6&amp;"|"&amp;COUNTIFS($B$6:B6,B6,$A$6:A6,"?*"))</f>
        <v>Phase 1|1</v>
      </c>
      <c r="AA6" s="45" t="str">
        <f t="shared" ref="AA6:AA37" si="5">IF(OR(A6="",I6="",G6="Completed"),"",IF(I6&gt;=StatusDate,I6+ROW()/100000,""))</f>
        <v/>
      </c>
      <c r="AB6" s="45" t="str">
        <f t="shared" ref="AB6:AB37" si="6">IF(A6="","",IF(AND(G6&lt;&gt;"Completed",OR(G6="Blocked",AND(TRIM(P6)&lt;&gt;"",P6&lt;&gt;"None"))),ROW(),""))</f>
        <v/>
      </c>
      <c r="AC6" s="45" t="str">
        <f t="shared" ref="AC6:AC37" si="7">IF(A6="","",IF(G6="Completed","Done",IF(G6="Blocked","Blocked",IF(X6="OVERDUE","Overdue",IF(AND(W6&lt;&gt;"",W6&lt;=2),"Due soon",IF(AND(Y6&lt;&gt;"",LEFT(Y6,1)="⏳",G6&lt;&gt;"Not Started"),"Dependency open",IF(AND(S6&lt;&gt;"None",S6&lt;&gt;"",G6&lt;&gt;"Completed"),"External req.","On track")))))))</f>
        <v>Done</v>
      </c>
    </row>
    <row r="7" spans="1:29" ht="61.95" customHeight="1" x14ac:dyDescent="0.3">
      <c r="A7" s="35" t="s">
        <v>153</v>
      </c>
      <c r="B7" s="36" t="s">
        <v>142</v>
      </c>
      <c r="C7" s="37" t="s">
        <v>154</v>
      </c>
      <c r="D7" s="37" t="s">
        <v>155</v>
      </c>
      <c r="E7" s="37" t="s">
        <v>156</v>
      </c>
      <c r="F7" s="36" t="s">
        <v>146</v>
      </c>
      <c r="G7" s="38" t="s">
        <v>67</v>
      </c>
      <c r="H7" s="39">
        <v>46307</v>
      </c>
      <c r="I7" s="39">
        <v>46307</v>
      </c>
      <c r="J7" s="40">
        <v>0</v>
      </c>
      <c r="K7" s="37" t="s">
        <v>141</v>
      </c>
      <c r="L7" s="37" t="s">
        <v>148</v>
      </c>
      <c r="M7" s="37" t="s">
        <v>157</v>
      </c>
      <c r="N7" s="37" t="s">
        <v>158</v>
      </c>
      <c r="O7" s="37" t="s">
        <v>159</v>
      </c>
      <c r="P7" s="41"/>
      <c r="Q7" s="41"/>
      <c r="R7" s="42"/>
      <c r="S7" s="37" t="s">
        <v>160</v>
      </c>
      <c r="T7" s="38" t="s">
        <v>152</v>
      </c>
      <c r="U7" s="43">
        <f t="shared" si="0"/>
        <v>1</v>
      </c>
      <c r="V7" s="43">
        <f t="shared" ca="1" si="1"/>
        <v>0</v>
      </c>
      <c r="W7" s="44" t="str">
        <f t="shared" si="2"/>
        <v/>
      </c>
      <c r="X7" s="45" t="str">
        <f t="shared" ca="1" si="3"/>
        <v/>
      </c>
      <c r="Y7" s="45" t="str">
        <f t="shared" si="4"/>
        <v>✓ Ready</v>
      </c>
      <c r="Z7" s="45" t="str">
        <f>IF(A7="","",B7&amp;"|"&amp;COUNTIFS($B$6:B7,B7,$A$6:A7,"?*"))</f>
        <v>Phase 1|2</v>
      </c>
      <c r="AA7" s="45" t="str">
        <f t="shared" si="5"/>
        <v/>
      </c>
      <c r="AB7" s="45" t="str">
        <f t="shared" si="6"/>
        <v/>
      </c>
      <c r="AC7" s="45" t="str">
        <f t="shared" si="7"/>
        <v>Done</v>
      </c>
    </row>
    <row r="8" spans="1:29" ht="61.95" customHeight="1" x14ac:dyDescent="0.3">
      <c r="A8" s="35" t="s">
        <v>161</v>
      </c>
      <c r="B8" s="36" t="s">
        <v>142</v>
      </c>
      <c r="C8" s="37" t="s">
        <v>162</v>
      </c>
      <c r="D8" s="37" t="s">
        <v>163</v>
      </c>
      <c r="E8" s="37" t="s">
        <v>164</v>
      </c>
      <c r="F8" s="36" t="s">
        <v>146</v>
      </c>
      <c r="G8" s="38" t="s">
        <v>76</v>
      </c>
      <c r="H8" s="39">
        <v>46307</v>
      </c>
      <c r="I8" s="39">
        <v>46307</v>
      </c>
      <c r="J8" s="40">
        <v>0</v>
      </c>
      <c r="K8" s="37" t="s">
        <v>153</v>
      </c>
      <c r="L8" s="37" t="s">
        <v>148</v>
      </c>
      <c r="M8" s="37" t="s">
        <v>165</v>
      </c>
      <c r="N8" s="37" t="s">
        <v>166</v>
      </c>
      <c r="O8" s="37" t="s">
        <v>167</v>
      </c>
      <c r="P8" s="41"/>
      <c r="Q8" s="41"/>
      <c r="R8" s="42"/>
      <c r="S8" s="37" t="s">
        <v>160</v>
      </c>
      <c r="T8" s="38" t="s">
        <v>152</v>
      </c>
      <c r="U8" s="43">
        <f t="shared" si="0"/>
        <v>0</v>
      </c>
      <c r="V8" s="43">
        <f t="shared" ca="1" si="1"/>
        <v>0</v>
      </c>
      <c r="W8" s="44">
        <f t="shared" ca="1" si="2"/>
        <v>1</v>
      </c>
      <c r="X8" s="45" t="str">
        <f t="shared" ca="1" si="3"/>
        <v/>
      </c>
      <c r="Y8" s="45" t="str">
        <f t="shared" si="4"/>
        <v>✓ Ready</v>
      </c>
      <c r="Z8" s="45" t="str">
        <f>IF(A8="","",B8&amp;"|"&amp;COUNTIFS($B$6:B8,B8,$A$6:A8,"?*"))</f>
        <v>Phase 1|3</v>
      </c>
      <c r="AA8" s="45">
        <f t="shared" ca="1" si="5"/>
        <v>46307.000079999998</v>
      </c>
      <c r="AB8" s="45" t="str">
        <f t="shared" si="6"/>
        <v/>
      </c>
      <c r="AC8" s="45" t="str">
        <f t="shared" ca="1" si="7"/>
        <v>Due soon</v>
      </c>
    </row>
    <row r="9" spans="1:29" ht="61.95" customHeight="1" x14ac:dyDescent="0.3">
      <c r="A9" s="35" t="s">
        <v>168</v>
      </c>
      <c r="B9" s="36" t="s">
        <v>142</v>
      </c>
      <c r="C9" s="37" t="s">
        <v>169</v>
      </c>
      <c r="D9" s="37" t="s">
        <v>170</v>
      </c>
      <c r="E9" s="37" t="s">
        <v>171</v>
      </c>
      <c r="F9" s="36" t="s">
        <v>146</v>
      </c>
      <c r="G9" s="38" t="s">
        <v>76</v>
      </c>
      <c r="H9" s="39">
        <v>46307</v>
      </c>
      <c r="I9" s="39">
        <v>46307</v>
      </c>
      <c r="J9" s="40">
        <v>0</v>
      </c>
      <c r="K9" s="37" t="s">
        <v>153</v>
      </c>
      <c r="L9" s="37" t="s">
        <v>148</v>
      </c>
      <c r="M9" s="37" t="s">
        <v>172</v>
      </c>
      <c r="N9" s="37" t="s">
        <v>173</v>
      </c>
      <c r="O9" s="37" t="s">
        <v>174</v>
      </c>
      <c r="P9" s="41"/>
      <c r="Q9" s="41"/>
      <c r="R9" s="42"/>
      <c r="S9" s="37" t="s">
        <v>160</v>
      </c>
      <c r="T9" s="38" t="s">
        <v>152</v>
      </c>
      <c r="U9" s="43">
        <f t="shared" si="0"/>
        <v>0</v>
      </c>
      <c r="V9" s="43">
        <f t="shared" ca="1" si="1"/>
        <v>0</v>
      </c>
      <c r="W9" s="44">
        <f t="shared" ca="1" si="2"/>
        <v>1</v>
      </c>
      <c r="X9" s="45" t="str">
        <f t="shared" ca="1" si="3"/>
        <v/>
      </c>
      <c r="Y9" s="45" t="str">
        <f t="shared" si="4"/>
        <v>✓ Ready</v>
      </c>
      <c r="Z9" s="45" t="str">
        <f>IF(A9="","",B9&amp;"|"&amp;COUNTIFS($B$6:B9,B9,$A$6:A9,"?*"))</f>
        <v>Phase 1|4</v>
      </c>
      <c r="AA9" s="45">
        <f t="shared" ca="1" si="5"/>
        <v>46307.000090000001</v>
      </c>
      <c r="AB9" s="45" t="str">
        <f t="shared" si="6"/>
        <v/>
      </c>
      <c r="AC9" s="45" t="str">
        <f t="shared" ca="1" si="7"/>
        <v>Due soon</v>
      </c>
    </row>
    <row r="10" spans="1:29" ht="61.95" customHeight="1" x14ac:dyDescent="0.3">
      <c r="A10" s="35" t="s">
        <v>175</v>
      </c>
      <c r="B10" s="36" t="s">
        <v>142</v>
      </c>
      <c r="C10" s="37" t="s">
        <v>176</v>
      </c>
      <c r="D10" s="37" t="s">
        <v>177</v>
      </c>
      <c r="E10" s="37" t="s">
        <v>178</v>
      </c>
      <c r="F10" s="36" t="s">
        <v>146</v>
      </c>
      <c r="G10" s="38" t="s">
        <v>76</v>
      </c>
      <c r="H10" s="39">
        <v>46307</v>
      </c>
      <c r="I10" s="39">
        <v>46307</v>
      </c>
      <c r="J10" s="40">
        <v>0</v>
      </c>
      <c r="K10" s="37" t="s">
        <v>161</v>
      </c>
      <c r="L10" s="37" t="s">
        <v>148</v>
      </c>
      <c r="M10" s="37" t="s">
        <v>179</v>
      </c>
      <c r="N10" s="37" t="s">
        <v>180</v>
      </c>
      <c r="O10" s="37" t="s">
        <v>181</v>
      </c>
      <c r="P10" s="41"/>
      <c r="Q10" s="41"/>
      <c r="R10" s="42"/>
      <c r="S10" s="37" t="s">
        <v>160</v>
      </c>
      <c r="T10" s="38" t="s">
        <v>152</v>
      </c>
      <c r="U10" s="43">
        <f t="shared" si="0"/>
        <v>0</v>
      </c>
      <c r="V10" s="43">
        <f t="shared" ca="1" si="1"/>
        <v>0</v>
      </c>
      <c r="W10" s="44">
        <f t="shared" ca="1" si="2"/>
        <v>1</v>
      </c>
      <c r="X10" s="45" t="str">
        <f t="shared" ca="1" si="3"/>
        <v/>
      </c>
      <c r="Y10" s="45" t="str">
        <f t="shared" si="4"/>
        <v>⏳ 1 open</v>
      </c>
      <c r="Z10" s="45" t="str">
        <f>IF(A10="","",B10&amp;"|"&amp;COUNTIFS($B$6:B10,B10,$A$6:A10,"?*"))</f>
        <v>Phase 1|5</v>
      </c>
      <c r="AA10" s="45">
        <f t="shared" ca="1" si="5"/>
        <v>46307.000099999997</v>
      </c>
      <c r="AB10" s="45" t="str">
        <f t="shared" si="6"/>
        <v/>
      </c>
      <c r="AC10" s="45" t="str">
        <f t="shared" ca="1" si="7"/>
        <v>Due soon</v>
      </c>
    </row>
    <row r="11" spans="1:29" ht="61.95" customHeight="1" x14ac:dyDescent="0.3">
      <c r="A11" s="35" t="s">
        <v>182</v>
      </c>
      <c r="B11" s="36" t="s">
        <v>142</v>
      </c>
      <c r="C11" s="37" t="s">
        <v>183</v>
      </c>
      <c r="D11" s="37" t="s">
        <v>184</v>
      </c>
      <c r="E11" s="37" t="s">
        <v>185</v>
      </c>
      <c r="F11" s="36" t="s">
        <v>146</v>
      </c>
      <c r="G11" s="38" t="s">
        <v>76</v>
      </c>
      <c r="H11" s="39">
        <v>46307</v>
      </c>
      <c r="I11" s="39">
        <v>46307</v>
      </c>
      <c r="J11" s="40">
        <v>0</v>
      </c>
      <c r="K11" s="37" t="s">
        <v>175</v>
      </c>
      <c r="L11" s="37" t="s">
        <v>148</v>
      </c>
      <c r="M11" s="37" t="s">
        <v>186</v>
      </c>
      <c r="N11" s="37" t="s">
        <v>187</v>
      </c>
      <c r="O11" s="37" t="s">
        <v>188</v>
      </c>
      <c r="P11" s="41"/>
      <c r="Q11" s="41"/>
      <c r="R11" s="42"/>
      <c r="S11" s="37" t="s">
        <v>160</v>
      </c>
      <c r="T11" s="38" t="s">
        <v>152</v>
      </c>
      <c r="U11" s="43">
        <f t="shared" si="0"/>
        <v>0</v>
      </c>
      <c r="V11" s="43">
        <f t="shared" ca="1" si="1"/>
        <v>0</v>
      </c>
      <c r="W11" s="44">
        <f t="shared" ca="1" si="2"/>
        <v>1</v>
      </c>
      <c r="X11" s="45" t="str">
        <f t="shared" ca="1" si="3"/>
        <v/>
      </c>
      <c r="Y11" s="45" t="str">
        <f t="shared" si="4"/>
        <v>⏳ 1 open</v>
      </c>
      <c r="Z11" s="45" t="str">
        <f>IF(A11="","",B11&amp;"|"&amp;COUNTIFS($B$6:B11,B11,$A$6:A11,"?*"))</f>
        <v>Phase 1|6</v>
      </c>
      <c r="AA11" s="45">
        <f t="shared" ca="1" si="5"/>
        <v>46307.000110000001</v>
      </c>
      <c r="AB11" s="45" t="str">
        <f t="shared" si="6"/>
        <v/>
      </c>
      <c r="AC11" s="45" t="str">
        <f t="shared" ca="1" si="7"/>
        <v>Due soon</v>
      </c>
    </row>
    <row r="12" spans="1:29" ht="61.95" customHeight="1" x14ac:dyDescent="0.3">
      <c r="A12" s="35" t="s">
        <v>189</v>
      </c>
      <c r="B12" s="36" t="s">
        <v>142</v>
      </c>
      <c r="C12" s="37" t="s">
        <v>190</v>
      </c>
      <c r="D12" s="37" t="s">
        <v>191</v>
      </c>
      <c r="E12" s="37" t="s">
        <v>192</v>
      </c>
      <c r="F12" s="36" t="s">
        <v>146</v>
      </c>
      <c r="G12" s="38" t="s">
        <v>76</v>
      </c>
      <c r="H12" s="39">
        <v>46307</v>
      </c>
      <c r="I12" s="39">
        <v>46308</v>
      </c>
      <c r="J12" s="40">
        <v>0</v>
      </c>
      <c r="K12" s="37" t="s">
        <v>168</v>
      </c>
      <c r="L12" s="37" t="s">
        <v>148</v>
      </c>
      <c r="M12" s="37" t="s">
        <v>193</v>
      </c>
      <c r="N12" s="37" t="s">
        <v>194</v>
      </c>
      <c r="O12" s="37" t="s">
        <v>195</v>
      </c>
      <c r="P12" s="41"/>
      <c r="Q12" s="41"/>
      <c r="R12" s="42"/>
      <c r="S12" s="37" t="s">
        <v>160</v>
      </c>
      <c r="T12" s="38" t="s">
        <v>152</v>
      </c>
      <c r="U12" s="43">
        <f t="shared" si="0"/>
        <v>0</v>
      </c>
      <c r="V12" s="43">
        <f t="shared" ca="1" si="1"/>
        <v>0</v>
      </c>
      <c r="W12" s="44">
        <f t="shared" ca="1" si="2"/>
        <v>2</v>
      </c>
      <c r="X12" s="45" t="str">
        <f t="shared" ca="1" si="3"/>
        <v/>
      </c>
      <c r="Y12" s="45" t="str">
        <f t="shared" si="4"/>
        <v>⏳ 1 open</v>
      </c>
      <c r="Z12" s="45" t="str">
        <f>IF(A12="","",B12&amp;"|"&amp;COUNTIFS($B$6:B12,B12,$A$6:A12,"?*"))</f>
        <v>Phase 1|7</v>
      </c>
      <c r="AA12" s="45">
        <f t="shared" ca="1" si="5"/>
        <v>46308.000119999997</v>
      </c>
      <c r="AB12" s="45" t="str">
        <f t="shared" si="6"/>
        <v/>
      </c>
      <c r="AC12" s="45" t="str">
        <f t="shared" ca="1" si="7"/>
        <v>Due soon</v>
      </c>
    </row>
    <row r="13" spans="1:29" ht="61.95" customHeight="1" x14ac:dyDescent="0.3">
      <c r="A13" s="35" t="s">
        <v>196</v>
      </c>
      <c r="B13" s="36" t="s">
        <v>142</v>
      </c>
      <c r="C13" s="37" t="s">
        <v>197</v>
      </c>
      <c r="D13" s="37" t="s">
        <v>198</v>
      </c>
      <c r="E13" s="37" t="s">
        <v>199</v>
      </c>
      <c r="F13" s="36" t="s">
        <v>146</v>
      </c>
      <c r="G13" s="38" t="s">
        <v>76</v>
      </c>
      <c r="H13" s="39">
        <v>46308</v>
      </c>
      <c r="I13" s="39">
        <v>46308</v>
      </c>
      <c r="J13" s="40">
        <v>0</v>
      </c>
      <c r="K13" s="37" t="s">
        <v>168</v>
      </c>
      <c r="L13" s="37" t="s">
        <v>148</v>
      </c>
      <c r="M13" s="37" t="s">
        <v>200</v>
      </c>
      <c r="N13" s="37" t="s">
        <v>201</v>
      </c>
      <c r="O13" s="37" t="s">
        <v>202</v>
      </c>
      <c r="P13" s="41"/>
      <c r="Q13" s="41"/>
      <c r="R13" s="42"/>
      <c r="S13" s="37" t="s">
        <v>160</v>
      </c>
      <c r="T13" s="38" t="s">
        <v>152</v>
      </c>
      <c r="U13" s="43">
        <f t="shared" si="0"/>
        <v>0</v>
      </c>
      <c r="V13" s="43">
        <f t="shared" ca="1" si="1"/>
        <v>0</v>
      </c>
      <c r="W13" s="44">
        <f t="shared" ca="1" si="2"/>
        <v>2</v>
      </c>
      <c r="X13" s="45" t="str">
        <f t="shared" ca="1" si="3"/>
        <v/>
      </c>
      <c r="Y13" s="45" t="str">
        <f t="shared" si="4"/>
        <v>⏳ 1 open</v>
      </c>
      <c r="Z13" s="45" t="str">
        <f>IF(A13="","",B13&amp;"|"&amp;COUNTIFS($B$6:B13,B13,$A$6:A13,"?*"))</f>
        <v>Phase 1|8</v>
      </c>
      <c r="AA13" s="45">
        <f t="shared" ca="1" si="5"/>
        <v>46308.00013</v>
      </c>
      <c r="AB13" s="45" t="str">
        <f t="shared" si="6"/>
        <v/>
      </c>
      <c r="AC13" s="45" t="str">
        <f t="shared" ca="1" si="7"/>
        <v>Due soon</v>
      </c>
    </row>
    <row r="14" spans="1:29" ht="61.95" customHeight="1" x14ac:dyDescent="0.3">
      <c r="A14" s="35" t="s">
        <v>203</v>
      </c>
      <c r="B14" s="36" t="s">
        <v>142</v>
      </c>
      <c r="C14" s="37" t="s">
        <v>204</v>
      </c>
      <c r="D14" s="37" t="s">
        <v>205</v>
      </c>
      <c r="E14" s="37" t="s">
        <v>206</v>
      </c>
      <c r="F14" s="36" t="s">
        <v>146</v>
      </c>
      <c r="G14" s="38" t="s">
        <v>76</v>
      </c>
      <c r="H14" s="39">
        <v>46308</v>
      </c>
      <c r="I14" s="39">
        <v>46308</v>
      </c>
      <c r="J14" s="40">
        <v>0</v>
      </c>
      <c r="K14" s="37" t="s">
        <v>189</v>
      </c>
      <c r="L14" s="37" t="s">
        <v>148</v>
      </c>
      <c r="M14" s="37" t="s">
        <v>207</v>
      </c>
      <c r="N14" s="37" t="s">
        <v>208</v>
      </c>
      <c r="O14" s="37" t="s">
        <v>209</v>
      </c>
      <c r="P14" s="41"/>
      <c r="Q14" s="41"/>
      <c r="R14" s="42"/>
      <c r="S14" s="37" t="s">
        <v>160</v>
      </c>
      <c r="T14" s="38" t="s">
        <v>152</v>
      </c>
      <c r="U14" s="43">
        <f t="shared" si="0"/>
        <v>0</v>
      </c>
      <c r="V14" s="43">
        <f t="shared" ca="1" si="1"/>
        <v>0</v>
      </c>
      <c r="W14" s="44">
        <f t="shared" ca="1" si="2"/>
        <v>2</v>
      </c>
      <c r="X14" s="45" t="str">
        <f t="shared" ca="1" si="3"/>
        <v/>
      </c>
      <c r="Y14" s="45" t="str">
        <f t="shared" si="4"/>
        <v>⏳ 1 open</v>
      </c>
      <c r="Z14" s="45" t="str">
        <f>IF(A14="","",B14&amp;"|"&amp;COUNTIFS($B$6:B14,B14,$A$6:A14,"?*"))</f>
        <v>Phase 1|9</v>
      </c>
      <c r="AA14" s="45">
        <f t="shared" ca="1" si="5"/>
        <v>46308.000139999996</v>
      </c>
      <c r="AB14" s="45" t="str">
        <f t="shared" si="6"/>
        <v/>
      </c>
      <c r="AC14" s="45" t="str">
        <f t="shared" ca="1" si="7"/>
        <v>Due soon</v>
      </c>
    </row>
    <row r="15" spans="1:29" ht="61.95" customHeight="1" x14ac:dyDescent="0.3">
      <c r="A15" s="35" t="s">
        <v>210</v>
      </c>
      <c r="B15" s="36" t="s">
        <v>142</v>
      </c>
      <c r="C15" s="37" t="s">
        <v>211</v>
      </c>
      <c r="D15" s="37" t="s">
        <v>212</v>
      </c>
      <c r="E15" s="37" t="s">
        <v>213</v>
      </c>
      <c r="F15" s="36" t="s">
        <v>146</v>
      </c>
      <c r="G15" s="38" t="s">
        <v>76</v>
      </c>
      <c r="H15" s="39">
        <v>46308</v>
      </c>
      <c r="I15" s="39">
        <v>46308</v>
      </c>
      <c r="J15" s="40">
        <v>0</v>
      </c>
      <c r="K15" s="37" t="s">
        <v>189</v>
      </c>
      <c r="L15" s="37" t="s">
        <v>148</v>
      </c>
      <c r="M15" s="37" t="s">
        <v>214</v>
      </c>
      <c r="N15" s="37" t="s">
        <v>215</v>
      </c>
      <c r="O15" s="37" t="s">
        <v>216</v>
      </c>
      <c r="P15" s="41"/>
      <c r="Q15" s="41"/>
      <c r="R15" s="42"/>
      <c r="S15" s="37" t="s">
        <v>160</v>
      </c>
      <c r="T15" s="38" t="s">
        <v>152</v>
      </c>
      <c r="U15" s="43">
        <f t="shared" si="0"/>
        <v>0</v>
      </c>
      <c r="V15" s="43">
        <f t="shared" ca="1" si="1"/>
        <v>0</v>
      </c>
      <c r="W15" s="44">
        <f t="shared" ca="1" si="2"/>
        <v>2</v>
      </c>
      <c r="X15" s="45" t="str">
        <f t="shared" ca="1" si="3"/>
        <v/>
      </c>
      <c r="Y15" s="45" t="str">
        <f t="shared" si="4"/>
        <v>⏳ 1 open</v>
      </c>
      <c r="Z15" s="45" t="str">
        <f>IF(A15="","",B15&amp;"|"&amp;COUNTIFS($B$6:B15,B15,$A$6:A15,"?*"))</f>
        <v>Phase 1|10</v>
      </c>
      <c r="AA15" s="45">
        <f t="shared" ca="1" si="5"/>
        <v>46308.00015</v>
      </c>
      <c r="AB15" s="45" t="str">
        <f t="shared" si="6"/>
        <v/>
      </c>
      <c r="AC15" s="45" t="str">
        <f t="shared" ca="1" si="7"/>
        <v>Due soon</v>
      </c>
    </row>
    <row r="16" spans="1:29" ht="61.95" customHeight="1" x14ac:dyDescent="0.3">
      <c r="A16" s="35" t="s">
        <v>217</v>
      </c>
      <c r="B16" s="36" t="s">
        <v>142</v>
      </c>
      <c r="C16" s="37" t="s">
        <v>218</v>
      </c>
      <c r="D16" s="37" t="s">
        <v>219</v>
      </c>
      <c r="E16" s="37" t="s">
        <v>220</v>
      </c>
      <c r="F16" s="36" t="s">
        <v>146</v>
      </c>
      <c r="G16" s="38" t="s">
        <v>76</v>
      </c>
      <c r="H16" s="39">
        <v>46308</v>
      </c>
      <c r="I16" s="39">
        <v>46309</v>
      </c>
      <c r="J16" s="40">
        <v>0</v>
      </c>
      <c r="K16" s="37" t="s">
        <v>221</v>
      </c>
      <c r="L16" s="37" t="s">
        <v>148</v>
      </c>
      <c r="M16" s="37" t="s">
        <v>222</v>
      </c>
      <c r="N16" s="37" t="s">
        <v>223</v>
      </c>
      <c r="O16" s="37" t="s">
        <v>224</v>
      </c>
      <c r="P16" s="41"/>
      <c r="Q16" s="41"/>
      <c r="R16" s="42"/>
      <c r="S16" s="37" t="s">
        <v>160</v>
      </c>
      <c r="T16" s="38" t="s">
        <v>152</v>
      </c>
      <c r="U16" s="43">
        <f t="shared" si="0"/>
        <v>0</v>
      </c>
      <c r="V16" s="43">
        <f t="shared" ca="1" si="1"/>
        <v>0</v>
      </c>
      <c r="W16" s="44">
        <f t="shared" ca="1" si="2"/>
        <v>3</v>
      </c>
      <c r="X16" s="45" t="str">
        <f t="shared" ca="1" si="3"/>
        <v/>
      </c>
      <c r="Y16" s="45" t="str">
        <f t="shared" si="4"/>
        <v>⏳ 3 open</v>
      </c>
      <c r="Z16" s="45" t="str">
        <f>IF(A16="","",B16&amp;"|"&amp;COUNTIFS($B$6:B16,B16,$A$6:A16,"?*"))</f>
        <v>Phase 1|11</v>
      </c>
      <c r="AA16" s="45">
        <f t="shared" ca="1" si="5"/>
        <v>46309.000160000003</v>
      </c>
      <c r="AB16" s="45" t="str">
        <f t="shared" si="6"/>
        <v/>
      </c>
      <c r="AC16" s="45" t="str">
        <f t="shared" ca="1" si="7"/>
        <v>On track</v>
      </c>
    </row>
    <row r="17" spans="1:29" ht="61.95" customHeight="1" x14ac:dyDescent="0.3">
      <c r="A17" s="35" t="s">
        <v>225</v>
      </c>
      <c r="B17" s="36" t="s">
        <v>142</v>
      </c>
      <c r="C17" s="37" t="s">
        <v>226</v>
      </c>
      <c r="D17" s="37" t="s">
        <v>227</v>
      </c>
      <c r="E17" s="37" t="s">
        <v>228</v>
      </c>
      <c r="F17" s="36" t="s">
        <v>8</v>
      </c>
      <c r="G17" s="38" t="s">
        <v>76</v>
      </c>
      <c r="H17" s="39">
        <v>46309</v>
      </c>
      <c r="I17" s="39">
        <v>46309</v>
      </c>
      <c r="J17" s="40">
        <v>0</v>
      </c>
      <c r="K17" s="37" t="s">
        <v>182</v>
      </c>
      <c r="L17" s="37" t="s">
        <v>148</v>
      </c>
      <c r="M17" s="37" t="s">
        <v>229</v>
      </c>
      <c r="N17" s="37" t="s">
        <v>230</v>
      </c>
      <c r="O17" s="37" t="s">
        <v>231</v>
      </c>
      <c r="P17" s="41"/>
      <c r="Q17" s="41"/>
      <c r="R17" s="42"/>
      <c r="S17" s="37" t="s">
        <v>160</v>
      </c>
      <c r="T17" s="38" t="s">
        <v>152</v>
      </c>
      <c r="U17" s="43">
        <f t="shared" si="0"/>
        <v>0</v>
      </c>
      <c r="V17" s="43">
        <f t="shared" ca="1" si="1"/>
        <v>0</v>
      </c>
      <c r="W17" s="44">
        <f t="shared" ca="1" si="2"/>
        <v>3</v>
      </c>
      <c r="X17" s="45" t="str">
        <f t="shared" ca="1" si="3"/>
        <v/>
      </c>
      <c r="Y17" s="45" t="str">
        <f t="shared" si="4"/>
        <v>⏳ 1 open</v>
      </c>
      <c r="Z17" s="45" t="str">
        <f>IF(A17="","",B17&amp;"|"&amp;COUNTIFS($B$6:B17,B17,$A$6:A17,"?*"))</f>
        <v>Phase 1|12</v>
      </c>
      <c r="AA17" s="45">
        <f t="shared" ca="1" si="5"/>
        <v>46309.000169999999</v>
      </c>
      <c r="AB17" s="45" t="str">
        <f t="shared" si="6"/>
        <v/>
      </c>
      <c r="AC17" s="45" t="str">
        <f t="shared" ca="1" si="7"/>
        <v>On track</v>
      </c>
    </row>
    <row r="18" spans="1:29" ht="61.95" customHeight="1" x14ac:dyDescent="0.3">
      <c r="A18" s="35" t="s">
        <v>232</v>
      </c>
      <c r="B18" s="36" t="s">
        <v>142</v>
      </c>
      <c r="C18" s="37" t="s">
        <v>233</v>
      </c>
      <c r="D18" s="37" t="s">
        <v>234</v>
      </c>
      <c r="E18" s="37" t="s">
        <v>235</v>
      </c>
      <c r="F18" s="36" t="s">
        <v>146</v>
      </c>
      <c r="G18" s="38" t="s">
        <v>76</v>
      </c>
      <c r="H18" s="39">
        <v>46309</v>
      </c>
      <c r="I18" s="39">
        <v>46309</v>
      </c>
      <c r="J18" s="40">
        <v>0</v>
      </c>
      <c r="K18" s="37" t="s">
        <v>175</v>
      </c>
      <c r="L18" s="37" t="s">
        <v>148</v>
      </c>
      <c r="M18" s="37" t="s">
        <v>236</v>
      </c>
      <c r="N18" s="37" t="s">
        <v>237</v>
      </c>
      <c r="O18" s="37" t="s">
        <v>238</v>
      </c>
      <c r="P18" s="41"/>
      <c r="Q18" s="41"/>
      <c r="R18" s="42"/>
      <c r="S18" s="37" t="s">
        <v>160</v>
      </c>
      <c r="T18" s="38" t="s">
        <v>152</v>
      </c>
      <c r="U18" s="43">
        <f t="shared" si="0"/>
        <v>0</v>
      </c>
      <c r="V18" s="43">
        <f t="shared" ca="1" si="1"/>
        <v>0</v>
      </c>
      <c r="W18" s="44">
        <f t="shared" ca="1" si="2"/>
        <v>3</v>
      </c>
      <c r="X18" s="45" t="str">
        <f t="shared" ca="1" si="3"/>
        <v/>
      </c>
      <c r="Y18" s="45" t="str">
        <f t="shared" si="4"/>
        <v>⏳ 1 open</v>
      </c>
      <c r="Z18" s="45" t="str">
        <f>IF(A18="","",B18&amp;"|"&amp;COUNTIFS($B$6:B18,B18,$A$6:A18,"?*"))</f>
        <v>Phase 1|13</v>
      </c>
      <c r="AA18" s="45">
        <f t="shared" ca="1" si="5"/>
        <v>46309.000180000003</v>
      </c>
      <c r="AB18" s="45" t="str">
        <f t="shared" si="6"/>
        <v/>
      </c>
      <c r="AC18" s="45" t="str">
        <f t="shared" ca="1" si="7"/>
        <v>On track</v>
      </c>
    </row>
    <row r="19" spans="1:29" ht="61.95" customHeight="1" x14ac:dyDescent="0.3">
      <c r="A19" s="35" t="s">
        <v>239</v>
      </c>
      <c r="B19" s="36" t="s">
        <v>142</v>
      </c>
      <c r="C19" s="37" t="s">
        <v>240</v>
      </c>
      <c r="D19" s="37" t="s">
        <v>241</v>
      </c>
      <c r="E19" s="37" t="s">
        <v>242</v>
      </c>
      <c r="F19" s="36" t="s">
        <v>146</v>
      </c>
      <c r="G19" s="38" t="s">
        <v>76</v>
      </c>
      <c r="H19" s="39">
        <v>46309</v>
      </c>
      <c r="I19" s="39">
        <v>46309</v>
      </c>
      <c r="J19" s="40">
        <v>0</v>
      </c>
      <c r="K19" s="37" t="s">
        <v>161</v>
      </c>
      <c r="L19" s="37" t="s">
        <v>148</v>
      </c>
      <c r="M19" s="37" t="s">
        <v>243</v>
      </c>
      <c r="N19" s="37" t="s">
        <v>244</v>
      </c>
      <c r="O19" s="37" t="s">
        <v>245</v>
      </c>
      <c r="P19" s="41"/>
      <c r="Q19" s="41"/>
      <c r="R19" s="42"/>
      <c r="S19" s="37" t="s">
        <v>160</v>
      </c>
      <c r="T19" s="38" t="s">
        <v>152</v>
      </c>
      <c r="U19" s="43">
        <f t="shared" si="0"/>
        <v>0</v>
      </c>
      <c r="V19" s="43">
        <f t="shared" ca="1" si="1"/>
        <v>0</v>
      </c>
      <c r="W19" s="44">
        <f t="shared" ca="1" si="2"/>
        <v>3</v>
      </c>
      <c r="X19" s="45" t="str">
        <f t="shared" ca="1" si="3"/>
        <v/>
      </c>
      <c r="Y19" s="45" t="str">
        <f t="shared" si="4"/>
        <v>⏳ 1 open</v>
      </c>
      <c r="Z19" s="45" t="str">
        <f>IF(A19="","",B19&amp;"|"&amp;COUNTIFS($B$6:B19,B19,$A$6:A19,"?*"))</f>
        <v>Phase 1|14</v>
      </c>
      <c r="AA19" s="45">
        <f t="shared" ca="1" si="5"/>
        <v>46309.000189999999</v>
      </c>
      <c r="AB19" s="45" t="str">
        <f t="shared" si="6"/>
        <v/>
      </c>
      <c r="AC19" s="45" t="str">
        <f t="shared" ca="1" si="7"/>
        <v>On track</v>
      </c>
    </row>
    <row r="20" spans="1:29" ht="61.95" customHeight="1" x14ac:dyDescent="0.3">
      <c r="A20" s="35" t="s">
        <v>246</v>
      </c>
      <c r="B20" s="36" t="s">
        <v>142</v>
      </c>
      <c r="C20" s="37" t="s">
        <v>247</v>
      </c>
      <c r="D20" s="37" t="s">
        <v>248</v>
      </c>
      <c r="E20" s="37" t="s">
        <v>249</v>
      </c>
      <c r="F20" s="36" t="s">
        <v>8</v>
      </c>
      <c r="G20" s="38" t="s">
        <v>76</v>
      </c>
      <c r="H20" s="39">
        <v>46309</v>
      </c>
      <c r="I20" s="39">
        <v>46309</v>
      </c>
      <c r="J20" s="40">
        <v>0</v>
      </c>
      <c r="K20" s="37" t="s">
        <v>161</v>
      </c>
      <c r="L20" s="37" t="s">
        <v>148</v>
      </c>
      <c r="M20" s="37" t="s">
        <v>250</v>
      </c>
      <c r="N20" s="37" t="s">
        <v>251</v>
      </c>
      <c r="O20" s="37" t="s">
        <v>252</v>
      </c>
      <c r="P20" s="41"/>
      <c r="Q20" s="41"/>
      <c r="R20" s="42"/>
      <c r="S20" s="37" t="s">
        <v>160</v>
      </c>
      <c r="T20" s="38" t="s">
        <v>152</v>
      </c>
      <c r="U20" s="43">
        <f t="shared" si="0"/>
        <v>0</v>
      </c>
      <c r="V20" s="43">
        <f t="shared" ca="1" si="1"/>
        <v>0</v>
      </c>
      <c r="W20" s="44">
        <f t="shared" ca="1" si="2"/>
        <v>3</v>
      </c>
      <c r="X20" s="45" t="str">
        <f t="shared" ca="1" si="3"/>
        <v/>
      </c>
      <c r="Y20" s="45" t="str">
        <f t="shared" si="4"/>
        <v>⏳ 1 open</v>
      </c>
      <c r="Z20" s="45" t="str">
        <f>IF(A20="","",B20&amp;"|"&amp;COUNTIFS($B$6:B20,B20,$A$6:A20,"?*"))</f>
        <v>Phase 1|15</v>
      </c>
      <c r="AA20" s="45">
        <f t="shared" ca="1" si="5"/>
        <v>46309.000200000002</v>
      </c>
      <c r="AB20" s="45" t="str">
        <f t="shared" si="6"/>
        <v/>
      </c>
      <c r="AC20" s="45" t="str">
        <f t="shared" ca="1" si="7"/>
        <v>On track</v>
      </c>
    </row>
    <row r="21" spans="1:29" ht="61.95" customHeight="1" x14ac:dyDescent="0.3">
      <c r="A21" s="35" t="s">
        <v>253</v>
      </c>
      <c r="B21" s="36" t="s">
        <v>142</v>
      </c>
      <c r="C21" s="37" t="s">
        <v>254</v>
      </c>
      <c r="D21" s="37" t="s">
        <v>255</v>
      </c>
      <c r="E21" s="37" t="s">
        <v>256</v>
      </c>
      <c r="F21" s="36" t="s">
        <v>8</v>
      </c>
      <c r="G21" s="38" t="s">
        <v>76</v>
      </c>
      <c r="H21" s="39">
        <v>46309</v>
      </c>
      <c r="I21" s="39">
        <v>46309</v>
      </c>
      <c r="J21" s="40">
        <v>0</v>
      </c>
      <c r="K21" s="37" t="s">
        <v>182</v>
      </c>
      <c r="L21" s="37" t="s">
        <v>148</v>
      </c>
      <c r="M21" s="37" t="s">
        <v>257</v>
      </c>
      <c r="N21" s="37" t="s">
        <v>258</v>
      </c>
      <c r="O21" s="37" t="s">
        <v>259</v>
      </c>
      <c r="P21" s="41"/>
      <c r="Q21" s="41"/>
      <c r="R21" s="42"/>
      <c r="S21" s="37" t="s">
        <v>160</v>
      </c>
      <c r="T21" s="38" t="s">
        <v>152</v>
      </c>
      <c r="U21" s="43">
        <f t="shared" si="0"/>
        <v>0</v>
      </c>
      <c r="V21" s="43">
        <f t="shared" ca="1" si="1"/>
        <v>0</v>
      </c>
      <c r="W21" s="44">
        <f t="shared" ca="1" si="2"/>
        <v>3</v>
      </c>
      <c r="X21" s="45" t="str">
        <f t="shared" ca="1" si="3"/>
        <v/>
      </c>
      <c r="Y21" s="45" t="str">
        <f t="shared" si="4"/>
        <v>⏳ 1 open</v>
      </c>
      <c r="Z21" s="45" t="str">
        <f>IF(A21="","",B21&amp;"|"&amp;COUNTIFS($B$6:B21,B21,$A$6:A21,"?*"))</f>
        <v>Phase 1|16</v>
      </c>
      <c r="AA21" s="45">
        <f t="shared" ca="1" si="5"/>
        <v>46309.000209999998</v>
      </c>
      <c r="AB21" s="45" t="str">
        <f t="shared" si="6"/>
        <v/>
      </c>
      <c r="AC21" s="45" t="str">
        <f t="shared" ca="1" si="7"/>
        <v>On track</v>
      </c>
    </row>
    <row r="22" spans="1:29" ht="61.95" customHeight="1" x14ac:dyDescent="0.3">
      <c r="A22" s="35" t="s">
        <v>260</v>
      </c>
      <c r="B22" s="36" t="s">
        <v>142</v>
      </c>
      <c r="C22" s="37" t="s">
        <v>261</v>
      </c>
      <c r="D22" s="37" t="s">
        <v>262</v>
      </c>
      <c r="E22" s="37" t="s">
        <v>263</v>
      </c>
      <c r="F22" s="36" t="s">
        <v>146</v>
      </c>
      <c r="G22" s="38" t="s">
        <v>76</v>
      </c>
      <c r="H22" s="39">
        <v>46309</v>
      </c>
      <c r="I22" s="39">
        <v>46309</v>
      </c>
      <c r="J22" s="40">
        <v>0</v>
      </c>
      <c r="K22" s="37" t="s">
        <v>264</v>
      </c>
      <c r="L22" s="37" t="s">
        <v>148</v>
      </c>
      <c r="M22" s="37" t="s">
        <v>265</v>
      </c>
      <c r="N22" s="37" t="s">
        <v>266</v>
      </c>
      <c r="O22" s="37" t="s">
        <v>267</v>
      </c>
      <c r="P22" s="41"/>
      <c r="Q22" s="41"/>
      <c r="R22" s="42"/>
      <c r="S22" s="37" t="s">
        <v>160</v>
      </c>
      <c r="T22" s="38" t="s">
        <v>152</v>
      </c>
      <c r="U22" s="43">
        <f t="shared" si="0"/>
        <v>0</v>
      </c>
      <c r="V22" s="43">
        <f t="shared" ca="1" si="1"/>
        <v>0</v>
      </c>
      <c r="W22" s="44">
        <f t="shared" ca="1" si="2"/>
        <v>3</v>
      </c>
      <c r="X22" s="45" t="str">
        <f t="shared" ca="1" si="3"/>
        <v/>
      </c>
      <c r="Y22" s="45" t="str">
        <f t="shared" si="4"/>
        <v>⏳ 4 open</v>
      </c>
      <c r="Z22" s="45" t="str">
        <f>IF(A22="","",B22&amp;"|"&amp;COUNTIFS($B$6:B22,B22,$A$6:A22,"?*"))</f>
        <v>Phase 1|17</v>
      </c>
      <c r="AA22" s="45">
        <f t="shared" ca="1" si="5"/>
        <v>46309.000220000002</v>
      </c>
      <c r="AB22" s="45" t="str">
        <f t="shared" si="6"/>
        <v/>
      </c>
      <c r="AC22" s="45" t="str">
        <f t="shared" ca="1" si="7"/>
        <v>On track</v>
      </c>
    </row>
    <row r="23" spans="1:29" ht="61.95" customHeight="1" x14ac:dyDescent="0.3">
      <c r="A23" s="35" t="s">
        <v>268</v>
      </c>
      <c r="B23" s="36" t="s">
        <v>269</v>
      </c>
      <c r="C23" s="37" t="s">
        <v>270</v>
      </c>
      <c r="D23" s="37" t="s">
        <v>271</v>
      </c>
      <c r="E23" s="37" t="s">
        <v>272</v>
      </c>
      <c r="F23" s="36" t="s">
        <v>146</v>
      </c>
      <c r="G23" s="38" t="s">
        <v>76</v>
      </c>
      <c r="H23" s="39">
        <v>46310</v>
      </c>
      <c r="I23" s="39">
        <v>46310</v>
      </c>
      <c r="J23" s="40">
        <v>0</v>
      </c>
      <c r="K23" s="37" t="s">
        <v>273</v>
      </c>
      <c r="L23" s="37" t="s">
        <v>148</v>
      </c>
      <c r="M23" s="37" t="s">
        <v>274</v>
      </c>
      <c r="N23" s="37" t="s">
        <v>275</v>
      </c>
      <c r="O23" s="37" t="s">
        <v>276</v>
      </c>
      <c r="P23" s="41"/>
      <c r="Q23" s="41"/>
      <c r="R23" s="42"/>
      <c r="S23" s="37" t="s">
        <v>160</v>
      </c>
      <c r="T23" s="38" t="s">
        <v>152</v>
      </c>
      <c r="U23" s="43">
        <f t="shared" si="0"/>
        <v>0</v>
      </c>
      <c r="V23" s="43">
        <f t="shared" ca="1" si="1"/>
        <v>0</v>
      </c>
      <c r="W23" s="44">
        <f t="shared" ca="1" si="2"/>
        <v>4</v>
      </c>
      <c r="X23" s="45" t="str">
        <f t="shared" ca="1" si="3"/>
        <v/>
      </c>
      <c r="Y23" s="45" t="str">
        <f t="shared" si="4"/>
        <v>⏳ 2 open</v>
      </c>
      <c r="Z23" s="45" t="str">
        <f>IF(A23="","",B23&amp;"|"&amp;COUNTIFS($B$6:B23,B23,$A$6:A23,"?*"))</f>
        <v>Phase 2|1</v>
      </c>
      <c r="AA23" s="45">
        <f t="shared" ca="1" si="5"/>
        <v>46310.000229999998</v>
      </c>
      <c r="AB23" s="45" t="str">
        <f t="shared" si="6"/>
        <v/>
      </c>
      <c r="AC23" s="45" t="str">
        <f t="shared" ca="1" si="7"/>
        <v>On track</v>
      </c>
    </row>
    <row r="24" spans="1:29" ht="61.95" customHeight="1" x14ac:dyDescent="0.3">
      <c r="A24" s="35" t="s">
        <v>277</v>
      </c>
      <c r="B24" s="36" t="s">
        <v>269</v>
      </c>
      <c r="C24" s="37" t="s">
        <v>278</v>
      </c>
      <c r="D24" s="37" t="s">
        <v>279</v>
      </c>
      <c r="E24" s="37" t="s">
        <v>280</v>
      </c>
      <c r="F24" s="36" t="s">
        <v>146</v>
      </c>
      <c r="G24" s="38" t="s">
        <v>76</v>
      </c>
      <c r="H24" s="39">
        <v>46310</v>
      </c>
      <c r="I24" s="39">
        <v>46310</v>
      </c>
      <c r="J24" s="40">
        <v>0</v>
      </c>
      <c r="K24" s="37" t="s">
        <v>268</v>
      </c>
      <c r="L24" s="37" t="s">
        <v>148</v>
      </c>
      <c r="M24" s="37" t="s">
        <v>281</v>
      </c>
      <c r="N24" s="37" t="s">
        <v>282</v>
      </c>
      <c r="O24" s="37" t="s">
        <v>283</v>
      </c>
      <c r="P24" s="41"/>
      <c r="Q24" s="41"/>
      <c r="R24" s="42"/>
      <c r="S24" s="37" t="s">
        <v>160</v>
      </c>
      <c r="T24" s="38" t="s">
        <v>152</v>
      </c>
      <c r="U24" s="43">
        <f t="shared" si="0"/>
        <v>0</v>
      </c>
      <c r="V24" s="43">
        <f t="shared" ca="1" si="1"/>
        <v>0</v>
      </c>
      <c r="W24" s="44">
        <f t="shared" ca="1" si="2"/>
        <v>4</v>
      </c>
      <c r="X24" s="45" t="str">
        <f t="shared" ca="1" si="3"/>
        <v/>
      </c>
      <c r="Y24" s="45" t="str">
        <f t="shared" si="4"/>
        <v>⏳ 1 open</v>
      </c>
      <c r="Z24" s="45" t="str">
        <f>IF(A24="","",B24&amp;"|"&amp;COUNTIFS($B$6:B24,B24,$A$6:A24,"?*"))</f>
        <v>Phase 2|2</v>
      </c>
      <c r="AA24" s="45">
        <f t="shared" ca="1" si="5"/>
        <v>46310.000240000001</v>
      </c>
      <c r="AB24" s="45" t="str">
        <f t="shared" si="6"/>
        <v/>
      </c>
      <c r="AC24" s="45" t="str">
        <f t="shared" ca="1" si="7"/>
        <v>On track</v>
      </c>
    </row>
    <row r="25" spans="1:29" ht="61.95" customHeight="1" x14ac:dyDescent="0.3">
      <c r="A25" s="35" t="s">
        <v>284</v>
      </c>
      <c r="B25" s="36" t="s">
        <v>269</v>
      </c>
      <c r="C25" s="37" t="s">
        <v>285</v>
      </c>
      <c r="D25" s="37" t="s">
        <v>286</v>
      </c>
      <c r="E25" s="37" t="s">
        <v>287</v>
      </c>
      <c r="F25" s="36" t="s">
        <v>146</v>
      </c>
      <c r="G25" s="38" t="s">
        <v>76</v>
      </c>
      <c r="H25" s="39">
        <v>46310</v>
      </c>
      <c r="I25" s="39">
        <v>46310</v>
      </c>
      <c r="J25" s="40">
        <v>0</v>
      </c>
      <c r="K25" s="37" t="s">
        <v>277</v>
      </c>
      <c r="L25" s="37" t="s">
        <v>148</v>
      </c>
      <c r="M25" s="37" t="s">
        <v>288</v>
      </c>
      <c r="N25" s="37" t="s">
        <v>289</v>
      </c>
      <c r="O25" s="37" t="s">
        <v>290</v>
      </c>
      <c r="P25" s="41"/>
      <c r="Q25" s="41"/>
      <c r="R25" s="42"/>
      <c r="S25" s="37" t="s">
        <v>160</v>
      </c>
      <c r="T25" s="38" t="s">
        <v>152</v>
      </c>
      <c r="U25" s="43">
        <f t="shared" si="0"/>
        <v>0</v>
      </c>
      <c r="V25" s="43">
        <f t="shared" ca="1" si="1"/>
        <v>0</v>
      </c>
      <c r="W25" s="44">
        <f t="shared" ca="1" si="2"/>
        <v>4</v>
      </c>
      <c r="X25" s="45" t="str">
        <f t="shared" ca="1" si="3"/>
        <v/>
      </c>
      <c r="Y25" s="45" t="str">
        <f t="shared" si="4"/>
        <v>⏳ 1 open</v>
      </c>
      <c r="Z25" s="45" t="str">
        <f>IF(A25="","",B25&amp;"|"&amp;COUNTIFS($B$6:B25,B25,$A$6:A25,"?*"))</f>
        <v>Phase 2|3</v>
      </c>
      <c r="AA25" s="45">
        <f t="shared" ca="1" si="5"/>
        <v>46310.000249999997</v>
      </c>
      <c r="AB25" s="45" t="str">
        <f t="shared" si="6"/>
        <v/>
      </c>
      <c r="AC25" s="45" t="str">
        <f t="shared" ca="1" si="7"/>
        <v>On track</v>
      </c>
    </row>
    <row r="26" spans="1:29" ht="61.95" customHeight="1" x14ac:dyDescent="0.3">
      <c r="A26" s="35" t="s">
        <v>291</v>
      </c>
      <c r="B26" s="36" t="s">
        <v>269</v>
      </c>
      <c r="C26" s="37" t="s">
        <v>285</v>
      </c>
      <c r="D26" s="37" t="s">
        <v>292</v>
      </c>
      <c r="E26" s="37" t="s">
        <v>293</v>
      </c>
      <c r="F26" s="36" t="s">
        <v>146</v>
      </c>
      <c r="G26" s="38" t="s">
        <v>76</v>
      </c>
      <c r="H26" s="39">
        <v>46310</v>
      </c>
      <c r="I26" s="39">
        <v>46310</v>
      </c>
      <c r="J26" s="40">
        <v>0</v>
      </c>
      <c r="K26" s="37" t="s">
        <v>284</v>
      </c>
      <c r="L26" s="37" t="s">
        <v>148</v>
      </c>
      <c r="M26" s="37" t="s">
        <v>294</v>
      </c>
      <c r="N26" s="37" t="s">
        <v>295</v>
      </c>
      <c r="O26" s="37" t="s">
        <v>296</v>
      </c>
      <c r="P26" s="41"/>
      <c r="Q26" s="41"/>
      <c r="R26" s="42"/>
      <c r="S26" s="37" t="s">
        <v>160</v>
      </c>
      <c r="T26" s="38" t="s">
        <v>152</v>
      </c>
      <c r="U26" s="43">
        <f t="shared" si="0"/>
        <v>0</v>
      </c>
      <c r="V26" s="43">
        <f t="shared" ca="1" si="1"/>
        <v>0</v>
      </c>
      <c r="W26" s="44">
        <f t="shared" ca="1" si="2"/>
        <v>4</v>
      </c>
      <c r="X26" s="45" t="str">
        <f t="shared" ca="1" si="3"/>
        <v/>
      </c>
      <c r="Y26" s="45" t="str">
        <f t="shared" si="4"/>
        <v>⏳ 1 open</v>
      </c>
      <c r="Z26" s="45" t="str">
        <f>IF(A26="","",B26&amp;"|"&amp;COUNTIFS($B$6:B26,B26,$A$6:A26,"?*"))</f>
        <v>Phase 2|4</v>
      </c>
      <c r="AA26" s="45">
        <f t="shared" ca="1" si="5"/>
        <v>46310.000260000001</v>
      </c>
      <c r="AB26" s="45" t="str">
        <f t="shared" si="6"/>
        <v/>
      </c>
      <c r="AC26" s="45" t="str">
        <f t="shared" ca="1" si="7"/>
        <v>On track</v>
      </c>
    </row>
    <row r="27" spans="1:29" ht="61.95" customHeight="1" x14ac:dyDescent="0.3">
      <c r="A27" s="35" t="s">
        <v>297</v>
      </c>
      <c r="B27" s="36" t="s">
        <v>269</v>
      </c>
      <c r="C27" s="37" t="s">
        <v>285</v>
      </c>
      <c r="D27" s="37" t="s">
        <v>298</v>
      </c>
      <c r="E27" s="37" t="s">
        <v>299</v>
      </c>
      <c r="F27" s="36" t="s">
        <v>8</v>
      </c>
      <c r="G27" s="38" t="s">
        <v>76</v>
      </c>
      <c r="H27" s="39">
        <v>46310</v>
      </c>
      <c r="I27" s="39">
        <v>46310</v>
      </c>
      <c r="J27" s="40">
        <v>0</v>
      </c>
      <c r="K27" s="37" t="s">
        <v>277</v>
      </c>
      <c r="L27" s="37" t="s">
        <v>148</v>
      </c>
      <c r="M27" s="37" t="s">
        <v>300</v>
      </c>
      <c r="N27" s="37" t="s">
        <v>301</v>
      </c>
      <c r="O27" s="37" t="s">
        <v>302</v>
      </c>
      <c r="P27" s="41"/>
      <c r="Q27" s="41"/>
      <c r="R27" s="42"/>
      <c r="S27" s="37" t="s">
        <v>160</v>
      </c>
      <c r="T27" s="38" t="s">
        <v>152</v>
      </c>
      <c r="U27" s="43">
        <f t="shared" si="0"/>
        <v>0</v>
      </c>
      <c r="V27" s="43">
        <f t="shared" ca="1" si="1"/>
        <v>0</v>
      </c>
      <c r="W27" s="44">
        <f t="shared" ca="1" si="2"/>
        <v>4</v>
      </c>
      <c r="X27" s="45" t="str">
        <f t="shared" ca="1" si="3"/>
        <v/>
      </c>
      <c r="Y27" s="45" t="str">
        <f t="shared" si="4"/>
        <v>⏳ 1 open</v>
      </c>
      <c r="Z27" s="45" t="str">
        <f>IF(A27="","",B27&amp;"|"&amp;COUNTIFS($B$6:B27,B27,$A$6:A27,"?*"))</f>
        <v>Phase 2|5</v>
      </c>
      <c r="AA27" s="45">
        <f t="shared" ca="1" si="5"/>
        <v>46310.000269999997</v>
      </c>
      <c r="AB27" s="45" t="str">
        <f t="shared" si="6"/>
        <v/>
      </c>
      <c r="AC27" s="45" t="str">
        <f t="shared" ca="1" si="7"/>
        <v>On track</v>
      </c>
    </row>
    <row r="28" spans="1:29" ht="61.95" customHeight="1" x14ac:dyDescent="0.3">
      <c r="A28" s="35" t="s">
        <v>303</v>
      </c>
      <c r="B28" s="36" t="s">
        <v>269</v>
      </c>
      <c r="C28" s="37" t="s">
        <v>285</v>
      </c>
      <c r="D28" s="37" t="s">
        <v>304</v>
      </c>
      <c r="E28" s="37" t="s">
        <v>305</v>
      </c>
      <c r="F28" s="36" t="s">
        <v>8</v>
      </c>
      <c r="G28" s="38" t="s">
        <v>76</v>
      </c>
      <c r="H28" s="39">
        <v>46310</v>
      </c>
      <c r="I28" s="39">
        <v>46310</v>
      </c>
      <c r="J28" s="40">
        <v>0</v>
      </c>
      <c r="K28" s="37" t="s">
        <v>268</v>
      </c>
      <c r="L28" s="37" t="s">
        <v>148</v>
      </c>
      <c r="M28" s="37" t="s">
        <v>306</v>
      </c>
      <c r="N28" s="37" t="s">
        <v>307</v>
      </c>
      <c r="O28" s="37" t="s">
        <v>308</v>
      </c>
      <c r="P28" s="41"/>
      <c r="Q28" s="41"/>
      <c r="R28" s="42"/>
      <c r="S28" s="37" t="s">
        <v>160</v>
      </c>
      <c r="T28" s="38" t="s">
        <v>152</v>
      </c>
      <c r="U28" s="43">
        <f t="shared" si="0"/>
        <v>0</v>
      </c>
      <c r="V28" s="43">
        <f t="shared" ca="1" si="1"/>
        <v>0</v>
      </c>
      <c r="W28" s="44">
        <f t="shared" ca="1" si="2"/>
        <v>4</v>
      </c>
      <c r="X28" s="45" t="str">
        <f t="shared" ca="1" si="3"/>
        <v/>
      </c>
      <c r="Y28" s="45" t="str">
        <f t="shared" si="4"/>
        <v>⏳ 1 open</v>
      </c>
      <c r="Z28" s="45" t="str">
        <f>IF(A28="","",B28&amp;"|"&amp;COUNTIFS($B$6:B28,B28,$A$6:A28,"?*"))</f>
        <v>Phase 2|6</v>
      </c>
      <c r="AA28" s="45">
        <f t="shared" ca="1" si="5"/>
        <v>46310.00028</v>
      </c>
      <c r="AB28" s="45" t="str">
        <f t="shared" si="6"/>
        <v/>
      </c>
      <c r="AC28" s="45" t="str">
        <f t="shared" ca="1" si="7"/>
        <v>On track</v>
      </c>
    </row>
    <row r="29" spans="1:29" ht="61.95" customHeight="1" x14ac:dyDescent="0.3">
      <c r="A29" s="35" t="s">
        <v>309</v>
      </c>
      <c r="B29" s="36" t="s">
        <v>269</v>
      </c>
      <c r="C29" s="37" t="s">
        <v>285</v>
      </c>
      <c r="D29" s="37" t="s">
        <v>310</v>
      </c>
      <c r="E29" s="37" t="s">
        <v>311</v>
      </c>
      <c r="F29" s="36" t="s">
        <v>146</v>
      </c>
      <c r="G29" s="38" t="s">
        <v>76</v>
      </c>
      <c r="H29" s="39">
        <v>46310</v>
      </c>
      <c r="I29" s="39">
        <v>46311</v>
      </c>
      <c r="J29" s="40">
        <v>0</v>
      </c>
      <c r="K29" s="37" t="s">
        <v>277</v>
      </c>
      <c r="L29" s="37" t="s">
        <v>148</v>
      </c>
      <c r="M29" s="37" t="s">
        <v>312</v>
      </c>
      <c r="N29" s="37" t="s">
        <v>313</v>
      </c>
      <c r="O29" s="37" t="s">
        <v>314</v>
      </c>
      <c r="P29" s="41"/>
      <c r="Q29" s="41"/>
      <c r="R29" s="42"/>
      <c r="S29" s="37" t="s">
        <v>160</v>
      </c>
      <c r="T29" s="38" t="s">
        <v>152</v>
      </c>
      <c r="U29" s="43">
        <f t="shared" si="0"/>
        <v>0</v>
      </c>
      <c r="V29" s="43">
        <f t="shared" ca="1" si="1"/>
        <v>0</v>
      </c>
      <c r="W29" s="44">
        <f t="shared" ca="1" si="2"/>
        <v>5</v>
      </c>
      <c r="X29" s="45" t="str">
        <f t="shared" ca="1" si="3"/>
        <v/>
      </c>
      <c r="Y29" s="45" t="str">
        <f t="shared" si="4"/>
        <v>⏳ 1 open</v>
      </c>
      <c r="Z29" s="45" t="str">
        <f>IF(A29="","",B29&amp;"|"&amp;COUNTIFS($B$6:B29,B29,$A$6:A29,"?*"))</f>
        <v>Phase 2|7</v>
      </c>
      <c r="AA29" s="45">
        <f t="shared" ca="1" si="5"/>
        <v>46311.000290000004</v>
      </c>
      <c r="AB29" s="45" t="str">
        <f t="shared" si="6"/>
        <v/>
      </c>
      <c r="AC29" s="45" t="str">
        <f t="shared" ca="1" si="7"/>
        <v>On track</v>
      </c>
    </row>
    <row r="30" spans="1:29" ht="61.95" customHeight="1" x14ac:dyDescent="0.3">
      <c r="A30" s="35" t="s">
        <v>315</v>
      </c>
      <c r="B30" s="36" t="s">
        <v>269</v>
      </c>
      <c r="C30" s="37" t="s">
        <v>316</v>
      </c>
      <c r="D30" s="37" t="s">
        <v>317</v>
      </c>
      <c r="E30" s="37" t="s">
        <v>318</v>
      </c>
      <c r="F30" s="36" t="s">
        <v>146</v>
      </c>
      <c r="G30" s="38" t="s">
        <v>76</v>
      </c>
      <c r="H30" s="39">
        <v>46311</v>
      </c>
      <c r="I30" s="39">
        <v>46311</v>
      </c>
      <c r="J30" s="40">
        <v>0</v>
      </c>
      <c r="K30" s="37" t="s">
        <v>319</v>
      </c>
      <c r="L30" s="37" t="s">
        <v>148</v>
      </c>
      <c r="M30" s="37" t="s">
        <v>320</v>
      </c>
      <c r="N30" s="37" t="s">
        <v>321</v>
      </c>
      <c r="O30" s="37" t="s">
        <v>322</v>
      </c>
      <c r="P30" s="41"/>
      <c r="Q30" s="41"/>
      <c r="R30" s="42"/>
      <c r="S30" s="37" t="s">
        <v>160</v>
      </c>
      <c r="T30" s="38" t="s">
        <v>152</v>
      </c>
      <c r="U30" s="43">
        <f t="shared" si="0"/>
        <v>0</v>
      </c>
      <c r="V30" s="43">
        <f t="shared" ca="1" si="1"/>
        <v>0</v>
      </c>
      <c r="W30" s="44">
        <f t="shared" ca="1" si="2"/>
        <v>5</v>
      </c>
      <c r="X30" s="45" t="str">
        <f t="shared" ca="1" si="3"/>
        <v/>
      </c>
      <c r="Y30" s="45" t="str">
        <f t="shared" si="4"/>
        <v>⏳ 2 open</v>
      </c>
      <c r="Z30" s="45" t="str">
        <f>IF(A30="","",B30&amp;"|"&amp;COUNTIFS($B$6:B30,B30,$A$6:A30,"?*"))</f>
        <v>Phase 2|8</v>
      </c>
      <c r="AA30" s="45">
        <f t="shared" ca="1" si="5"/>
        <v>46311.0003</v>
      </c>
      <c r="AB30" s="45" t="str">
        <f t="shared" si="6"/>
        <v/>
      </c>
      <c r="AC30" s="45" t="str">
        <f t="shared" ca="1" si="7"/>
        <v>On track</v>
      </c>
    </row>
    <row r="31" spans="1:29" ht="61.95" customHeight="1" x14ac:dyDescent="0.3">
      <c r="A31" s="35" t="s">
        <v>323</v>
      </c>
      <c r="B31" s="36" t="s">
        <v>269</v>
      </c>
      <c r="C31" s="37" t="s">
        <v>324</v>
      </c>
      <c r="D31" s="37" t="s">
        <v>325</v>
      </c>
      <c r="E31" s="37" t="s">
        <v>326</v>
      </c>
      <c r="F31" s="36" t="s">
        <v>146</v>
      </c>
      <c r="G31" s="38" t="s">
        <v>76</v>
      </c>
      <c r="H31" s="39">
        <v>46311</v>
      </c>
      <c r="I31" s="39">
        <v>46311</v>
      </c>
      <c r="J31" s="40">
        <v>0</v>
      </c>
      <c r="K31" s="37" t="s">
        <v>268</v>
      </c>
      <c r="L31" s="37" t="s">
        <v>148</v>
      </c>
      <c r="M31" s="37" t="s">
        <v>327</v>
      </c>
      <c r="N31" s="37" t="s">
        <v>328</v>
      </c>
      <c r="O31" s="37" t="s">
        <v>329</v>
      </c>
      <c r="P31" s="41"/>
      <c r="Q31" s="41"/>
      <c r="R31" s="42"/>
      <c r="S31" s="37" t="s">
        <v>160</v>
      </c>
      <c r="T31" s="38" t="s">
        <v>152</v>
      </c>
      <c r="U31" s="43">
        <f t="shared" si="0"/>
        <v>0</v>
      </c>
      <c r="V31" s="43">
        <f t="shared" ca="1" si="1"/>
        <v>0</v>
      </c>
      <c r="W31" s="44">
        <f t="shared" ca="1" si="2"/>
        <v>5</v>
      </c>
      <c r="X31" s="45" t="str">
        <f t="shared" ca="1" si="3"/>
        <v/>
      </c>
      <c r="Y31" s="45" t="str">
        <f t="shared" si="4"/>
        <v>⏳ 1 open</v>
      </c>
      <c r="Z31" s="45" t="str">
        <f>IF(A31="","",B31&amp;"|"&amp;COUNTIFS($B$6:B31,B31,$A$6:A31,"?*"))</f>
        <v>Phase 2|9</v>
      </c>
      <c r="AA31" s="45">
        <f t="shared" ca="1" si="5"/>
        <v>46311.000310000003</v>
      </c>
      <c r="AB31" s="45" t="str">
        <f t="shared" si="6"/>
        <v/>
      </c>
      <c r="AC31" s="45" t="str">
        <f t="shared" ca="1" si="7"/>
        <v>On track</v>
      </c>
    </row>
    <row r="32" spans="1:29" ht="61.95" customHeight="1" x14ac:dyDescent="0.3">
      <c r="A32" s="35" t="s">
        <v>330</v>
      </c>
      <c r="B32" s="36" t="s">
        <v>269</v>
      </c>
      <c r="C32" s="37" t="s">
        <v>324</v>
      </c>
      <c r="D32" s="37" t="s">
        <v>331</v>
      </c>
      <c r="E32" s="37" t="s">
        <v>332</v>
      </c>
      <c r="F32" s="36" t="s">
        <v>146</v>
      </c>
      <c r="G32" s="38" t="s">
        <v>76</v>
      </c>
      <c r="H32" s="39">
        <v>46311</v>
      </c>
      <c r="I32" s="39">
        <v>46311</v>
      </c>
      <c r="J32" s="40">
        <v>0</v>
      </c>
      <c r="K32" s="37" t="s">
        <v>268</v>
      </c>
      <c r="L32" s="37" t="s">
        <v>148</v>
      </c>
      <c r="M32" s="37" t="s">
        <v>333</v>
      </c>
      <c r="N32" s="37" t="s">
        <v>334</v>
      </c>
      <c r="O32" s="37" t="s">
        <v>335</v>
      </c>
      <c r="P32" s="41"/>
      <c r="Q32" s="41"/>
      <c r="R32" s="42"/>
      <c r="S32" s="37" t="s">
        <v>160</v>
      </c>
      <c r="T32" s="38" t="s">
        <v>152</v>
      </c>
      <c r="U32" s="43">
        <f t="shared" si="0"/>
        <v>0</v>
      </c>
      <c r="V32" s="43">
        <f t="shared" ca="1" si="1"/>
        <v>0</v>
      </c>
      <c r="W32" s="44">
        <f t="shared" ca="1" si="2"/>
        <v>5</v>
      </c>
      <c r="X32" s="45" t="str">
        <f t="shared" ca="1" si="3"/>
        <v/>
      </c>
      <c r="Y32" s="45" t="str">
        <f t="shared" si="4"/>
        <v>⏳ 1 open</v>
      </c>
      <c r="Z32" s="45" t="str">
        <f>IF(A32="","",B32&amp;"|"&amp;COUNTIFS($B$6:B32,B32,$A$6:A32,"?*"))</f>
        <v>Phase 2|10</v>
      </c>
      <c r="AA32" s="45">
        <f t="shared" ca="1" si="5"/>
        <v>46311.000319999999</v>
      </c>
      <c r="AB32" s="45" t="str">
        <f t="shared" si="6"/>
        <v/>
      </c>
      <c r="AC32" s="45" t="str">
        <f t="shared" ca="1" si="7"/>
        <v>On track</v>
      </c>
    </row>
    <row r="33" spans="1:29" ht="61.95" customHeight="1" x14ac:dyDescent="0.3">
      <c r="A33" s="35" t="s">
        <v>336</v>
      </c>
      <c r="B33" s="36" t="s">
        <v>269</v>
      </c>
      <c r="C33" s="37" t="s">
        <v>324</v>
      </c>
      <c r="D33" s="37" t="s">
        <v>337</v>
      </c>
      <c r="E33" s="37" t="s">
        <v>338</v>
      </c>
      <c r="F33" s="36" t="s">
        <v>8</v>
      </c>
      <c r="G33" s="38" t="s">
        <v>76</v>
      </c>
      <c r="H33" s="39">
        <v>46311</v>
      </c>
      <c r="I33" s="39">
        <v>46311</v>
      </c>
      <c r="J33" s="40">
        <v>0</v>
      </c>
      <c r="K33" s="37" t="s">
        <v>339</v>
      </c>
      <c r="L33" s="37" t="s">
        <v>148</v>
      </c>
      <c r="M33" s="37" t="s">
        <v>340</v>
      </c>
      <c r="N33" s="37" t="s">
        <v>341</v>
      </c>
      <c r="O33" s="37" t="s">
        <v>342</v>
      </c>
      <c r="P33" s="41"/>
      <c r="Q33" s="41"/>
      <c r="R33" s="42"/>
      <c r="S33" s="37" t="s">
        <v>160</v>
      </c>
      <c r="T33" s="38" t="s">
        <v>152</v>
      </c>
      <c r="U33" s="43">
        <f t="shared" si="0"/>
        <v>0</v>
      </c>
      <c r="V33" s="43">
        <f t="shared" ca="1" si="1"/>
        <v>0</v>
      </c>
      <c r="W33" s="44">
        <f t="shared" ca="1" si="2"/>
        <v>5</v>
      </c>
      <c r="X33" s="45" t="str">
        <f t="shared" ca="1" si="3"/>
        <v/>
      </c>
      <c r="Y33" s="45" t="str">
        <f t="shared" si="4"/>
        <v>⏳ 2 open</v>
      </c>
      <c r="Z33" s="45" t="str">
        <f>IF(A33="","",B33&amp;"|"&amp;COUNTIFS($B$6:B33,B33,$A$6:A33,"?*"))</f>
        <v>Phase 2|11</v>
      </c>
      <c r="AA33" s="45">
        <f t="shared" ca="1" si="5"/>
        <v>46311.000330000003</v>
      </c>
      <c r="AB33" s="45" t="str">
        <f t="shared" si="6"/>
        <v/>
      </c>
      <c r="AC33" s="45" t="str">
        <f t="shared" ca="1" si="7"/>
        <v>On track</v>
      </c>
    </row>
    <row r="34" spans="1:29" ht="61.95" customHeight="1" x14ac:dyDescent="0.3">
      <c r="A34" s="35" t="s">
        <v>343</v>
      </c>
      <c r="B34" s="36" t="s">
        <v>269</v>
      </c>
      <c r="C34" s="37" t="s">
        <v>324</v>
      </c>
      <c r="D34" s="37" t="s">
        <v>344</v>
      </c>
      <c r="E34" s="37" t="s">
        <v>345</v>
      </c>
      <c r="F34" s="36" t="s">
        <v>8</v>
      </c>
      <c r="G34" s="38" t="s">
        <v>76</v>
      </c>
      <c r="H34" s="39">
        <v>46311</v>
      </c>
      <c r="I34" s="39">
        <v>46311</v>
      </c>
      <c r="J34" s="40">
        <v>0</v>
      </c>
      <c r="K34" s="37" t="s">
        <v>268</v>
      </c>
      <c r="L34" s="37" t="s">
        <v>148</v>
      </c>
      <c r="M34" s="37" t="s">
        <v>346</v>
      </c>
      <c r="N34" s="37" t="s">
        <v>347</v>
      </c>
      <c r="O34" s="37" t="s">
        <v>348</v>
      </c>
      <c r="P34" s="41"/>
      <c r="Q34" s="41"/>
      <c r="R34" s="42"/>
      <c r="S34" s="37" t="s">
        <v>160</v>
      </c>
      <c r="T34" s="38" t="s">
        <v>152</v>
      </c>
      <c r="U34" s="43">
        <f t="shared" si="0"/>
        <v>0</v>
      </c>
      <c r="V34" s="43">
        <f t="shared" ca="1" si="1"/>
        <v>0</v>
      </c>
      <c r="W34" s="44">
        <f t="shared" ca="1" si="2"/>
        <v>5</v>
      </c>
      <c r="X34" s="45" t="str">
        <f t="shared" ca="1" si="3"/>
        <v/>
      </c>
      <c r="Y34" s="45" t="str">
        <f t="shared" si="4"/>
        <v>⏳ 1 open</v>
      </c>
      <c r="Z34" s="45" t="str">
        <f>IF(A34="","",B34&amp;"|"&amp;COUNTIFS($B$6:B34,B34,$A$6:A34,"?*"))</f>
        <v>Phase 2|12</v>
      </c>
      <c r="AA34" s="45">
        <f t="shared" ca="1" si="5"/>
        <v>46311.000339999999</v>
      </c>
      <c r="AB34" s="45" t="str">
        <f t="shared" si="6"/>
        <v/>
      </c>
      <c r="AC34" s="45" t="str">
        <f t="shared" ca="1" si="7"/>
        <v>On track</v>
      </c>
    </row>
    <row r="35" spans="1:29" ht="61.95" customHeight="1" x14ac:dyDescent="0.3">
      <c r="A35" s="35" t="s">
        <v>349</v>
      </c>
      <c r="B35" s="36" t="s">
        <v>269</v>
      </c>
      <c r="C35" s="37" t="s">
        <v>324</v>
      </c>
      <c r="D35" s="37" t="s">
        <v>350</v>
      </c>
      <c r="E35" s="37" t="s">
        <v>351</v>
      </c>
      <c r="F35" s="36" t="s">
        <v>8</v>
      </c>
      <c r="G35" s="38" t="s">
        <v>76</v>
      </c>
      <c r="H35" s="39">
        <v>46311</v>
      </c>
      <c r="I35" s="39">
        <v>46311</v>
      </c>
      <c r="J35" s="40">
        <v>0</v>
      </c>
      <c r="K35" s="37" t="s">
        <v>268</v>
      </c>
      <c r="L35" s="37" t="s">
        <v>148</v>
      </c>
      <c r="M35" s="37" t="s">
        <v>352</v>
      </c>
      <c r="N35" s="37" t="s">
        <v>353</v>
      </c>
      <c r="O35" s="37" t="s">
        <v>354</v>
      </c>
      <c r="P35" s="41"/>
      <c r="Q35" s="41"/>
      <c r="R35" s="42"/>
      <c r="S35" s="37" t="s">
        <v>160</v>
      </c>
      <c r="T35" s="38" t="s">
        <v>152</v>
      </c>
      <c r="U35" s="43">
        <f t="shared" si="0"/>
        <v>0</v>
      </c>
      <c r="V35" s="43">
        <f t="shared" ca="1" si="1"/>
        <v>0</v>
      </c>
      <c r="W35" s="44">
        <f t="shared" ca="1" si="2"/>
        <v>5</v>
      </c>
      <c r="X35" s="45" t="str">
        <f t="shared" ca="1" si="3"/>
        <v/>
      </c>
      <c r="Y35" s="45" t="str">
        <f t="shared" si="4"/>
        <v>⏳ 1 open</v>
      </c>
      <c r="Z35" s="45" t="str">
        <f>IF(A35="","",B35&amp;"|"&amp;COUNTIFS($B$6:B35,B35,$A$6:A35,"?*"))</f>
        <v>Phase 2|13</v>
      </c>
      <c r="AA35" s="45">
        <f t="shared" ca="1" si="5"/>
        <v>46311.000350000002</v>
      </c>
      <c r="AB35" s="45" t="str">
        <f t="shared" si="6"/>
        <v/>
      </c>
      <c r="AC35" s="45" t="str">
        <f t="shared" ca="1" si="7"/>
        <v>On track</v>
      </c>
    </row>
    <row r="36" spans="1:29" ht="61.95" customHeight="1" x14ac:dyDescent="0.3">
      <c r="A36" s="35" t="s">
        <v>355</v>
      </c>
      <c r="B36" s="36" t="s">
        <v>269</v>
      </c>
      <c r="C36" s="37" t="s">
        <v>324</v>
      </c>
      <c r="D36" s="37" t="s">
        <v>356</v>
      </c>
      <c r="E36" s="37" t="s">
        <v>357</v>
      </c>
      <c r="F36" s="36" t="s">
        <v>8</v>
      </c>
      <c r="G36" s="38" t="s">
        <v>76</v>
      </c>
      <c r="H36" s="39">
        <v>46311</v>
      </c>
      <c r="I36" s="39">
        <v>46312</v>
      </c>
      <c r="J36" s="40">
        <v>0</v>
      </c>
      <c r="K36" s="37" t="s">
        <v>268</v>
      </c>
      <c r="L36" s="37" t="s">
        <v>148</v>
      </c>
      <c r="M36" s="37" t="s">
        <v>346</v>
      </c>
      <c r="N36" s="37" t="s">
        <v>358</v>
      </c>
      <c r="O36" s="37" t="s">
        <v>359</v>
      </c>
      <c r="P36" s="41"/>
      <c r="Q36" s="41"/>
      <c r="R36" s="42"/>
      <c r="S36" s="37" t="s">
        <v>160</v>
      </c>
      <c r="T36" s="38" t="s">
        <v>152</v>
      </c>
      <c r="U36" s="43">
        <f t="shared" si="0"/>
        <v>0</v>
      </c>
      <c r="V36" s="43">
        <f t="shared" ca="1" si="1"/>
        <v>0</v>
      </c>
      <c r="W36" s="44">
        <f t="shared" ca="1" si="2"/>
        <v>6</v>
      </c>
      <c r="X36" s="45" t="str">
        <f t="shared" ca="1" si="3"/>
        <v/>
      </c>
      <c r="Y36" s="45" t="str">
        <f t="shared" si="4"/>
        <v>⏳ 1 open</v>
      </c>
      <c r="Z36" s="45" t="str">
        <f>IF(A36="","",B36&amp;"|"&amp;COUNTIFS($B$6:B36,B36,$A$6:A36,"?*"))</f>
        <v>Phase 2|14</v>
      </c>
      <c r="AA36" s="45">
        <f t="shared" ca="1" si="5"/>
        <v>46312.000359999998</v>
      </c>
      <c r="AB36" s="45" t="str">
        <f t="shared" si="6"/>
        <v/>
      </c>
      <c r="AC36" s="45" t="str">
        <f t="shared" ca="1" si="7"/>
        <v>On track</v>
      </c>
    </row>
    <row r="37" spans="1:29" ht="61.95" customHeight="1" x14ac:dyDescent="0.3">
      <c r="A37" s="35" t="s">
        <v>360</v>
      </c>
      <c r="B37" s="36" t="s">
        <v>269</v>
      </c>
      <c r="C37" s="37" t="s">
        <v>324</v>
      </c>
      <c r="D37" s="37" t="s">
        <v>361</v>
      </c>
      <c r="E37" s="37" t="s">
        <v>362</v>
      </c>
      <c r="F37" s="36" t="s">
        <v>146</v>
      </c>
      <c r="G37" s="38" t="s">
        <v>76</v>
      </c>
      <c r="H37" s="39">
        <v>46312</v>
      </c>
      <c r="I37" s="39">
        <v>46312</v>
      </c>
      <c r="J37" s="40">
        <v>0</v>
      </c>
      <c r="K37" s="37" t="s">
        <v>268</v>
      </c>
      <c r="L37" s="37" t="s">
        <v>148</v>
      </c>
      <c r="M37" s="37" t="s">
        <v>363</v>
      </c>
      <c r="N37" s="37" t="s">
        <v>364</v>
      </c>
      <c r="O37" s="37" t="s">
        <v>365</v>
      </c>
      <c r="P37" s="41"/>
      <c r="Q37" s="41"/>
      <c r="R37" s="42"/>
      <c r="S37" s="37" t="s">
        <v>160</v>
      </c>
      <c r="T37" s="38" t="s">
        <v>152</v>
      </c>
      <c r="U37" s="43">
        <f t="shared" si="0"/>
        <v>0</v>
      </c>
      <c r="V37" s="43">
        <f t="shared" ca="1" si="1"/>
        <v>0</v>
      </c>
      <c r="W37" s="44">
        <f t="shared" ca="1" si="2"/>
        <v>6</v>
      </c>
      <c r="X37" s="45" t="str">
        <f t="shared" ca="1" si="3"/>
        <v/>
      </c>
      <c r="Y37" s="45" t="str">
        <f t="shared" si="4"/>
        <v>⏳ 1 open</v>
      </c>
      <c r="Z37" s="45" t="str">
        <f>IF(A37="","",B37&amp;"|"&amp;COUNTIFS($B$6:B37,B37,$A$6:A37,"?*"))</f>
        <v>Phase 2|15</v>
      </c>
      <c r="AA37" s="45">
        <f t="shared" ca="1" si="5"/>
        <v>46312.000370000002</v>
      </c>
      <c r="AB37" s="45" t="str">
        <f t="shared" si="6"/>
        <v/>
      </c>
      <c r="AC37" s="45" t="str">
        <f t="shared" ca="1" si="7"/>
        <v>On track</v>
      </c>
    </row>
    <row r="38" spans="1:29" ht="61.95" customHeight="1" x14ac:dyDescent="0.3">
      <c r="A38" s="35" t="s">
        <v>366</v>
      </c>
      <c r="B38" s="36" t="s">
        <v>269</v>
      </c>
      <c r="C38" s="37" t="s">
        <v>367</v>
      </c>
      <c r="D38" s="37" t="s">
        <v>368</v>
      </c>
      <c r="E38" s="37" t="s">
        <v>369</v>
      </c>
      <c r="F38" s="36" t="s">
        <v>8</v>
      </c>
      <c r="G38" s="38" t="s">
        <v>76</v>
      </c>
      <c r="H38" s="39">
        <v>46312</v>
      </c>
      <c r="I38" s="39">
        <v>46312</v>
      </c>
      <c r="J38" s="40">
        <v>0</v>
      </c>
      <c r="K38" s="37" t="s">
        <v>360</v>
      </c>
      <c r="L38" s="37" t="s">
        <v>148</v>
      </c>
      <c r="M38" s="37" t="s">
        <v>346</v>
      </c>
      <c r="N38" s="37" t="s">
        <v>370</v>
      </c>
      <c r="O38" s="37" t="s">
        <v>371</v>
      </c>
      <c r="P38" s="41"/>
      <c r="Q38" s="41"/>
      <c r="R38" s="42"/>
      <c r="S38" s="37" t="s">
        <v>160</v>
      </c>
      <c r="T38" s="38" t="s">
        <v>152</v>
      </c>
      <c r="U38" s="43">
        <f t="shared" ref="U38:U69" si="8">IF(A38="",0,IF(G38="Completed",1,IF(G38="Not Started",0,MIN(0.99,N(J38)))))</f>
        <v>0</v>
      </c>
      <c r="V38" s="43">
        <f t="shared" ref="V38:V69" ca="1" si="9">IF(OR(A38="",H38="",I38=""),0,MAX(0,MIN(1,(StatusDate-H38+1)/(I38-H38+1))))</f>
        <v>0</v>
      </c>
      <c r="W38" s="44">
        <f t="shared" ref="W38:W69" ca="1" si="10">IF(OR(A38="",I38="",G38="Completed"),"",I38-StatusDate)</f>
        <v>6</v>
      </c>
      <c r="X38" s="45" t="str">
        <f t="shared" ref="X38:X69" ca="1" si="11">IF(A38="","",IF(AND(G38&lt;&gt;"Completed",I38&lt;&gt;"",I38&lt;StatusDate),"OVERDUE",""))</f>
        <v/>
      </c>
      <c r="Y38" s="45" t="str">
        <f t="shared" ref="Y38:Y69" si="12">IF(OR(A38="",K38=""),"",IF(SUMPRODUCT(($A$6:$A$400&lt;&gt;"")*ISNUMBER(SEARCH($A$6:$A$400,K38))*($G$6:$G$400&lt;&gt;"Completed"))=0,"✓ Ready","⏳ "&amp;SUMPRODUCT(($A$6:$A$400&lt;&gt;"")*ISNUMBER(SEARCH($A$6:$A$400,K38))*($G$6:$G$400&lt;&gt;"Completed"))&amp;" open"))</f>
        <v>⏳ 1 open</v>
      </c>
      <c r="Z38" s="45" t="str">
        <f>IF(A38="","",B38&amp;"|"&amp;COUNTIFS($B$6:B38,B38,$A$6:A38,"?*"))</f>
        <v>Phase 2|16</v>
      </c>
      <c r="AA38" s="45">
        <f t="shared" ref="AA38:AA69" ca="1" si="13">IF(OR(A38="",I38="",G38="Completed"),"",IF(I38&gt;=StatusDate,I38+ROW()/100000,""))</f>
        <v>46312.000379999998</v>
      </c>
      <c r="AB38" s="45" t="str">
        <f t="shared" ref="AB38:AB69" si="14">IF(A38="","",IF(AND(G38&lt;&gt;"Completed",OR(G38="Blocked",AND(TRIM(P38)&lt;&gt;"",P38&lt;&gt;"None"))),ROW(),""))</f>
        <v/>
      </c>
      <c r="AC38" s="45" t="str">
        <f t="shared" ref="AC38:AC69" ca="1" si="15">IF(A38="","",IF(G38="Completed","Done",IF(G38="Blocked","Blocked",IF(X38="OVERDUE","Overdue",IF(AND(W38&lt;&gt;"",W38&lt;=2),"Due soon",IF(AND(Y38&lt;&gt;"",LEFT(Y38,1)="⏳",G38&lt;&gt;"Not Started"),"Dependency open",IF(AND(S38&lt;&gt;"None",S38&lt;&gt;"",G38&lt;&gt;"Completed"),"External req.","On track")))))))</f>
        <v>On track</v>
      </c>
    </row>
    <row r="39" spans="1:29" ht="61.95" customHeight="1" x14ac:dyDescent="0.3">
      <c r="A39" s="35" t="s">
        <v>372</v>
      </c>
      <c r="B39" s="36" t="s">
        <v>269</v>
      </c>
      <c r="C39" s="37" t="s">
        <v>367</v>
      </c>
      <c r="D39" s="37" t="s">
        <v>373</v>
      </c>
      <c r="E39" s="37" t="s">
        <v>374</v>
      </c>
      <c r="F39" s="36" t="s">
        <v>8</v>
      </c>
      <c r="G39" s="38" t="s">
        <v>76</v>
      </c>
      <c r="H39" s="39">
        <v>46312</v>
      </c>
      <c r="I39" s="39">
        <v>46312</v>
      </c>
      <c r="J39" s="40">
        <v>0</v>
      </c>
      <c r="K39" s="37" t="s">
        <v>360</v>
      </c>
      <c r="L39" s="37" t="s">
        <v>148</v>
      </c>
      <c r="M39" s="37" t="s">
        <v>346</v>
      </c>
      <c r="N39" s="37" t="s">
        <v>370</v>
      </c>
      <c r="O39" s="37" t="s">
        <v>371</v>
      </c>
      <c r="P39" s="41"/>
      <c r="Q39" s="41"/>
      <c r="R39" s="42"/>
      <c r="S39" s="37" t="s">
        <v>160</v>
      </c>
      <c r="T39" s="38" t="s">
        <v>152</v>
      </c>
      <c r="U39" s="43">
        <f t="shared" si="8"/>
        <v>0</v>
      </c>
      <c r="V39" s="43">
        <f t="shared" ca="1" si="9"/>
        <v>0</v>
      </c>
      <c r="W39" s="44">
        <f t="shared" ca="1" si="10"/>
        <v>6</v>
      </c>
      <c r="X39" s="45" t="str">
        <f t="shared" ca="1" si="11"/>
        <v/>
      </c>
      <c r="Y39" s="45" t="str">
        <f t="shared" si="12"/>
        <v>⏳ 1 open</v>
      </c>
      <c r="Z39" s="45" t="str">
        <f>IF(A39="","",B39&amp;"|"&amp;COUNTIFS($B$6:B39,B39,$A$6:A39,"?*"))</f>
        <v>Phase 2|17</v>
      </c>
      <c r="AA39" s="45">
        <f t="shared" ca="1" si="13"/>
        <v>46312.000390000001</v>
      </c>
      <c r="AB39" s="45" t="str">
        <f t="shared" si="14"/>
        <v/>
      </c>
      <c r="AC39" s="45" t="str">
        <f t="shared" ca="1" si="15"/>
        <v>On track</v>
      </c>
    </row>
    <row r="40" spans="1:29" ht="61.95" customHeight="1" x14ac:dyDescent="0.3">
      <c r="A40" s="35" t="s">
        <v>375</v>
      </c>
      <c r="B40" s="36" t="s">
        <v>269</v>
      </c>
      <c r="C40" s="37" t="s">
        <v>367</v>
      </c>
      <c r="D40" s="37" t="s">
        <v>376</v>
      </c>
      <c r="E40" s="37" t="s">
        <v>377</v>
      </c>
      <c r="F40" s="36" t="s">
        <v>8</v>
      </c>
      <c r="G40" s="38" t="s">
        <v>76</v>
      </c>
      <c r="H40" s="39">
        <v>46312</v>
      </c>
      <c r="I40" s="39">
        <v>46312</v>
      </c>
      <c r="J40" s="40">
        <v>0</v>
      </c>
      <c r="K40" s="37" t="s">
        <v>360</v>
      </c>
      <c r="L40" s="37" t="s">
        <v>148</v>
      </c>
      <c r="M40" s="37" t="s">
        <v>346</v>
      </c>
      <c r="N40" s="37" t="s">
        <v>370</v>
      </c>
      <c r="O40" s="37" t="s">
        <v>371</v>
      </c>
      <c r="P40" s="41"/>
      <c r="Q40" s="41"/>
      <c r="R40" s="42"/>
      <c r="S40" s="37" t="s">
        <v>160</v>
      </c>
      <c r="T40" s="38" t="s">
        <v>152</v>
      </c>
      <c r="U40" s="43">
        <f t="shared" si="8"/>
        <v>0</v>
      </c>
      <c r="V40" s="43">
        <f t="shared" ca="1" si="9"/>
        <v>0</v>
      </c>
      <c r="W40" s="44">
        <f t="shared" ca="1" si="10"/>
        <v>6</v>
      </c>
      <c r="X40" s="45" t="str">
        <f t="shared" ca="1" si="11"/>
        <v/>
      </c>
      <c r="Y40" s="45" t="str">
        <f t="shared" si="12"/>
        <v>⏳ 1 open</v>
      </c>
      <c r="Z40" s="45" t="str">
        <f>IF(A40="","",B40&amp;"|"&amp;COUNTIFS($B$6:B40,B40,$A$6:A40,"?*"))</f>
        <v>Phase 2|18</v>
      </c>
      <c r="AA40" s="45">
        <f t="shared" ca="1" si="13"/>
        <v>46312.000399999997</v>
      </c>
      <c r="AB40" s="45" t="str">
        <f t="shared" si="14"/>
        <v/>
      </c>
      <c r="AC40" s="45" t="str">
        <f t="shared" ca="1" si="15"/>
        <v>On track</v>
      </c>
    </row>
    <row r="41" spans="1:29" ht="61.95" customHeight="1" x14ac:dyDescent="0.3">
      <c r="A41" s="35" t="s">
        <v>378</v>
      </c>
      <c r="B41" s="36" t="s">
        <v>269</v>
      </c>
      <c r="C41" s="37" t="s">
        <v>367</v>
      </c>
      <c r="D41" s="37" t="s">
        <v>379</v>
      </c>
      <c r="E41" s="37" t="s">
        <v>380</v>
      </c>
      <c r="F41" s="36" t="s">
        <v>8</v>
      </c>
      <c r="G41" s="38" t="s">
        <v>76</v>
      </c>
      <c r="H41" s="39">
        <v>46312</v>
      </c>
      <c r="I41" s="39">
        <v>46312</v>
      </c>
      <c r="J41" s="40">
        <v>0</v>
      </c>
      <c r="K41" s="37" t="s">
        <v>360</v>
      </c>
      <c r="L41" s="37" t="s">
        <v>148</v>
      </c>
      <c r="M41" s="37" t="s">
        <v>346</v>
      </c>
      <c r="N41" s="37" t="s">
        <v>370</v>
      </c>
      <c r="O41" s="37" t="s">
        <v>371</v>
      </c>
      <c r="P41" s="41"/>
      <c r="Q41" s="41"/>
      <c r="R41" s="42"/>
      <c r="S41" s="37" t="s">
        <v>160</v>
      </c>
      <c r="T41" s="38" t="s">
        <v>152</v>
      </c>
      <c r="U41" s="43">
        <f t="shared" si="8"/>
        <v>0</v>
      </c>
      <c r="V41" s="43">
        <f t="shared" ca="1" si="9"/>
        <v>0</v>
      </c>
      <c r="W41" s="44">
        <f t="shared" ca="1" si="10"/>
        <v>6</v>
      </c>
      <c r="X41" s="45" t="str">
        <f t="shared" ca="1" si="11"/>
        <v/>
      </c>
      <c r="Y41" s="45" t="str">
        <f t="shared" si="12"/>
        <v>⏳ 1 open</v>
      </c>
      <c r="Z41" s="45" t="str">
        <f>IF(A41="","",B41&amp;"|"&amp;COUNTIFS($B$6:B41,B41,$A$6:A41,"?*"))</f>
        <v>Phase 2|19</v>
      </c>
      <c r="AA41" s="45">
        <f t="shared" ca="1" si="13"/>
        <v>46312.000410000001</v>
      </c>
      <c r="AB41" s="45" t="str">
        <f t="shared" si="14"/>
        <v/>
      </c>
      <c r="AC41" s="45" t="str">
        <f t="shared" ca="1" si="15"/>
        <v>On track</v>
      </c>
    </row>
    <row r="42" spans="1:29" ht="61.95" customHeight="1" x14ac:dyDescent="0.3">
      <c r="A42" s="35" t="s">
        <v>381</v>
      </c>
      <c r="B42" s="36" t="s">
        <v>269</v>
      </c>
      <c r="C42" s="37" t="s">
        <v>367</v>
      </c>
      <c r="D42" s="37" t="s">
        <v>382</v>
      </c>
      <c r="E42" s="37" t="s">
        <v>383</v>
      </c>
      <c r="F42" s="36" t="s">
        <v>8</v>
      </c>
      <c r="G42" s="38" t="s">
        <v>76</v>
      </c>
      <c r="H42" s="39">
        <v>46312</v>
      </c>
      <c r="I42" s="39">
        <v>46312</v>
      </c>
      <c r="J42" s="40">
        <v>0</v>
      </c>
      <c r="K42" s="37" t="s">
        <v>360</v>
      </c>
      <c r="L42" s="37" t="s">
        <v>148</v>
      </c>
      <c r="M42" s="37" t="s">
        <v>346</v>
      </c>
      <c r="N42" s="37" t="s">
        <v>370</v>
      </c>
      <c r="O42" s="37" t="s">
        <v>371</v>
      </c>
      <c r="P42" s="41"/>
      <c r="Q42" s="41"/>
      <c r="R42" s="42"/>
      <c r="S42" s="37" t="s">
        <v>160</v>
      </c>
      <c r="T42" s="38" t="s">
        <v>152</v>
      </c>
      <c r="U42" s="43">
        <f t="shared" si="8"/>
        <v>0</v>
      </c>
      <c r="V42" s="43">
        <f t="shared" ca="1" si="9"/>
        <v>0</v>
      </c>
      <c r="W42" s="44">
        <f t="shared" ca="1" si="10"/>
        <v>6</v>
      </c>
      <c r="X42" s="45" t="str">
        <f t="shared" ca="1" si="11"/>
        <v/>
      </c>
      <c r="Y42" s="45" t="str">
        <f t="shared" si="12"/>
        <v>⏳ 1 open</v>
      </c>
      <c r="Z42" s="45" t="str">
        <f>IF(A42="","",B42&amp;"|"&amp;COUNTIFS($B$6:B42,B42,$A$6:A42,"?*"))</f>
        <v>Phase 2|20</v>
      </c>
      <c r="AA42" s="45">
        <f t="shared" ca="1" si="13"/>
        <v>46312.000419999997</v>
      </c>
      <c r="AB42" s="45" t="str">
        <f t="shared" si="14"/>
        <v/>
      </c>
      <c r="AC42" s="45" t="str">
        <f t="shared" ca="1" si="15"/>
        <v>On track</v>
      </c>
    </row>
    <row r="43" spans="1:29" ht="61.95" customHeight="1" x14ac:dyDescent="0.3">
      <c r="A43" s="35" t="s">
        <v>384</v>
      </c>
      <c r="B43" s="36" t="s">
        <v>269</v>
      </c>
      <c r="C43" s="37" t="s">
        <v>367</v>
      </c>
      <c r="D43" s="37" t="s">
        <v>385</v>
      </c>
      <c r="E43" s="37" t="s">
        <v>386</v>
      </c>
      <c r="F43" s="36" t="s">
        <v>8</v>
      </c>
      <c r="G43" s="38" t="s">
        <v>76</v>
      </c>
      <c r="H43" s="39">
        <v>46312</v>
      </c>
      <c r="I43" s="39">
        <v>46312</v>
      </c>
      <c r="J43" s="40">
        <v>0</v>
      </c>
      <c r="K43" s="37" t="s">
        <v>360</v>
      </c>
      <c r="L43" s="37" t="s">
        <v>148</v>
      </c>
      <c r="M43" s="37" t="s">
        <v>346</v>
      </c>
      <c r="N43" s="37" t="s">
        <v>370</v>
      </c>
      <c r="O43" s="37" t="s">
        <v>371</v>
      </c>
      <c r="P43" s="41"/>
      <c r="Q43" s="41"/>
      <c r="R43" s="42"/>
      <c r="S43" s="37" t="s">
        <v>160</v>
      </c>
      <c r="T43" s="38" t="s">
        <v>152</v>
      </c>
      <c r="U43" s="43">
        <f t="shared" si="8"/>
        <v>0</v>
      </c>
      <c r="V43" s="43">
        <f t="shared" ca="1" si="9"/>
        <v>0</v>
      </c>
      <c r="W43" s="44">
        <f t="shared" ca="1" si="10"/>
        <v>6</v>
      </c>
      <c r="X43" s="45" t="str">
        <f t="shared" ca="1" si="11"/>
        <v/>
      </c>
      <c r="Y43" s="45" t="str">
        <f t="shared" si="12"/>
        <v>⏳ 1 open</v>
      </c>
      <c r="Z43" s="45" t="str">
        <f>IF(A43="","",B43&amp;"|"&amp;COUNTIFS($B$6:B43,B43,$A$6:A43,"?*"))</f>
        <v>Phase 2|21</v>
      </c>
      <c r="AA43" s="45">
        <f t="shared" ca="1" si="13"/>
        <v>46312.00043</v>
      </c>
      <c r="AB43" s="45" t="str">
        <f t="shared" si="14"/>
        <v/>
      </c>
      <c r="AC43" s="45" t="str">
        <f t="shared" ca="1" si="15"/>
        <v>On track</v>
      </c>
    </row>
    <row r="44" spans="1:29" ht="61.95" customHeight="1" x14ac:dyDescent="0.3">
      <c r="A44" s="35" t="s">
        <v>387</v>
      </c>
      <c r="B44" s="36" t="s">
        <v>269</v>
      </c>
      <c r="C44" s="37" t="s">
        <v>388</v>
      </c>
      <c r="D44" s="37" t="s">
        <v>389</v>
      </c>
      <c r="E44" s="37" t="s">
        <v>390</v>
      </c>
      <c r="F44" s="36" t="s">
        <v>146</v>
      </c>
      <c r="G44" s="38" t="s">
        <v>76</v>
      </c>
      <c r="H44" s="39">
        <v>46312</v>
      </c>
      <c r="I44" s="39">
        <v>46312</v>
      </c>
      <c r="J44" s="40">
        <v>0</v>
      </c>
      <c r="K44" s="37" t="s">
        <v>391</v>
      </c>
      <c r="L44" s="37" t="s">
        <v>148</v>
      </c>
      <c r="M44" s="37" t="s">
        <v>392</v>
      </c>
      <c r="N44" s="37" t="s">
        <v>393</v>
      </c>
      <c r="O44" s="37" t="s">
        <v>394</v>
      </c>
      <c r="P44" s="41"/>
      <c r="Q44" s="41"/>
      <c r="R44" s="42"/>
      <c r="S44" s="37" t="s">
        <v>160</v>
      </c>
      <c r="T44" s="38" t="s">
        <v>152</v>
      </c>
      <c r="U44" s="43">
        <f t="shared" si="8"/>
        <v>0</v>
      </c>
      <c r="V44" s="43">
        <f t="shared" ca="1" si="9"/>
        <v>0</v>
      </c>
      <c r="W44" s="44">
        <f t="shared" ca="1" si="10"/>
        <v>6</v>
      </c>
      <c r="X44" s="45" t="str">
        <f t="shared" ca="1" si="11"/>
        <v/>
      </c>
      <c r="Y44" s="45" t="str">
        <f t="shared" si="12"/>
        <v>⏳ 2 open</v>
      </c>
      <c r="Z44" s="45" t="str">
        <f>IF(A44="","",B44&amp;"|"&amp;COUNTIFS($B$6:B44,B44,$A$6:A44,"?*"))</f>
        <v>Phase 2|22</v>
      </c>
      <c r="AA44" s="45">
        <f t="shared" ca="1" si="13"/>
        <v>46312.000440000003</v>
      </c>
      <c r="AB44" s="45" t="str">
        <f t="shared" si="14"/>
        <v/>
      </c>
      <c r="AC44" s="45" t="str">
        <f t="shared" ca="1" si="15"/>
        <v>On track</v>
      </c>
    </row>
    <row r="45" spans="1:29" ht="61.95" customHeight="1" x14ac:dyDescent="0.3">
      <c r="A45" s="35" t="s">
        <v>395</v>
      </c>
      <c r="B45" s="36" t="s">
        <v>269</v>
      </c>
      <c r="C45" s="37" t="s">
        <v>396</v>
      </c>
      <c r="D45" s="37" t="s">
        <v>397</v>
      </c>
      <c r="E45" s="37" t="s">
        <v>398</v>
      </c>
      <c r="F45" s="36" t="s">
        <v>8</v>
      </c>
      <c r="G45" s="38" t="s">
        <v>76</v>
      </c>
      <c r="H45" s="39">
        <v>46312</v>
      </c>
      <c r="I45" s="39">
        <v>46312</v>
      </c>
      <c r="J45" s="40">
        <v>0</v>
      </c>
      <c r="K45" s="37" t="s">
        <v>268</v>
      </c>
      <c r="L45" s="37" t="s">
        <v>148</v>
      </c>
      <c r="M45" s="37" t="s">
        <v>399</v>
      </c>
      <c r="N45" s="37" t="s">
        <v>400</v>
      </c>
      <c r="O45" s="37" t="s">
        <v>401</v>
      </c>
      <c r="P45" s="41"/>
      <c r="Q45" s="41"/>
      <c r="R45" s="42"/>
      <c r="S45" s="37" t="s">
        <v>160</v>
      </c>
      <c r="T45" s="38" t="s">
        <v>152</v>
      </c>
      <c r="U45" s="43">
        <f t="shared" si="8"/>
        <v>0</v>
      </c>
      <c r="V45" s="43">
        <f t="shared" ca="1" si="9"/>
        <v>0</v>
      </c>
      <c r="W45" s="44">
        <f t="shared" ca="1" si="10"/>
        <v>6</v>
      </c>
      <c r="X45" s="45" t="str">
        <f t="shared" ca="1" si="11"/>
        <v/>
      </c>
      <c r="Y45" s="45" t="str">
        <f t="shared" si="12"/>
        <v>⏳ 1 open</v>
      </c>
      <c r="Z45" s="45" t="str">
        <f>IF(A45="","",B45&amp;"|"&amp;COUNTIFS($B$6:B45,B45,$A$6:A45,"?*"))</f>
        <v>Phase 2|23</v>
      </c>
      <c r="AA45" s="45">
        <f t="shared" ca="1" si="13"/>
        <v>46312.00045</v>
      </c>
      <c r="AB45" s="45" t="str">
        <f t="shared" si="14"/>
        <v/>
      </c>
      <c r="AC45" s="45" t="str">
        <f t="shared" ca="1" si="15"/>
        <v>On track</v>
      </c>
    </row>
    <row r="46" spans="1:29" ht="61.95" customHeight="1" x14ac:dyDescent="0.3">
      <c r="A46" s="35" t="s">
        <v>402</v>
      </c>
      <c r="B46" s="36" t="s">
        <v>269</v>
      </c>
      <c r="C46" s="37" t="s">
        <v>261</v>
      </c>
      <c r="D46" s="37" t="s">
        <v>403</v>
      </c>
      <c r="E46" s="37" t="s">
        <v>404</v>
      </c>
      <c r="F46" s="36" t="s">
        <v>146</v>
      </c>
      <c r="G46" s="38" t="s">
        <v>76</v>
      </c>
      <c r="H46" s="39">
        <v>46312</v>
      </c>
      <c r="I46" s="39">
        <v>46312</v>
      </c>
      <c r="J46" s="40">
        <v>0</v>
      </c>
      <c r="K46" s="37" t="s">
        <v>405</v>
      </c>
      <c r="L46" s="37" t="s">
        <v>148</v>
      </c>
      <c r="M46" s="37" t="s">
        <v>406</v>
      </c>
      <c r="N46" s="37" t="s">
        <v>407</v>
      </c>
      <c r="O46" s="37" t="s">
        <v>408</v>
      </c>
      <c r="P46" s="41"/>
      <c r="Q46" s="41"/>
      <c r="R46" s="42"/>
      <c r="S46" s="37" t="s">
        <v>160</v>
      </c>
      <c r="T46" s="38" t="s">
        <v>152</v>
      </c>
      <c r="U46" s="43">
        <f t="shared" si="8"/>
        <v>0</v>
      </c>
      <c r="V46" s="43">
        <f t="shared" ca="1" si="9"/>
        <v>0</v>
      </c>
      <c r="W46" s="44">
        <f t="shared" ca="1" si="10"/>
        <v>6</v>
      </c>
      <c r="X46" s="45" t="str">
        <f t="shared" ca="1" si="11"/>
        <v/>
      </c>
      <c r="Y46" s="45" t="str">
        <f t="shared" si="12"/>
        <v>⏳ 3 open</v>
      </c>
      <c r="Z46" s="45" t="str">
        <f>IF(A46="","",B46&amp;"|"&amp;COUNTIFS($B$6:B46,B46,$A$6:A46,"?*"))</f>
        <v>Phase 2|24</v>
      </c>
      <c r="AA46" s="45">
        <f t="shared" ca="1" si="13"/>
        <v>46312.000460000003</v>
      </c>
      <c r="AB46" s="45" t="str">
        <f t="shared" si="14"/>
        <v/>
      </c>
      <c r="AC46" s="45" t="str">
        <f t="shared" ca="1" si="15"/>
        <v>On track</v>
      </c>
    </row>
    <row r="47" spans="1:29" ht="61.95" customHeight="1" x14ac:dyDescent="0.3">
      <c r="A47" s="35" t="s">
        <v>409</v>
      </c>
      <c r="B47" s="36" t="s">
        <v>410</v>
      </c>
      <c r="C47" s="37" t="s">
        <v>411</v>
      </c>
      <c r="D47" s="37" t="s">
        <v>412</v>
      </c>
      <c r="E47" s="37" t="s">
        <v>413</v>
      </c>
      <c r="F47" s="36" t="s">
        <v>146</v>
      </c>
      <c r="G47" s="38" t="s">
        <v>76</v>
      </c>
      <c r="H47" s="39">
        <v>46313</v>
      </c>
      <c r="I47" s="39">
        <v>46313</v>
      </c>
      <c r="J47" s="40">
        <v>0</v>
      </c>
      <c r="K47" s="37" t="s">
        <v>260</v>
      </c>
      <c r="L47" s="37" t="s">
        <v>148</v>
      </c>
      <c r="M47" s="37" t="s">
        <v>414</v>
      </c>
      <c r="N47" s="37" t="s">
        <v>415</v>
      </c>
      <c r="O47" s="37" t="s">
        <v>416</v>
      </c>
      <c r="P47" s="41"/>
      <c r="Q47" s="41"/>
      <c r="R47" s="42"/>
      <c r="S47" s="37" t="s">
        <v>160</v>
      </c>
      <c r="T47" s="38" t="s">
        <v>152</v>
      </c>
      <c r="U47" s="43">
        <f t="shared" si="8"/>
        <v>0</v>
      </c>
      <c r="V47" s="43">
        <f t="shared" ca="1" si="9"/>
        <v>0</v>
      </c>
      <c r="W47" s="44">
        <f t="shared" ca="1" si="10"/>
        <v>7</v>
      </c>
      <c r="X47" s="45" t="str">
        <f t="shared" ca="1" si="11"/>
        <v/>
      </c>
      <c r="Y47" s="45" t="str">
        <f t="shared" si="12"/>
        <v>⏳ 1 open</v>
      </c>
      <c r="Z47" s="45" t="str">
        <f>IF(A47="","",B47&amp;"|"&amp;COUNTIFS($B$6:B47,B47,$A$6:A47,"?*"))</f>
        <v>Phase 3|1</v>
      </c>
      <c r="AA47" s="45">
        <f t="shared" ca="1" si="13"/>
        <v>46313.000469999999</v>
      </c>
      <c r="AB47" s="45" t="str">
        <f t="shared" si="14"/>
        <v/>
      </c>
      <c r="AC47" s="45" t="str">
        <f t="shared" ca="1" si="15"/>
        <v>On track</v>
      </c>
    </row>
    <row r="48" spans="1:29" ht="61.95" customHeight="1" x14ac:dyDescent="0.3">
      <c r="A48" s="35" t="s">
        <v>417</v>
      </c>
      <c r="B48" s="36" t="s">
        <v>410</v>
      </c>
      <c r="C48" s="37" t="s">
        <v>418</v>
      </c>
      <c r="D48" s="37" t="s">
        <v>419</v>
      </c>
      <c r="E48" s="37" t="s">
        <v>420</v>
      </c>
      <c r="F48" s="36" t="s">
        <v>146</v>
      </c>
      <c r="G48" s="38" t="s">
        <v>76</v>
      </c>
      <c r="H48" s="39">
        <v>46313</v>
      </c>
      <c r="I48" s="39">
        <v>46313</v>
      </c>
      <c r="J48" s="40">
        <v>0</v>
      </c>
      <c r="K48" s="37" t="s">
        <v>421</v>
      </c>
      <c r="L48" s="37" t="s">
        <v>148</v>
      </c>
      <c r="M48" s="37" t="s">
        <v>422</v>
      </c>
      <c r="N48" s="37" t="s">
        <v>423</v>
      </c>
      <c r="O48" s="37" t="s">
        <v>424</v>
      </c>
      <c r="P48" s="41"/>
      <c r="Q48" s="41"/>
      <c r="R48" s="42"/>
      <c r="S48" s="37" t="s">
        <v>160</v>
      </c>
      <c r="T48" s="38" t="s">
        <v>152</v>
      </c>
      <c r="U48" s="43">
        <f t="shared" si="8"/>
        <v>0</v>
      </c>
      <c r="V48" s="43">
        <f t="shared" ca="1" si="9"/>
        <v>0</v>
      </c>
      <c r="W48" s="44">
        <f t="shared" ca="1" si="10"/>
        <v>7</v>
      </c>
      <c r="X48" s="45" t="str">
        <f t="shared" ca="1" si="11"/>
        <v/>
      </c>
      <c r="Y48" s="45" t="str">
        <f t="shared" si="12"/>
        <v>⏳ 2 open</v>
      </c>
      <c r="Z48" s="45" t="str">
        <f>IF(A48="","",B48&amp;"|"&amp;COUNTIFS($B$6:B48,B48,$A$6:A48,"?*"))</f>
        <v>Phase 3|2</v>
      </c>
      <c r="AA48" s="45">
        <f t="shared" ca="1" si="13"/>
        <v>46313.000480000002</v>
      </c>
      <c r="AB48" s="45" t="str">
        <f t="shared" si="14"/>
        <v/>
      </c>
      <c r="AC48" s="45" t="str">
        <f t="shared" ca="1" si="15"/>
        <v>On track</v>
      </c>
    </row>
    <row r="49" spans="1:29" ht="61.95" customHeight="1" x14ac:dyDescent="0.3">
      <c r="A49" s="35" t="s">
        <v>425</v>
      </c>
      <c r="B49" s="36" t="s">
        <v>410</v>
      </c>
      <c r="C49" s="37" t="s">
        <v>426</v>
      </c>
      <c r="D49" s="37" t="s">
        <v>427</v>
      </c>
      <c r="E49" s="37" t="s">
        <v>428</v>
      </c>
      <c r="F49" s="36" t="s">
        <v>146</v>
      </c>
      <c r="G49" s="38" t="s">
        <v>76</v>
      </c>
      <c r="H49" s="39">
        <v>46313</v>
      </c>
      <c r="I49" s="39">
        <v>46313</v>
      </c>
      <c r="J49" s="40">
        <v>0</v>
      </c>
      <c r="K49" s="37" t="s">
        <v>429</v>
      </c>
      <c r="L49" s="37" t="s">
        <v>148</v>
      </c>
      <c r="M49" s="37" t="s">
        <v>430</v>
      </c>
      <c r="N49" s="37" t="s">
        <v>431</v>
      </c>
      <c r="O49" s="37" t="s">
        <v>432</v>
      </c>
      <c r="P49" s="41"/>
      <c r="Q49" s="41"/>
      <c r="R49" s="42"/>
      <c r="S49" s="37" t="s">
        <v>160</v>
      </c>
      <c r="T49" s="38" t="s">
        <v>152</v>
      </c>
      <c r="U49" s="43">
        <f t="shared" si="8"/>
        <v>0</v>
      </c>
      <c r="V49" s="43">
        <f t="shared" ca="1" si="9"/>
        <v>0</v>
      </c>
      <c r="W49" s="44">
        <f t="shared" ca="1" si="10"/>
        <v>7</v>
      </c>
      <c r="X49" s="45" t="str">
        <f t="shared" ca="1" si="11"/>
        <v/>
      </c>
      <c r="Y49" s="45" t="str">
        <f t="shared" si="12"/>
        <v>⏳ 2 open</v>
      </c>
      <c r="Z49" s="45" t="str">
        <f>IF(A49="","",B49&amp;"|"&amp;COUNTIFS($B$6:B49,B49,$A$6:A49,"?*"))</f>
        <v>Phase 3|3</v>
      </c>
      <c r="AA49" s="45">
        <f t="shared" ca="1" si="13"/>
        <v>46313.000489999999</v>
      </c>
      <c r="AB49" s="45" t="str">
        <f t="shared" si="14"/>
        <v/>
      </c>
      <c r="AC49" s="45" t="str">
        <f t="shared" ca="1" si="15"/>
        <v>On track</v>
      </c>
    </row>
    <row r="50" spans="1:29" ht="61.95" customHeight="1" x14ac:dyDescent="0.3">
      <c r="A50" s="35" t="s">
        <v>433</v>
      </c>
      <c r="B50" s="36" t="s">
        <v>410</v>
      </c>
      <c r="C50" s="37" t="s">
        <v>434</v>
      </c>
      <c r="D50" s="37" t="s">
        <v>435</v>
      </c>
      <c r="E50" s="37" t="s">
        <v>436</v>
      </c>
      <c r="F50" s="36" t="s">
        <v>8</v>
      </c>
      <c r="G50" s="38" t="s">
        <v>76</v>
      </c>
      <c r="H50" s="39">
        <v>46313</v>
      </c>
      <c r="I50" s="39">
        <v>46313</v>
      </c>
      <c r="J50" s="40">
        <v>0</v>
      </c>
      <c r="K50" s="37" t="s">
        <v>409</v>
      </c>
      <c r="L50" s="37" t="s">
        <v>148</v>
      </c>
      <c r="M50" s="37" t="s">
        <v>437</v>
      </c>
      <c r="N50" s="37" t="s">
        <v>438</v>
      </c>
      <c r="O50" s="37" t="s">
        <v>439</v>
      </c>
      <c r="P50" s="41"/>
      <c r="Q50" s="41"/>
      <c r="R50" s="42"/>
      <c r="S50" s="37" t="s">
        <v>160</v>
      </c>
      <c r="T50" s="38" t="s">
        <v>152</v>
      </c>
      <c r="U50" s="43">
        <f t="shared" si="8"/>
        <v>0</v>
      </c>
      <c r="V50" s="43">
        <f t="shared" ca="1" si="9"/>
        <v>0</v>
      </c>
      <c r="W50" s="44">
        <f t="shared" ca="1" si="10"/>
        <v>7</v>
      </c>
      <c r="X50" s="45" t="str">
        <f t="shared" ca="1" si="11"/>
        <v/>
      </c>
      <c r="Y50" s="45" t="str">
        <f t="shared" si="12"/>
        <v>⏳ 1 open</v>
      </c>
      <c r="Z50" s="45" t="str">
        <f>IF(A50="","",B50&amp;"|"&amp;COUNTIFS($B$6:B50,B50,$A$6:A50,"?*"))</f>
        <v>Phase 3|4</v>
      </c>
      <c r="AA50" s="45">
        <f t="shared" ca="1" si="13"/>
        <v>46313.000500000002</v>
      </c>
      <c r="AB50" s="45" t="str">
        <f t="shared" si="14"/>
        <v/>
      </c>
      <c r="AC50" s="45" t="str">
        <f t="shared" ca="1" si="15"/>
        <v>On track</v>
      </c>
    </row>
    <row r="51" spans="1:29" ht="61.95" customHeight="1" x14ac:dyDescent="0.3">
      <c r="A51" s="35" t="s">
        <v>440</v>
      </c>
      <c r="B51" s="36" t="s">
        <v>410</v>
      </c>
      <c r="C51" s="37" t="s">
        <v>434</v>
      </c>
      <c r="D51" s="37" t="s">
        <v>441</v>
      </c>
      <c r="E51" s="37" t="s">
        <v>442</v>
      </c>
      <c r="F51" s="36" t="s">
        <v>8</v>
      </c>
      <c r="G51" s="38" t="s">
        <v>76</v>
      </c>
      <c r="H51" s="39">
        <v>46313</v>
      </c>
      <c r="I51" s="39">
        <v>46313</v>
      </c>
      <c r="J51" s="40">
        <v>0</v>
      </c>
      <c r="K51" s="37" t="s">
        <v>409</v>
      </c>
      <c r="L51" s="37" t="s">
        <v>148</v>
      </c>
      <c r="M51" s="37" t="s">
        <v>443</v>
      </c>
      <c r="N51" s="37" t="s">
        <v>444</v>
      </c>
      <c r="O51" s="37" t="s">
        <v>445</v>
      </c>
      <c r="P51" s="41"/>
      <c r="Q51" s="41"/>
      <c r="R51" s="42"/>
      <c r="S51" s="37" t="s">
        <v>160</v>
      </c>
      <c r="T51" s="38" t="s">
        <v>152</v>
      </c>
      <c r="U51" s="43">
        <f t="shared" si="8"/>
        <v>0</v>
      </c>
      <c r="V51" s="43">
        <f t="shared" ca="1" si="9"/>
        <v>0</v>
      </c>
      <c r="W51" s="44">
        <f t="shared" ca="1" si="10"/>
        <v>7</v>
      </c>
      <c r="X51" s="45" t="str">
        <f t="shared" ca="1" si="11"/>
        <v/>
      </c>
      <c r="Y51" s="45" t="str">
        <f t="shared" si="12"/>
        <v>⏳ 1 open</v>
      </c>
      <c r="Z51" s="45" t="str">
        <f>IF(A51="","",B51&amp;"|"&amp;COUNTIFS($B$6:B51,B51,$A$6:A51,"?*"))</f>
        <v>Phase 3|5</v>
      </c>
      <c r="AA51" s="45">
        <f t="shared" ca="1" si="13"/>
        <v>46313.000509999998</v>
      </c>
      <c r="AB51" s="45" t="str">
        <f t="shared" si="14"/>
        <v/>
      </c>
      <c r="AC51" s="45" t="str">
        <f t="shared" ca="1" si="15"/>
        <v>On track</v>
      </c>
    </row>
    <row r="52" spans="1:29" ht="61.95" customHeight="1" x14ac:dyDescent="0.3">
      <c r="A52" s="35" t="s">
        <v>446</v>
      </c>
      <c r="B52" s="36" t="s">
        <v>410</v>
      </c>
      <c r="C52" s="37" t="s">
        <v>396</v>
      </c>
      <c r="D52" s="37" t="s">
        <v>447</v>
      </c>
      <c r="E52" s="37" t="s">
        <v>448</v>
      </c>
      <c r="F52" s="36" t="s">
        <v>8</v>
      </c>
      <c r="G52" s="38" t="s">
        <v>76</v>
      </c>
      <c r="H52" s="39">
        <v>46313</v>
      </c>
      <c r="I52" s="39">
        <v>46314</v>
      </c>
      <c r="J52" s="40">
        <v>0</v>
      </c>
      <c r="K52" s="37" t="s">
        <v>449</v>
      </c>
      <c r="L52" s="37" t="s">
        <v>148</v>
      </c>
      <c r="M52" s="37" t="s">
        <v>450</v>
      </c>
      <c r="N52" s="37" t="s">
        <v>451</v>
      </c>
      <c r="O52" s="37" t="s">
        <v>452</v>
      </c>
      <c r="P52" s="41"/>
      <c r="Q52" s="41"/>
      <c r="R52" s="42"/>
      <c r="S52" s="37" t="s">
        <v>160</v>
      </c>
      <c r="T52" s="38" t="s">
        <v>152</v>
      </c>
      <c r="U52" s="43">
        <f t="shared" si="8"/>
        <v>0</v>
      </c>
      <c r="V52" s="43">
        <f t="shared" ca="1" si="9"/>
        <v>0</v>
      </c>
      <c r="W52" s="44">
        <f t="shared" ca="1" si="10"/>
        <v>8</v>
      </c>
      <c r="X52" s="45" t="str">
        <f t="shared" ca="1" si="11"/>
        <v/>
      </c>
      <c r="Y52" s="45" t="str">
        <f t="shared" si="12"/>
        <v>⏳ 2 open</v>
      </c>
      <c r="Z52" s="45" t="str">
        <f>IF(A52="","",B52&amp;"|"&amp;COUNTIFS($B$6:B52,B52,$A$6:A52,"?*"))</f>
        <v>Phase 3|6</v>
      </c>
      <c r="AA52" s="45">
        <f t="shared" ca="1" si="13"/>
        <v>46314.000520000001</v>
      </c>
      <c r="AB52" s="45" t="str">
        <f t="shared" si="14"/>
        <v/>
      </c>
      <c r="AC52" s="45" t="str">
        <f t="shared" ca="1" si="15"/>
        <v>On track</v>
      </c>
    </row>
    <row r="53" spans="1:29" ht="61.95" customHeight="1" x14ac:dyDescent="0.3">
      <c r="A53" s="35" t="s">
        <v>453</v>
      </c>
      <c r="B53" s="36" t="s">
        <v>410</v>
      </c>
      <c r="C53" s="37" t="s">
        <v>434</v>
      </c>
      <c r="D53" s="37" t="s">
        <v>454</v>
      </c>
      <c r="E53" s="37" t="s">
        <v>455</v>
      </c>
      <c r="F53" s="36" t="s">
        <v>8</v>
      </c>
      <c r="G53" s="38" t="s">
        <v>76</v>
      </c>
      <c r="H53" s="39">
        <v>46314</v>
      </c>
      <c r="I53" s="39">
        <v>46314</v>
      </c>
      <c r="J53" s="40">
        <v>0</v>
      </c>
      <c r="K53" s="37" t="s">
        <v>456</v>
      </c>
      <c r="L53" s="37" t="s">
        <v>148</v>
      </c>
      <c r="M53" s="37" t="s">
        <v>457</v>
      </c>
      <c r="N53" s="37" t="s">
        <v>458</v>
      </c>
      <c r="O53" s="37" t="s">
        <v>459</v>
      </c>
      <c r="P53" s="41"/>
      <c r="Q53" s="41"/>
      <c r="R53" s="42"/>
      <c r="S53" s="37" t="s">
        <v>160</v>
      </c>
      <c r="T53" s="38" t="s">
        <v>152</v>
      </c>
      <c r="U53" s="43">
        <f t="shared" si="8"/>
        <v>0</v>
      </c>
      <c r="V53" s="43">
        <f t="shared" ca="1" si="9"/>
        <v>0</v>
      </c>
      <c r="W53" s="44">
        <f t="shared" ca="1" si="10"/>
        <v>8</v>
      </c>
      <c r="X53" s="45" t="str">
        <f t="shared" ca="1" si="11"/>
        <v/>
      </c>
      <c r="Y53" s="45" t="str">
        <f t="shared" si="12"/>
        <v>⏳ 2 open</v>
      </c>
      <c r="Z53" s="45" t="str">
        <f>IF(A53="","",B53&amp;"|"&amp;COUNTIFS($B$6:B53,B53,$A$6:A53,"?*"))</f>
        <v>Phase 3|7</v>
      </c>
      <c r="AA53" s="45">
        <f t="shared" ca="1" si="13"/>
        <v>46314.000529999998</v>
      </c>
      <c r="AB53" s="45" t="str">
        <f t="shared" si="14"/>
        <v/>
      </c>
      <c r="AC53" s="45" t="str">
        <f t="shared" ca="1" si="15"/>
        <v>On track</v>
      </c>
    </row>
    <row r="54" spans="1:29" ht="61.95" customHeight="1" x14ac:dyDescent="0.3">
      <c r="A54" s="35" t="s">
        <v>460</v>
      </c>
      <c r="B54" s="36" t="s">
        <v>410</v>
      </c>
      <c r="C54" s="37" t="s">
        <v>461</v>
      </c>
      <c r="D54" s="37" t="s">
        <v>462</v>
      </c>
      <c r="E54" s="37" t="s">
        <v>463</v>
      </c>
      <c r="F54" s="36" t="s">
        <v>146</v>
      </c>
      <c r="G54" s="38" t="s">
        <v>76</v>
      </c>
      <c r="H54" s="39">
        <v>46314</v>
      </c>
      <c r="I54" s="39">
        <v>46314</v>
      </c>
      <c r="J54" s="40">
        <v>0</v>
      </c>
      <c r="K54" s="37" t="s">
        <v>182</v>
      </c>
      <c r="L54" s="37" t="s">
        <v>148</v>
      </c>
      <c r="M54" s="37" t="s">
        <v>464</v>
      </c>
      <c r="N54" s="37" t="s">
        <v>465</v>
      </c>
      <c r="O54" s="37" t="s">
        <v>466</v>
      </c>
      <c r="P54" s="41"/>
      <c r="Q54" s="41"/>
      <c r="R54" s="42"/>
      <c r="S54" s="37" t="s">
        <v>160</v>
      </c>
      <c r="T54" s="38" t="s">
        <v>152</v>
      </c>
      <c r="U54" s="43">
        <f t="shared" si="8"/>
        <v>0</v>
      </c>
      <c r="V54" s="43">
        <f t="shared" ca="1" si="9"/>
        <v>0</v>
      </c>
      <c r="W54" s="44">
        <f t="shared" ca="1" si="10"/>
        <v>8</v>
      </c>
      <c r="X54" s="45" t="str">
        <f t="shared" ca="1" si="11"/>
        <v/>
      </c>
      <c r="Y54" s="45" t="str">
        <f t="shared" si="12"/>
        <v>⏳ 1 open</v>
      </c>
      <c r="Z54" s="45" t="str">
        <f>IF(A54="","",B54&amp;"|"&amp;COUNTIFS($B$6:B54,B54,$A$6:A54,"?*"))</f>
        <v>Phase 3|8</v>
      </c>
      <c r="AA54" s="45">
        <f t="shared" ca="1" si="13"/>
        <v>46314.000540000001</v>
      </c>
      <c r="AB54" s="45" t="str">
        <f t="shared" si="14"/>
        <v/>
      </c>
      <c r="AC54" s="45" t="str">
        <f t="shared" ca="1" si="15"/>
        <v>On track</v>
      </c>
    </row>
    <row r="55" spans="1:29" ht="61.95" customHeight="1" x14ac:dyDescent="0.3">
      <c r="A55" s="35" t="s">
        <v>467</v>
      </c>
      <c r="B55" s="36" t="s">
        <v>410</v>
      </c>
      <c r="C55" s="37" t="s">
        <v>468</v>
      </c>
      <c r="D55" s="37" t="s">
        <v>469</v>
      </c>
      <c r="E55" s="37" t="s">
        <v>470</v>
      </c>
      <c r="F55" s="36" t="s">
        <v>146</v>
      </c>
      <c r="G55" s="38" t="s">
        <v>76</v>
      </c>
      <c r="H55" s="39">
        <v>46314</v>
      </c>
      <c r="I55" s="39">
        <v>46314</v>
      </c>
      <c r="J55" s="40">
        <v>0</v>
      </c>
      <c r="K55" s="37" t="s">
        <v>182</v>
      </c>
      <c r="L55" s="37" t="s">
        <v>148</v>
      </c>
      <c r="M55" s="37" t="s">
        <v>471</v>
      </c>
      <c r="N55" s="37" t="s">
        <v>472</v>
      </c>
      <c r="O55" s="37" t="s">
        <v>473</v>
      </c>
      <c r="P55" s="41"/>
      <c r="Q55" s="41"/>
      <c r="R55" s="42"/>
      <c r="S55" s="37" t="s">
        <v>160</v>
      </c>
      <c r="T55" s="38" t="s">
        <v>152</v>
      </c>
      <c r="U55" s="43">
        <f t="shared" si="8"/>
        <v>0</v>
      </c>
      <c r="V55" s="43">
        <f t="shared" ca="1" si="9"/>
        <v>0</v>
      </c>
      <c r="W55" s="44">
        <f t="shared" ca="1" si="10"/>
        <v>8</v>
      </c>
      <c r="X55" s="45" t="str">
        <f t="shared" ca="1" si="11"/>
        <v/>
      </c>
      <c r="Y55" s="45" t="str">
        <f t="shared" si="12"/>
        <v>⏳ 1 open</v>
      </c>
      <c r="Z55" s="45" t="str">
        <f>IF(A55="","",B55&amp;"|"&amp;COUNTIFS($B$6:B55,B55,$A$6:A55,"?*"))</f>
        <v>Phase 3|9</v>
      </c>
      <c r="AA55" s="45">
        <f t="shared" ca="1" si="13"/>
        <v>46314.000549999997</v>
      </c>
      <c r="AB55" s="45" t="str">
        <f t="shared" si="14"/>
        <v/>
      </c>
      <c r="AC55" s="45" t="str">
        <f t="shared" ca="1" si="15"/>
        <v>On track</v>
      </c>
    </row>
    <row r="56" spans="1:29" ht="61.95" customHeight="1" x14ac:dyDescent="0.3">
      <c r="A56" s="35" t="s">
        <v>474</v>
      </c>
      <c r="B56" s="36" t="s">
        <v>410</v>
      </c>
      <c r="C56" s="37" t="s">
        <v>475</v>
      </c>
      <c r="D56" s="37" t="s">
        <v>476</v>
      </c>
      <c r="E56" s="37" t="s">
        <v>477</v>
      </c>
      <c r="F56" s="36" t="s">
        <v>8</v>
      </c>
      <c r="G56" s="38" t="s">
        <v>76</v>
      </c>
      <c r="H56" s="39">
        <v>46314</v>
      </c>
      <c r="I56" s="39">
        <v>46314</v>
      </c>
      <c r="J56" s="40">
        <v>0</v>
      </c>
      <c r="K56" s="37" t="s">
        <v>467</v>
      </c>
      <c r="L56" s="37" t="s">
        <v>148</v>
      </c>
      <c r="M56" s="37" t="s">
        <v>478</v>
      </c>
      <c r="N56" s="37" t="s">
        <v>479</v>
      </c>
      <c r="O56" s="37" t="s">
        <v>480</v>
      </c>
      <c r="P56" s="41"/>
      <c r="Q56" s="41"/>
      <c r="R56" s="42"/>
      <c r="S56" s="37" t="s">
        <v>160</v>
      </c>
      <c r="T56" s="38" t="s">
        <v>152</v>
      </c>
      <c r="U56" s="43">
        <f t="shared" si="8"/>
        <v>0</v>
      </c>
      <c r="V56" s="43">
        <f t="shared" ca="1" si="9"/>
        <v>0</v>
      </c>
      <c r="W56" s="44">
        <f t="shared" ca="1" si="10"/>
        <v>8</v>
      </c>
      <c r="X56" s="45" t="str">
        <f t="shared" ca="1" si="11"/>
        <v/>
      </c>
      <c r="Y56" s="45" t="str">
        <f t="shared" si="12"/>
        <v>⏳ 1 open</v>
      </c>
      <c r="Z56" s="45" t="str">
        <f>IF(A56="","",B56&amp;"|"&amp;COUNTIFS($B$6:B56,B56,$A$6:A56,"?*"))</f>
        <v>Phase 3|10</v>
      </c>
      <c r="AA56" s="45">
        <f t="shared" ca="1" si="13"/>
        <v>46314.00056</v>
      </c>
      <c r="AB56" s="45" t="str">
        <f t="shared" si="14"/>
        <v/>
      </c>
      <c r="AC56" s="45" t="str">
        <f t="shared" ca="1" si="15"/>
        <v>On track</v>
      </c>
    </row>
    <row r="57" spans="1:29" ht="61.95" customHeight="1" x14ac:dyDescent="0.3">
      <c r="A57" s="35" t="s">
        <v>481</v>
      </c>
      <c r="B57" s="36" t="s">
        <v>410</v>
      </c>
      <c r="C57" s="37" t="s">
        <v>482</v>
      </c>
      <c r="D57" s="37" t="s">
        <v>483</v>
      </c>
      <c r="E57" s="37" t="s">
        <v>484</v>
      </c>
      <c r="F57" s="36" t="s">
        <v>8</v>
      </c>
      <c r="G57" s="38" t="s">
        <v>76</v>
      </c>
      <c r="H57" s="39">
        <v>46314</v>
      </c>
      <c r="I57" s="39">
        <v>46315</v>
      </c>
      <c r="J57" s="40">
        <v>0</v>
      </c>
      <c r="K57" s="37" t="s">
        <v>467</v>
      </c>
      <c r="L57" s="37" t="s">
        <v>148</v>
      </c>
      <c r="M57" s="37" t="s">
        <v>485</v>
      </c>
      <c r="N57" s="37" t="s">
        <v>486</v>
      </c>
      <c r="O57" s="37" t="s">
        <v>487</v>
      </c>
      <c r="P57" s="41"/>
      <c r="Q57" s="41"/>
      <c r="R57" s="42"/>
      <c r="S57" s="37" t="s">
        <v>160</v>
      </c>
      <c r="T57" s="38" t="s">
        <v>152</v>
      </c>
      <c r="U57" s="43">
        <f t="shared" si="8"/>
        <v>0</v>
      </c>
      <c r="V57" s="43">
        <f t="shared" ca="1" si="9"/>
        <v>0</v>
      </c>
      <c r="W57" s="44">
        <f t="shared" ca="1" si="10"/>
        <v>9</v>
      </c>
      <c r="X57" s="45" t="str">
        <f t="shared" ca="1" si="11"/>
        <v/>
      </c>
      <c r="Y57" s="45" t="str">
        <f t="shared" si="12"/>
        <v>⏳ 1 open</v>
      </c>
      <c r="Z57" s="45" t="str">
        <f>IF(A57="","",B57&amp;"|"&amp;COUNTIFS($B$6:B57,B57,$A$6:A57,"?*"))</f>
        <v>Phase 3|11</v>
      </c>
      <c r="AA57" s="45">
        <f t="shared" ca="1" si="13"/>
        <v>46315.000569999997</v>
      </c>
      <c r="AB57" s="45" t="str">
        <f t="shared" si="14"/>
        <v/>
      </c>
      <c r="AC57" s="45" t="str">
        <f t="shared" ca="1" si="15"/>
        <v>On track</v>
      </c>
    </row>
    <row r="58" spans="1:29" ht="61.95" customHeight="1" x14ac:dyDescent="0.3">
      <c r="A58" s="35" t="s">
        <v>488</v>
      </c>
      <c r="B58" s="36" t="s">
        <v>410</v>
      </c>
      <c r="C58" s="37" t="s">
        <v>489</v>
      </c>
      <c r="D58" s="37" t="s">
        <v>490</v>
      </c>
      <c r="E58" s="37" t="s">
        <v>491</v>
      </c>
      <c r="F58" s="36" t="s">
        <v>9</v>
      </c>
      <c r="G58" s="38" t="s">
        <v>76</v>
      </c>
      <c r="H58" s="39">
        <v>46315</v>
      </c>
      <c r="I58" s="39">
        <v>46315</v>
      </c>
      <c r="J58" s="40">
        <v>0</v>
      </c>
      <c r="K58" s="37" t="s">
        <v>467</v>
      </c>
      <c r="L58" s="37" t="s">
        <v>148</v>
      </c>
      <c r="M58" s="37" t="s">
        <v>492</v>
      </c>
      <c r="N58" s="37" t="s">
        <v>493</v>
      </c>
      <c r="O58" s="37" t="s">
        <v>494</v>
      </c>
      <c r="P58" s="41"/>
      <c r="Q58" s="41"/>
      <c r="R58" s="42"/>
      <c r="S58" s="37" t="s">
        <v>160</v>
      </c>
      <c r="T58" s="38" t="s">
        <v>152</v>
      </c>
      <c r="U58" s="43">
        <f t="shared" si="8"/>
        <v>0</v>
      </c>
      <c r="V58" s="43">
        <f t="shared" ca="1" si="9"/>
        <v>0</v>
      </c>
      <c r="W58" s="44">
        <f t="shared" ca="1" si="10"/>
        <v>9</v>
      </c>
      <c r="X58" s="45" t="str">
        <f t="shared" ca="1" si="11"/>
        <v/>
      </c>
      <c r="Y58" s="45" t="str">
        <f t="shared" si="12"/>
        <v>⏳ 1 open</v>
      </c>
      <c r="Z58" s="45" t="str">
        <f>IF(A58="","",B58&amp;"|"&amp;COUNTIFS($B$6:B58,B58,$A$6:A58,"?*"))</f>
        <v>Phase 3|12</v>
      </c>
      <c r="AA58" s="45">
        <f t="shared" ca="1" si="13"/>
        <v>46315.00058</v>
      </c>
      <c r="AB58" s="45" t="str">
        <f t="shared" si="14"/>
        <v/>
      </c>
      <c r="AC58" s="45" t="str">
        <f t="shared" ca="1" si="15"/>
        <v>On track</v>
      </c>
    </row>
    <row r="59" spans="1:29" ht="61.95" customHeight="1" x14ac:dyDescent="0.3">
      <c r="A59" s="35" t="s">
        <v>495</v>
      </c>
      <c r="B59" s="36" t="s">
        <v>410</v>
      </c>
      <c r="C59" s="37" t="s">
        <v>496</v>
      </c>
      <c r="D59" s="37" t="s">
        <v>496</v>
      </c>
      <c r="E59" s="37" t="s">
        <v>497</v>
      </c>
      <c r="F59" s="36" t="s">
        <v>146</v>
      </c>
      <c r="G59" s="38" t="s">
        <v>76</v>
      </c>
      <c r="H59" s="39">
        <v>46315</v>
      </c>
      <c r="I59" s="39">
        <v>46315</v>
      </c>
      <c r="J59" s="40">
        <v>0</v>
      </c>
      <c r="K59" s="37" t="s">
        <v>467</v>
      </c>
      <c r="L59" s="37" t="s">
        <v>148</v>
      </c>
      <c r="M59" s="37" t="s">
        <v>498</v>
      </c>
      <c r="N59" s="37" t="s">
        <v>499</v>
      </c>
      <c r="O59" s="37" t="s">
        <v>500</v>
      </c>
      <c r="P59" s="41"/>
      <c r="Q59" s="41"/>
      <c r="R59" s="42"/>
      <c r="S59" s="37" t="s">
        <v>160</v>
      </c>
      <c r="T59" s="38" t="s">
        <v>152</v>
      </c>
      <c r="U59" s="43">
        <f t="shared" si="8"/>
        <v>0</v>
      </c>
      <c r="V59" s="43">
        <f t="shared" ca="1" si="9"/>
        <v>0</v>
      </c>
      <c r="W59" s="44">
        <f t="shared" ca="1" si="10"/>
        <v>9</v>
      </c>
      <c r="X59" s="45" t="str">
        <f t="shared" ca="1" si="11"/>
        <v/>
      </c>
      <c r="Y59" s="45" t="str">
        <f t="shared" si="12"/>
        <v>⏳ 1 open</v>
      </c>
      <c r="Z59" s="45" t="str">
        <f>IF(A59="","",B59&amp;"|"&amp;COUNTIFS($B$6:B59,B59,$A$6:A59,"?*"))</f>
        <v>Phase 3|13</v>
      </c>
      <c r="AA59" s="45">
        <f t="shared" ca="1" si="13"/>
        <v>46315.000590000003</v>
      </c>
      <c r="AB59" s="45" t="str">
        <f t="shared" si="14"/>
        <v/>
      </c>
      <c r="AC59" s="45" t="str">
        <f t="shared" ca="1" si="15"/>
        <v>On track</v>
      </c>
    </row>
    <row r="60" spans="1:29" ht="61.95" customHeight="1" x14ac:dyDescent="0.3">
      <c r="A60" s="35" t="s">
        <v>501</v>
      </c>
      <c r="B60" s="36" t="s">
        <v>410</v>
      </c>
      <c r="C60" s="37" t="s">
        <v>502</v>
      </c>
      <c r="D60" s="37" t="s">
        <v>503</v>
      </c>
      <c r="E60" s="37" t="s">
        <v>504</v>
      </c>
      <c r="F60" s="36" t="s">
        <v>9</v>
      </c>
      <c r="G60" s="38" t="s">
        <v>76</v>
      </c>
      <c r="H60" s="39">
        <v>46315</v>
      </c>
      <c r="I60" s="39">
        <v>46315</v>
      </c>
      <c r="J60" s="40">
        <v>0</v>
      </c>
      <c r="K60" s="37" t="s">
        <v>409</v>
      </c>
      <c r="L60" s="37" t="s">
        <v>148</v>
      </c>
      <c r="M60" s="37" t="s">
        <v>505</v>
      </c>
      <c r="N60" s="37" t="s">
        <v>506</v>
      </c>
      <c r="O60" s="37" t="s">
        <v>507</v>
      </c>
      <c r="P60" s="41"/>
      <c r="Q60" s="41"/>
      <c r="R60" s="42"/>
      <c r="S60" s="37" t="s">
        <v>160</v>
      </c>
      <c r="T60" s="38" t="s">
        <v>152</v>
      </c>
      <c r="U60" s="43">
        <f t="shared" si="8"/>
        <v>0</v>
      </c>
      <c r="V60" s="43">
        <f t="shared" ca="1" si="9"/>
        <v>0</v>
      </c>
      <c r="W60" s="44">
        <f t="shared" ca="1" si="10"/>
        <v>9</v>
      </c>
      <c r="X60" s="45" t="str">
        <f t="shared" ca="1" si="11"/>
        <v/>
      </c>
      <c r="Y60" s="45" t="str">
        <f t="shared" si="12"/>
        <v>⏳ 1 open</v>
      </c>
      <c r="Z60" s="45" t="str">
        <f>IF(A60="","",B60&amp;"|"&amp;COUNTIFS($B$6:B60,B60,$A$6:A60,"?*"))</f>
        <v>Phase 3|14</v>
      </c>
      <c r="AA60" s="45">
        <f t="shared" ca="1" si="13"/>
        <v>46315.000599999999</v>
      </c>
      <c r="AB60" s="45" t="str">
        <f t="shared" si="14"/>
        <v/>
      </c>
      <c r="AC60" s="45" t="str">
        <f t="shared" ca="1" si="15"/>
        <v>On track</v>
      </c>
    </row>
    <row r="61" spans="1:29" ht="61.95" customHeight="1" x14ac:dyDescent="0.3">
      <c r="A61" s="35" t="s">
        <v>508</v>
      </c>
      <c r="B61" s="36" t="s">
        <v>410</v>
      </c>
      <c r="C61" s="37" t="s">
        <v>509</v>
      </c>
      <c r="D61" s="37" t="s">
        <v>510</v>
      </c>
      <c r="E61" s="37" t="s">
        <v>511</v>
      </c>
      <c r="F61" s="36" t="s">
        <v>146</v>
      </c>
      <c r="G61" s="38" t="s">
        <v>76</v>
      </c>
      <c r="H61" s="39">
        <v>46315</v>
      </c>
      <c r="I61" s="39">
        <v>46315</v>
      </c>
      <c r="J61" s="40">
        <v>0</v>
      </c>
      <c r="K61" s="37" t="s">
        <v>512</v>
      </c>
      <c r="L61" s="37" t="s">
        <v>148</v>
      </c>
      <c r="M61" s="37" t="s">
        <v>513</v>
      </c>
      <c r="N61" s="37" t="s">
        <v>514</v>
      </c>
      <c r="O61" s="37" t="s">
        <v>515</v>
      </c>
      <c r="P61" s="41"/>
      <c r="Q61" s="41"/>
      <c r="R61" s="42"/>
      <c r="S61" s="37" t="s">
        <v>160</v>
      </c>
      <c r="T61" s="38" t="s">
        <v>152</v>
      </c>
      <c r="U61" s="43">
        <f t="shared" si="8"/>
        <v>0</v>
      </c>
      <c r="V61" s="43">
        <f t="shared" ca="1" si="9"/>
        <v>0</v>
      </c>
      <c r="W61" s="44">
        <f t="shared" ca="1" si="10"/>
        <v>9</v>
      </c>
      <c r="X61" s="45" t="str">
        <f t="shared" ca="1" si="11"/>
        <v/>
      </c>
      <c r="Y61" s="45" t="str">
        <f t="shared" si="12"/>
        <v>⏳ 3 open</v>
      </c>
      <c r="Z61" s="45" t="str">
        <f>IF(A61="","",B61&amp;"|"&amp;COUNTIFS($B$6:B61,B61,$A$6:A61,"?*"))</f>
        <v>Phase 3|15</v>
      </c>
      <c r="AA61" s="45">
        <f t="shared" ca="1" si="13"/>
        <v>46315.000610000003</v>
      </c>
      <c r="AB61" s="45" t="str">
        <f t="shared" si="14"/>
        <v/>
      </c>
      <c r="AC61" s="45" t="str">
        <f t="shared" ca="1" si="15"/>
        <v>On track</v>
      </c>
    </row>
    <row r="62" spans="1:29" ht="61.95" customHeight="1" x14ac:dyDescent="0.3">
      <c r="A62" s="35" t="s">
        <v>516</v>
      </c>
      <c r="B62" s="36" t="s">
        <v>410</v>
      </c>
      <c r="C62" s="37" t="s">
        <v>261</v>
      </c>
      <c r="D62" s="37" t="s">
        <v>517</v>
      </c>
      <c r="E62" s="37" t="s">
        <v>518</v>
      </c>
      <c r="F62" s="36" t="s">
        <v>146</v>
      </c>
      <c r="G62" s="38" t="s">
        <v>76</v>
      </c>
      <c r="H62" s="39">
        <v>46315</v>
      </c>
      <c r="I62" s="39">
        <v>46315</v>
      </c>
      <c r="J62" s="40">
        <v>0</v>
      </c>
      <c r="K62" s="37" t="s">
        <v>519</v>
      </c>
      <c r="L62" s="37" t="s">
        <v>148</v>
      </c>
      <c r="M62" s="37" t="s">
        <v>520</v>
      </c>
      <c r="N62" s="37" t="s">
        <v>521</v>
      </c>
      <c r="O62" s="37" t="s">
        <v>522</v>
      </c>
      <c r="P62" s="41"/>
      <c r="Q62" s="41"/>
      <c r="R62" s="42"/>
      <c r="S62" s="37" t="s">
        <v>160</v>
      </c>
      <c r="T62" s="38" t="s">
        <v>152</v>
      </c>
      <c r="U62" s="43">
        <f t="shared" si="8"/>
        <v>0</v>
      </c>
      <c r="V62" s="43">
        <f t="shared" ca="1" si="9"/>
        <v>0</v>
      </c>
      <c r="W62" s="44">
        <f t="shared" ca="1" si="10"/>
        <v>9</v>
      </c>
      <c r="X62" s="45" t="str">
        <f t="shared" ca="1" si="11"/>
        <v/>
      </c>
      <c r="Y62" s="45" t="str">
        <f t="shared" si="12"/>
        <v>⏳ 3 open</v>
      </c>
      <c r="Z62" s="45" t="str">
        <f>IF(A62="","",B62&amp;"|"&amp;COUNTIFS($B$6:B62,B62,$A$6:A62,"?*"))</f>
        <v>Phase 3|16</v>
      </c>
      <c r="AA62" s="45">
        <f t="shared" ca="1" si="13"/>
        <v>46315.000619999999</v>
      </c>
      <c r="AB62" s="45" t="str">
        <f t="shared" si="14"/>
        <v/>
      </c>
      <c r="AC62" s="45" t="str">
        <f t="shared" ca="1" si="15"/>
        <v>On track</v>
      </c>
    </row>
    <row r="63" spans="1:29" ht="61.95" customHeight="1" x14ac:dyDescent="0.3">
      <c r="A63" s="35" t="s">
        <v>523</v>
      </c>
      <c r="B63" s="36" t="s">
        <v>524</v>
      </c>
      <c r="C63" s="37" t="s">
        <v>525</v>
      </c>
      <c r="D63" s="37" t="s">
        <v>526</v>
      </c>
      <c r="E63" s="37" t="s">
        <v>527</v>
      </c>
      <c r="F63" s="36" t="s">
        <v>146</v>
      </c>
      <c r="G63" s="38" t="s">
        <v>76</v>
      </c>
      <c r="H63" s="39">
        <v>46316</v>
      </c>
      <c r="I63" s="39">
        <v>46316</v>
      </c>
      <c r="J63" s="40">
        <v>0</v>
      </c>
      <c r="K63" s="37" t="s">
        <v>260</v>
      </c>
      <c r="L63" s="37" t="s">
        <v>148</v>
      </c>
      <c r="M63" s="37" t="s">
        <v>528</v>
      </c>
      <c r="N63" s="37" t="s">
        <v>529</v>
      </c>
      <c r="O63" s="37" t="s">
        <v>530</v>
      </c>
      <c r="P63" s="41"/>
      <c r="Q63" s="41"/>
      <c r="R63" s="42"/>
      <c r="S63" s="37" t="s">
        <v>160</v>
      </c>
      <c r="T63" s="38" t="s">
        <v>152</v>
      </c>
      <c r="U63" s="43">
        <f t="shared" si="8"/>
        <v>0</v>
      </c>
      <c r="V63" s="43">
        <f t="shared" ca="1" si="9"/>
        <v>0</v>
      </c>
      <c r="W63" s="44">
        <f t="shared" ca="1" si="10"/>
        <v>10</v>
      </c>
      <c r="X63" s="45" t="str">
        <f t="shared" ca="1" si="11"/>
        <v/>
      </c>
      <c r="Y63" s="45" t="str">
        <f t="shared" si="12"/>
        <v>⏳ 1 open</v>
      </c>
      <c r="Z63" s="45" t="str">
        <f>IF(A63="","",B63&amp;"|"&amp;COUNTIFS($B$6:B63,B63,$A$6:A63,"?*"))</f>
        <v>Phase 4|1</v>
      </c>
      <c r="AA63" s="45">
        <f t="shared" ca="1" si="13"/>
        <v>46316.000630000002</v>
      </c>
      <c r="AB63" s="45" t="str">
        <f t="shared" si="14"/>
        <v/>
      </c>
      <c r="AC63" s="45" t="str">
        <f t="shared" ca="1" si="15"/>
        <v>On track</v>
      </c>
    </row>
    <row r="64" spans="1:29" ht="61.95" customHeight="1" x14ac:dyDescent="0.3">
      <c r="A64" s="35" t="s">
        <v>531</v>
      </c>
      <c r="B64" s="36" t="s">
        <v>524</v>
      </c>
      <c r="C64" s="37" t="s">
        <v>525</v>
      </c>
      <c r="D64" s="37" t="s">
        <v>532</v>
      </c>
      <c r="E64" s="37" t="s">
        <v>533</v>
      </c>
      <c r="F64" s="36" t="s">
        <v>146</v>
      </c>
      <c r="G64" s="38" t="s">
        <v>76</v>
      </c>
      <c r="H64" s="39">
        <v>46316</v>
      </c>
      <c r="I64" s="39">
        <v>46316</v>
      </c>
      <c r="J64" s="40">
        <v>0</v>
      </c>
      <c r="K64" s="37" t="s">
        <v>523</v>
      </c>
      <c r="L64" s="37" t="s">
        <v>148</v>
      </c>
      <c r="M64" s="37" t="s">
        <v>534</v>
      </c>
      <c r="N64" s="37" t="s">
        <v>535</v>
      </c>
      <c r="O64" s="37" t="s">
        <v>536</v>
      </c>
      <c r="P64" s="41"/>
      <c r="Q64" s="41"/>
      <c r="R64" s="42"/>
      <c r="S64" s="37" t="s">
        <v>160</v>
      </c>
      <c r="T64" s="38" t="s">
        <v>152</v>
      </c>
      <c r="U64" s="43">
        <f t="shared" si="8"/>
        <v>0</v>
      </c>
      <c r="V64" s="43">
        <f t="shared" ca="1" si="9"/>
        <v>0</v>
      </c>
      <c r="W64" s="44">
        <f t="shared" ca="1" si="10"/>
        <v>10</v>
      </c>
      <c r="X64" s="45" t="str">
        <f t="shared" ca="1" si="11"/>
        <v/>
      </c>
      <c r="Y64" s="45" t="str">
        <f t="shared" si="12"/>
        <v>⏳ 1 open</v>
      </c>
      <c r="Z64" s="45" t="str">
        <f>IF(A64="","",B64&amp;"|"&amp;COUNTIFS($B$6:B64,B64,$A$6:A64,"?*"))</f>
        <v>Phase 4|2</v>
      </c>
      <c r="AA64" s="45">
        <f t="shared" ca="1" si="13"/>
        <v>46316.000639999998</v>
      </c>
      <c r="AB64" s="45" t="str">
        <f t="shared" si="14"/>
        <v/>
      </c>
      <c r="AC64" s="45" t="str">
        <f t="shared" ca="1" si="15"/>
        <v>On track</v>
      </c>
    </row>
    <row r="65" spans="1:29" ht="61.95" customHeight="1" x14ac:dyDescent="0.3">
      <c r="A65" s="35" t="s">
        <v>537</v>
      </c>
      <c r="B65" s="36" t="s">
        <v>524</v>
      </c>
      <c r="C65" s="37" t="s">
        <v>82</v>
      </c>
      <c r="D65" s="37" t="s">
        <v>538</v>
      </c>
      <c r="E65" s="37" t="s">
        <v>539</v>
      </c>
      <c r="F65" s="36" t="s">
        <v>146</v>
      </c>
      <c r="G65" s="38" t="s">
        <v>76</v>
      </c>
      <c r="H65" s="39">
        <v>46307</v>
      </c>
      <c r="I65" s="39">
        <v>46315</v>
      </c>
      <c r="J65" s="40">
        <v>0</v>
      </c>
      <c r="K65" s="37"/>
      <c r="L65" s="37" t="s">
        <v>540</v>
      </c>
      <c r="M65" s="37" t="s">
        <v>541</v>
      </c>
      <c r="N65" s="37" t="s">
        <v>542</v>
      </c>
      <c r="O65" s="37" t="s">
        <v>543</v>
      </c>
      <c r="P65" s="41"/>
      <c r="Q65" s="41"/>
      <c r="R65" s="42"/>
      <c r="S65" s="37" t="s">
        <v>82</v>
      </c>
      <c r="T65" s="38" t="s">
        <v>152</v>
      </c>
      <c r="U65" s="43">
        <f t="shared" si="8"/>
        <v>0</v>
      </c>
      <c r="V65" s="43">
        <f t="shared" ca="1" si="9"/>
        <v>0</v>
      </c>
      <c r="W65" s="44">
        <f t="shared" ca="1" si="10"/>
        <v>9</v>
      </c>
      <c r="X65" s="45" t="str">
        <f t="shared" ca="1" si="11"/>
        <v/>
      </c>
      <c r="Y65" s="45" t="str">
        <f t="shared" si="12"/>
        <v/>
      </c>
      <c r="Z65" s="45" t="str">
        <f>IF(A65="","",B65&amp;"|"&amp;COUNTIFS($B$6:B65,B65,$A$6:A65,"?*"))</f>
        <v>Phase 4|3</v>
      </c>
      <c r="AA65" s="45">
        <f t="shared" ca="1" si="13"/>
        <v>46315.000650000002</v>
      </c>
      <c r="AB65" s="45" t="str">
        <f t="shared" si="14"/>
        <v/>
      </c>
      <c r="AC65" s="45" t="str">
        <f t="shared" ca="1" si="15"/>
        <v>External req.</v>
      </c>
    </row>
    <row r="66" spans="1:29" ht="61.95" customHeight="1" x14ac:dyDescent="0.3">
      <c r="A66" s="35" t="s">
        <v>544</v>
      </c>
      <c r="B66" s="36" t="s">
        <v>524</v>
      </c>
      <c r="C66" s="37" t="s">
        <v>545</v>
      </c>
      <c r="D66" s="37" t="s">
        <v>546</v>
      </c>
      <c r="E66" s="37" t="s">
        <v>547</v>
      </c>
      <c r="F66" s="36" t="s">
        <v>146</v>
      </c>
      <c r="G66" s="38" t="s">
        <v>76</v>
      </c>
      <c r="H66" s="39">
        <v>46316</v>
      </c>
      <c r="I66" s="39">
        <v>46316</v>
      </c>
      <c r="J66" s="40">
        <v>0</v>
      </c>
      <c r="K66" s="37" t="s">
        <v>548</v>
      </c>
      <c r="L66" s="37" t="s">
        <v>148</v>
      </c>
      <c r="M66" s="37" t="s">
        <v>549</v>
      </c>
      <c r="N66" s="37" t="s">
        <v>550</v>
      </c>
      <c r="O66" s="37" t="s">
        <v>551</v>
      </c>
      <c r="P66" s="41"/>
      <c r="Q66" s="41"/>
      <c r="R66" s="42"/>
      <c r="S66" s="37" t="s">
        <v>84</v>
      </c>
      <c r="T66" s="38" t="s">
        <v>152</v>
      </c>
      <c r="U66" s="43">
        <f t="shared" si="8"/>
        <v>0</v>
      </c>
      <c r="V66" s="43">
        <f t="shared" ca="1" si="9"/>
        <v>0</v>
      </c>
      <c r="W66" s="44">
        <f t="shared" ca="1" si="10"/>
        <v>10</v>
      </c>
      <c r="X66" s="45" t="str">
        <f t="shared" ca="1" si="11"/>
        <v/>
      </c>
      <c r="Y66" s="45" t="str">
        <f t="shared" si="12"/>
        <v>⏳ 2 open</v>
      </c>
      <c r="Z66" s="45" t="str">
        <f>IF(A66="","",B66&amp;"|"&amp;COUNTIFS($B$6:B66,B66,$A$6:A66,"?*"))</f>
        <v>Phase 4|4</v>
      </c>
      <c r="AA66" s="45">
        <f t="shared" ca="1" si="13"/>
        <v>46316.000659999998</v>
      </c>
      <c r="AB66" s="45" t="str">
        <f t="shared" si="14"/>
        <v/>
      </c>
      <c r="AC66" s="45" t="str">
        <f t="shared" ca="1" si="15"/>
        <v>External req.</v>
      </c>
    </row>
    <row r="67" spans="1:29" ht="61.95" customHeight="1" x14ac:dyDescent="0.3">
      <c r="A67" s="35" t="s">
        <v>552</v>
      </c>
      <c r="B67" s="36" t="s">
        <v>524</v>
      </c>
      <c r="C67" s="37" t="s">
        <v>553</v>
      </c>
      <c r="D67" s="37" t="s">
        <v>554</v>
      </c>
      <c r="E67" s="37" t="s">
        <v>555</v>
      </c>
      <c r="F67" s="36" t="s">
        <v>8</v>
      </c>
      <c r="G67" s="38" t="s">
        <v>76</v>
      </c>
      <c r="H67" s="39">
        <v>46316</v>
      </c>
      <c r="I67" s="39">
        <v>46316</v>
      </c>
      <c r="J67" s="40">
        <v>0</v>
      </c>
      <c r="K67" s="37" t="s">
        <v>544</v>
      </c>
      <c r="L67" s="37" t="s">
        <v>148</v>
      </c>
      <c r="M67" s="37" t="s">
        <v>556</v>
      </c>
      <c r="N67" s="37" t="s">
        <v>557</v>
      </c>
      <c r="O67" s="37" t="s">
        <v>558</v>
      </c>
      <c r="P67" s="41"/>
      <c r="Q67" s="41"/>
      <c r="R67" s="42"/>
      <c r="S67" s="37" t="s">
        <v>160</v>
      </c>
      <c r="T67" s="38" t="s">
        <v>152</v>
      </c>
      <c r="U67" s="43">
        <f t="shared" si="8"/>
        <v>0</v>
      </c>
      <c r="V67" s="43">
        <f t="shared" ca="1" si="9"/>
        <v>0</v>
      </c>
      <c r="W67" s="44">
        <f t="shared" ca="1" si="10"/>
        <v>10</v>
      </c>
      <c r="X67" s="45" t="str">
        <f t="shared" ca="1" si="11"/>
        <v/>
      </c>
      <c r="Y67" s="45" t="str">
        <f t="shared" si="12"/>
        <v>⏳ 1 open</v>
      </c>
      <c r="Z67" s="45" t="str">
        <f>IF(A67="","",B67&amp;"|"&amp;COUNTIFS($B$6:B67,B67,$A$6:A67,"?*"))</f>
        <v>Phase 4|5</v>
      </c>
      <c r="AA67" s="45">
        <f t="shared" ca="1" si="13"/>
        <v>46316.000670000001</v>
      </c>
      <c r="AB67" s="45" t="str">
        <f t="shared" si="14"/>
        <v/>
      </c>
      <c r="AC67" s="45" t="str">
        <f t="shared" ca="1" si="15"/>
        <v>On track</v>
      </c>
    </row>
    <row r="68" spans="1:29" ht="61.95" customHeight="1" x14ac:dyDescent="0.3">
      <c r="A68" s="35" t="s">
        <v>559</v>
      </c>
      <c r="B68" s="36" t="s">
        <v>524</v>
      </c>
      <c r="C68" s="37" t="s">
        <v>560</v>
      </c>
      <c r="D68" s="37" t="s">
        <v>561</v>
      </c>
      <c r="E68" s="37" t="s">
        <v>562</v>
      </c>
      <c r="F68" s="36" t="s">
        <v>146</v>
      </c>
      <c r="G68" s="38" t="s">
        <v>76</v>
      </c>
      <c r="H68" s="39">
        <v>46316</v>
      </c>
      <c r="I68" s="39">
        <v>46316</v>
      </c>
      <c r="J68" s="40">
        <v>0</v>
      </c>
      <c r="K68" s="37" t="s">
        <v>523</v>
      </c>
      <c r="L68" s="37" t="s">
        <v>148</v>
      </c>
      <c r="M68" s="37" t="s">
        <v>563</v>
      </c>
      <c r="N68" s="37" t="s">
        <v>564</v>
      </c>
      <c r="O68" s="37" t="s">
        <v>565</v>
      </c>
      <c r="P68" s="41"/>
      <c r="Q68" s="41"/>
      <c r="R68" s="42"/>
      <c r="S68" s="37" t="s">
        <v>160</v>
      </c>
      <c r="T68" s="38" t="s">
        <v>152</v>
      </c>
      <c r="U68" s="43">
        <f t="shared" si="8"/>
        <v>0</v>
      </c>
      <c r="V68" s="43">
        <f t="shared" ca="1" si="9"/>
        <v>0</v>
      </c>
      <c r="W68" s="44">
        <f t="shared" ca="1" si="10"/>
        <v>10</v>
      </c>
      <c r="X68" s="45" t="str">
        <f t="shared" ca="1" si="11"/>
        <v/>
      </c>
      <c r="Y68" s="45" t="str">
        <f t="shared" si="12"/>
        <v>⏳ 1 open</v>
      </c>
      <c r="Z68" s="45" t="str">
        <f>IF(A68="","",B68&amp;"|"&amp;COUNTIFS($B$6:B68,B68,$A$6:A68,"?*"))</f>
        <v>Phase 4|6</v>
      </c>
      <c r="AA68" s="45">
        <f t="shared" ca="1" si="13"/>
        <v>46316.000679999997</v>
      </c>
      <c r="AB68" s="45" t="str">
        <f t="shared" si="14"/>
        <v/>
      </c>
      <c r="AC68" s="45" t="str">
        <f t="shared" ca="1" si="15"/>
        <v>On track</v>
      </c>
    </row>
    <row r="69" spans="1:29" ht="61.95" customHeight="1" x14ac:dyDescent="0.3">
      <c r="A69" s="35" t="s">
        <v>566</v>
      </c>
      <c r="B69" s="36" t="s">
        <v>524</v>
      </c>
      <c r="C69" s="37" t="s">
        <v>560</v>
      </c>
      <c r="D69" s="37" t="s">
        <v>567</v>
      </c>
      <c r="E69" s="37" t="s">
        <v>568</v>
      </c>
      <c r="F69" s="36" t="s">
        <v>8</v>
      </c>
      <c r="G69" s="38" t="s">
        <v>76</v>
      </c>
      <c r="H69" s="39">
        <v>46316</v>
      </c>
      <c r="I69" s="39">
        <v>46316</v>
      </c>
      <c r="J69" s="40">
        <v>0</v>
      </c>
      <c r="K69" s="37" t="s">
        <v>559</v>
      </c>
      <c r="L69" s="37" t="s">
        <v>148</v>
      </c>
      <c r="M69" s="37" t="s">
        <v>569</v>
      </c>
      <c r="N69" s="37" t="s">
        <v>570</v>
      </c>
      <c r="O69" s="37" t="s">
        <v>571</v>
      </c>
      <c r="P69" s="41"/>
      <c r="Q69" s="41"/>
      <c r="R69" s="42"/>
      <c r="S69" s="37" t="s">
        <v>160</v>
      </c>
      <c r="T69" s="38" t="s">
        <v>152</v>
      </c>
      <c r="U69" s="43">
        <f t="shared" si="8"/>
        <v>0</v>
      </c>
      <c r="V69" s="43">
        <f t="shared" ca="1" si="9"/>
        <v>0</v>
      </c>
      <c r="W69" s="44">
        <f t="shared" ca="1" si="10"/>
        <v>10</v>
      </c>
      <c r="X69" s="45" t="str">
        <f t="shared" ca="1" si="11"/>
        <v/>
      </c>
      <c r="Y69" s="45" t="str">
        <f t="shared" si="12"/>
        <v>⏳ 1 open</v>
      </c>
      <c r="Z69" s="45" t="str">
        <f>IF(A69="","",B69&amp;"|"&amp;COUNTIFS($B$6:B69,B69,$A$6:A69,"?*"))</f>
        <v>Phase 4|7</v>
      </c>
      <c r="AA69" s="45">
        <f t="shared" ca="1" si="13"/>
        <v>46316.000690000001</v>
      </c>
      <c r="AB69" s="45" t="str">
        <f t="shared" si="14"/>
        <v/>
      </c>
      <c r="AC69" s="45" t="str">
        <f t="shared" ca="1" si="15"/>
        <v>On track</v>
      </c>
    </row>
    <row r="70" spans="1:29" ht="61.95" customHeight="1" x14ac:dyDescent="0.3">
      <c r="A70" s="35" t="s">
        <v>572</v>
      </c>
      <c r="B70" s="36" t="s">
        <v>524</v>
      </c>
      <c r="C70" s="37" t="s">
        <v>573</v>
      </c>
      <c r="D70" s="37" t="s">
        <v>574</v>
      </c>
      <c r="E70" s="37" t="s">
        <v>575</v>
      </c>
      <c r="F70" s="36" t="s">
        <v>146</v>
      </c>
      <c r="G70" s="38" t="s">
        <v>76</v>
      </c>
      <c r="H70" s="39">
        <v>46317</v>
      </c>
      <c r="I70" s="39">
        <v>46317</v>
      </c>
      <c r="J70" s="40">
        <v>0</v>
      </c>
      <c r="K70" s="37" t="s">
        <v>531</v>
      </c>
      <c r="L70" s="37" t="s">
        <v>148</v>
      </c>
      <c r="M70" s="37" t="s">
        <v>576</v>
      </c>
      <c r="N70" s="37" t="s">
        <v>577</v>
      </c>
      <c r="O70" s="37" t="s">
        <v>578</v>
      </c>
      <c r="P70" s="41"/>
      <c r="Q70" s="41"/>
      <c r="R70" s="42"/>
      <c r="S70" s="37" t="s">
        <v>160</v>
      </c>
      <c r="T70" s="38" t="s">
        <v>152</v>
      </c>
      <c r="U70" s="43">
        <f t="shared" ref="U70:U101" si="16">IF(A70="",0,IF(G70="Completed",1,IF(G70="Not Started",0,MIN(0.99,N(J70)))))</f>
        <v>0</v>
      </c>
      <c r="V70" s="43">
        <f t="shared" ref="V70:V101" ca="1" si="17">IF(OR(A70="",H70="",I70=""),0,MAX(0,MIN(1,(StatusDate-H70+1)/(I70-H70+1))))</f>
        <v>0</v>
      </c>
      <c r="W70" s="44">
        <f t="shared" ref="W70:W101" ca="1" si="18">IF(OR(A70="",I70="",G70="Completed"),"",I70-StatusDate)</f>
        <v>11</v>
      </c>
      <c r="X70" s="45" t="str">
        <f t="shared" ref="X70:X101" ca="1" si="19">IF(A70="","",IF(AND(G70&lt;&gt;"Completed",I70&lt;&gt;"",I70&lt;StatusDate),"OVERDUE",""))</f>
        <v/>
      </c>
      <c r="Y70" s="45" t="str">
        <f t="shared" ref="Y70:Y101" si="20">IF(OR(A70="",K70=""),"",IF(SUMPRODUCT(($A$6:$A$400&lt;&gt;"")*ISNUMBER(SEARCH($A$6:$A$400,K70))*($G$6:$G$400&lt;&gt;"Completed"))=0,"✓ Ready","⏳ "&amp;SUMPRODUCT(($A$6:$A$400&lt;&gt;"")*ISNUMBER(SEARCH($A$6:$A$400,K70))*($G$6:$G$400&lt;&gt;"Completed"))&amp;" open"))</f>
        <v>⏳ 1 open</v>
      </c>
      <c r="Z70" s="45" t="str">
        <f>IF(A70="","",B70&amp;"|"&amp;COUNTIFS($B$6:B70,B70,$A$6:A70,"?*"))</f>
        <v>Phase 4|8</v>
      </c>
      <c r="AA70" s="45">
        <f t="shared" ref="AA70:AA101" ca="1" si="21">IF(OR(A70="",I70="",G70="Completed"),"",IF(I70&gt;=StatusDate,I70+ROW()/100000,""))</f>
        <v>46317.000699999997</v>
      </c>
      <c r="AB70" s="45" t="str">
        <f t="shared" ref="AB70:AB101" si="22">IF(A70="","",IF(AND(G70&lt;&gt;"Completed",OR(G70="Blocked",AND(TRIM(P70)&lt;&gt;"",P70&lt;&gt;"None"))),ROW(),""))</f>
        <v/>
      </c>
      <c r="AC70" s="45" t="str">
        <f t="shared" ref="AC70:AC101" ca="1" si="23">IF(A70="","",IF(G70="Completed","Done",IF(G70="Blocked","Blocked",IF(X70="OVERDUE","Overdue",IF(AND(W70&lt;&gt;"",W70&lt;=2),"Due soon",IF(AND(Y70&lt;&gt;"",LEFT(Y70,1)="⏳",G70&lt;&gt;"Not Started"),"Dependency open",IF(AND(S70&lt;&gt;"None",S70&lt;&gt;"",G70&lt;&gt;"Completed"),"External req.","On track")))))))</f>
        <v>On track</v>
      </c>
    </row>
    <row r="71" spans="1:29" ht="61.95" customHeight="1" x14ac:dyDescent="0.3">
      <c r="A71" s="35" t="s">
        <v>579</v>
      </c>
      <c r="B71" s="36" t="s">
        <v>524</v>
      </c>
      <c r="C71" s="37" t="s">
        <v>580</v>
      </c>
      <c r="D71" s="37" t="s">
        <v>581</v>
      </c>
      <c r="E71" s="37" t="s">
        <v>582</v>
      </c>
      <c r="F71" s="36" t="s">
        <v>8</v>
      </c>
      <c r="G71" s="38" t="s">
        <v>76</v>
      </c>
      <c r="H71" s="39">
        <v>46317</v>
      </c>
      <c r="I71" s="39">
        <v>46317</v>
      </c>
      <c r="J71" s="40">
        <v>0</v>
      </c>
      <c r="K71" s="37" t="s">
        <v>572</v>
      </c>
      <c r="L71" s="37" t="s">
        <v>148</v>
      </c>
      <c r="M71" s="37" t="s">
        <v>583</v>
      </c>
      <c r="N71" s="37" t="s">
        <v>584</v>
      </c>
      <c r="O71" s="37" t="s">
        <v>585</v>
      </c>
      <c r="P71" s="41"/>
      <c r="Q71" s="41"/>
      <c r="R71" s="42"/>
      <c r="S71" s="37" t="s">
        <v>160</v>
      </c>
      <c r="T71" s="38" t="s">
        <v>152</v>
      </c>
      <c r="U71" s="43">
        <f t="shared" si="16"/>
        <v>0</v>
      </c>
      <c r="V71" s="43">
        <f t="shared" ca="1" si="17"/>
        <v>0</v>
      </c>
      <c r="W71" s="44">
        <f t="shared" ca="1" si="18"/>
        <v>11</v>
      </c>
      <c r="X71" s="45" t="str">
        <f t="shared" ca="1" si="19"/>
        <v/>
      </c>
      <c r="Y71" s="45" t="str">
        <f t="shared" si="20"/>
        <v>⏳ 1 open</v>
      </c>
      <c r="Z71" s="45" t="str">
        <f>IF(A71="","",B71&amp;"|"&amp;COUNTIFS($B$6:B71,B71,$A$6:A71,"?*"))</f>
        <v>Phase 4|9</v>
      </c>
      <c r="AA71" s="45">
        <f t="shared" ca="1" si="21"/>
        <v>46317.00071</v>
      </c>
      <c r="AB71" s="45" t="str">
        <f t="shared" si="22"/>
        <v/>
      </c>
      <c r="AC71" s="45" t="str">
        <f t="shared" ca="1" si="23"/>
        <v>On track</v>
      </c>
    </row>
    <row r="72" spans="1:29" ht="61.95" customHeight="1" x14ac:dyDescent="0.3">
      <c r="A72" s="35" t="s">
        <v>586</v>
      </c>
      <c r="B72" s="36" t="s">
        <v>524</v>
      </c>
      <c r="C72" s="37" t="s">
        <v>587</v>
      </c>
      <c r="D72" s="37" t="s">
        <v>588</v>
      </c>
      <c r="E72" s="37" t="s">
        <v>589</v>
      </c>
      <c r="F72" s="36" t="s">
        <v>146</v>
      </c>
      <c r="G72" s="38" t="s">
        <v>76</v>
      </c>
      <c r="H72" s="39">
        <v>46317</v>
      </c>
      <c r="I72" s="39">
        <v>46317</v>
      </c>
      <c r="J72" s="40">
        <v>0</v>
      </c>
      <c r="K72" s="37" t="s">
        <v>572</v>
      </c>
      <c r="L72" s="37" t="s">
        <v>148</v>
      </c>
      <c r="M72" s="37" t="s">
        <v>590</v>
      </c>
      <c r="N72" s="37" t="s">
        <v>591</v>
      </c>
      <c r="O72" s="37" t="s">
        <v>592</v>
      </c>
      <c r="P72" s="41"/>
      <c r="Q72" s="41"/>
      <c r="R72" s="42"/>
      <c r="S72" s="37" t="s">
        <v>160</v>
      </c>
      <c r="T72" s="38" t="s">
        <v>152</v>
      </c>
      <c r="U72" s="43">
        <f t="shared" si="16"/>
        <v>0</v>
      </c>
      <c r="V72" s="43">
        <f t="shared" ca="1" si="17"/>
        <v>0</v>
      </c>
      <c r="W72" s="44">
        <f t="shared" ca="1" si="18"/>
        <v>11</v>
      </c>
      <c r="X72" s="45" t="str">
        <f t="shared" ca="1" si="19"/>
        <v/>
      </c>
      <c r="Y72" s="45" t="str">
        <f t="shared" si="20"/>
        <v>⏳ 1 open</v>
      </c>
      <c r="Z72" s="45" t="str">
        <f>IF(A72="","",B72&amp;"|"&amp;COUNTIFS($B$6:B72,B72,$A$6:A72,"?*"))</f>
        <v>Phase 4|10</v>
      </c>
      <c r="AA72" s="45">
        <f t="shared" ca="1" si="21"/>
        <v>46317.000719999996</v>
      </c>
      <c r="AB72" s="45" t="str">
        <f t="shared" si="22"/>
        <v/>
      </c>
      <c r="AC72" s="45" t="str">
        <f t="shared" ca="1" si="23"/>
        <v>On track</v>
      </c>
    </row>
    <row r="73" spans="1:29" ht="61.95" customHeight="1" x14ac:dyDescent="0.3">
      <c r="A73" s="35" t="s">
        <v>593</v>
      </c>
      <c r="B73" s="36" t="s">
        <v>524</v>
      </c>
      <c r="C73" s="37" t="s">
        <v>594</v>
      </c>
      <c r="D73" s="37" t="s">
        <v>595</v>
      </c>
      <c r="E73" s="37" t="s">
        <v>596</v>
      </c>
      <c r="F73" s="36" t="s">
        <v>146</v>
      </c>
      <c r="G73" s="38" t="s">
        <v>76</v>
      </c>
      <c r="H73" s="39">
        <v>46317</v>
      </c>
      <c r="I73" s="39">
        <v>46317</v>
      </c>
      <c r="J73" s="40">
        <v>0</v>
      </c>
      <c r="K73" s="37" t="s">
        <v>597</v>
      </c>
      <c r="L73" s="37" t="s">
        <v>148</v>
      </c>
      <c r="M73" s="37" t="s">
        <v>598</v>
      </c>
      <c r="N73" s="37" t="s">
        <v>599</v>
      </c>
      <c r="O73" s="37" t="s">
        <v>600</v>
      </c>
      <c r="P73" s="41"/>
      <c r="Q73" s="41"/>
      <c r="R73" s="42"/>
      <c r="S73" s="37" t="s">
        <v>84</v>
      </c>
      <c r="T73" s="38" t="s">
        <v>152</v>
      </c>
      <c r="U73" s="43">
        <f t="shared" si="16"/>
        <v>0</v>
      </c>
      <c r="V73" s="43">
        <f t="shared" ca="1" si="17"/>
        <v>0</v>
      </c>
      <c r="W73" s="44">
        <f t="shared" ca="1" si="18"/>
        <v>11</v>
      </c>
      <c r="X73" s="45" t="str">
        <f t="shared" ca="1" si="19"/>
        <v/>
      </c>
      <c r="Y73" s="45" t="str">
        <f t="shared" si="20"/>
        <v>⏳ 2 open</v>
      </c>
      <c r="Z73" s="45" t="str">
        <f>IF(A73="","",B73&amp;"|"&amp;COUNTIFS($B$6:B73,B73,$A$6:A73,"?*"))</f>
        <v>Phase 4|11</v>
      </c>
      <c r="AA73" s="45">
        <f t="shared" ca="1" si="21"/>
        <v>46317.00073</v>
      </c>
      <c r="AB73" s="45" t="str">
        <f t="shared" si="22"/>
        <v/>
      </c>
      <c r="AC73" s="45" t="str">
        <f t="shared" ca="1" si="23"/>
        <v>External req.</v>
      </c>
    </row>
    <row r="74" spans="1:29" ht="61.95" customHeight="1" x14ac:dyDescent="0.3">
      <c r="A74" s="35" t="s">
        <v>601</v>
      </c>
      <c r="B74" s="36" t="s">
        <v>524</v>
      </c>
      <c r="C74" s="37" t="s">
        <v>261</v>
      </c>
      <c r="D74" s="37" t="s">
        <v>602</v>
      </c>
      <c r="E74" s="37" t="s">
        <v>603</v>
      </c>
      <c r="F74" s="36" t="s">
        <v>146</v>
      </c>
      <c r="G74" s="38" t="s">
        <v>76</v>
      </c>
      <c r="H74" s="39">
        <v>46317</v>
      </c>
      <c r="I74" s="39">
        <v>46317</v>
      </c>
      <c r="J74" s="40">
        <v>0</v>
      </c>
      <c r="K74" s="37" t="s">
        <v>604</v>
      </c>
      <c r="L74" s="37" t="s">
        <v>148</v>
      </c>
      <c r="M74" s="37" t="s">
        <v>605</v>
      </c>
      <c r="N74" s="37" t="s">
        <v>606</v>
      </c>
      <c r="O74" s="37" t="s">
        <v>607</v>
      </c>
      <c r="P74" s="41"/>
      <c r="Q74" s="41"/>
      <c r="R74" s="42"/>
      <c r="S74" s="37" t="s">
        <v>160</v>
      </c>
      <c r="T74" s="38" t="s">
        <v>152</v>
      </c>
      <c r="U74" s="43">
        <f t="shared" si="16"/>
        <v>0</v>
      </c>
      <c r="V74" s="43">
        <f t="shared" ca="1" si="17"/>
        <v>0</v>
      </c>
      <c r="W74" s="44">
        <f t="shared" ca="1" si="18"/>
        <v>11</v>
      </c>
      <c r="X74" s="45" t="str">
        <f t="shared" ca="1" si="19"/>
        <v/>
      </c>
      <c r="Y74" s="45" t="str">
        <f t="shared" si="20"/>
        <v>⏳ 3 open</v>
      </c>
      <c r="Z74" s="45" t="str">
        <f>IF(A74="","",B74&amp;"|"&amp;COUNTIFS($B$6:B74,B74,$A$6:A74,"?*"))</f>
        <v>Phase 4|12</v>
      </c>
      <c r="AA74" s="45">
        <f t="shared" ca="1" si="21"/>
        <v>46317.000740000003</v>
      </c>
      <c r="AB74" s="45" t="str">
        <f t="shared" si="22"/>
        <v/>
      </c>
      <c r="AC74" s="45" t="str">
        <f t="shared" ca="1" si="23"/>
        <v>On track</v>
      </c>
    </row>
    <row r="75" spans="1:29" ht="61.95" customHeight="1" x14ac:dyDescent="0.3">
      <c r="A75" s="35" t="s">
        <v>608</v>
      </c>
      <c r="B75" s="36" t="s">
        <v>609</v>
      </c>
      <c r="C75" s="37" t="s">
        <v>77</v>
      </c>
      <c r="D75" s="37" t="s">
        <v>610</v>
      </c>
      <c r="E75" s="37" t="s">
        <v>611</v>
      </c>
      <c r="F75" s="36" t="s">
        <v>8</v>
      </c>
      <c r="G75" s="38" t="s">
        <v>76</v>
      </c>
      <c r="H75" s="39">
        <v>46307</v>
      </c>
      <c r="I75" s="39">
        <v>46315</v>
      </c>
      <c r="J75" s="40">
        <v>0</v>
      </c>
      <c r="K75" s="37"/>
      <c r="L75" s="37" t="s">
        <v>540</v>
      </c>
      <c r="M75" s="37" t="s">
        <v>520</v>
      </c>
      <c r="N75" s="37" t="s">
        <v>612</v>
      </c>
      <c r="O75" s="37" t="s">
        <v>613</v>
      </c>
      <c r="P75" s="41"/>
      <c r="Q75" s="41"/>
      <c r="R75" s="42"/>
      <c r="S75" s="37" t="s">
        <v>77</v>
      </c>
      <c r="T75" s="38" t="s">
        <v>152</v>
      </c>
      <c r="U75" s="43">
        <f t="shared" si="16"/>
        <v>0</v>
      </c>
      <c r="V75" s="43">
        <f t="shared" ca="1" si="17"/>
        <v>0</v>
      </c>
      <c r="W75" s="44">
        <f t="shared" ca="1" si="18"/>
        <v>9</v>
      </c>
      <c r="X75" s="45" t="str">
        <f t="shared" ca="1" si="19"/>
        <v/>
      </c>
      <c r="Y75" s="45" t="str">
        <f t="shared" si="20"/>
        <v/>
      </c>
      <c r="Z75" s="45" t="str">
        <f>IF(A75="","",B75&amp;"|"&amp;COUNTIFS($B$6:B75,B75,$A$6:A75,"?*"))</f>
        <v>Phase 5|1</v>
      </c>
      <c r="AA75" s="45">
        <f t="shared" ca="1" si="21"/>
        <v>46315.000749999999</v>
      </c>
      <c r="AB75" s="45" t="str">
        <f t="shared" si="22"/>
        <v/>
      </c>
      <c r="AC75" s="45" t="str">
        <f t="shared" ca="1" si="23"/>
        <v>External req.</v>
      </c>
    </row>
    <row r="76" spans="1:29" ht="61.95" customHeight="1" x14ac:dyDescent="0.3">
      <c r="A76" s="35" t="s">
        <v>614</v>
      </c>
      <c r="B76" s="36" t="s">
        <v>609</v>
      </c>
      <c r="C76" s="37" t="s">
        <v>77</v>
      </c>
      <c r="D76" s="37" t="s">
        <v>615</v>
      </c>
      <c r="E76" s="37" t="s">
        <v>616</v>
      </c>
      <c r="F76" s="36" t="s">
        <v>8</v>
      </c>
      <c r="G76" s="38" t="s">
        <v>76</v>
      </c>
      <c r="H76" s="39">
        <v>46307</v>
      </c>
      <c r="I76" s="39">
        <v>46315</v>
      </c>
      <c r="J76" s="40">
        <v>0</v>
      </c>
      <c r="K76" s="37"/>
      <c r="L76" s="37" t="s">
        <v>540</v>
      </c>
      <c r="M76" s="37" t="s">
        <v>520</v>
      </c>
      <c r="N76" s="37" t="s">
        <v>617</v>
      </c>
      <c r="O76" s="37" t="s">
        <v>618</v>
      </c>
      <c r="P76" s="41"/>
      <c r="Q76" s="41"/>
      <c r="R76" s="42"/>
      <c r="S76" s="37" t="s">
        <v>77</v>
      </c>
      <c r="T76" s="38" t="s">
        <v>152</v>
      </c>
      <c r="U76" s="43">
        <f t="shared" si="16"/>
        <v>0</v>
      </c>
      <c r="V76" s="43">
        <f t="shared" ca="1" si="17"/>
        <v>0</v>
      </c>
      <c r="W76" s="44">
        <f t="shared" ca="1" si="18"/>
        <v>9</v>
      </c>
      <c r="X76" s="45" t="str">
        <f t="shared" ca="1" si="19"/>
        <v/>
      </c>
      <c r="Y76" s="45" t="str">
        <f t="shared" si="20"/>
        <v/>
      </c>
      <c r="Z76" s="45" t="str">
        <f>IF(A76="","",B76&amp;"|"&amp;COUNTIFS($B$6:B76,B76,$A$6:A76,"?*"))</f>
        <v>Phase 5|2</v>
      </c>
      <c r="AA76" s="45">
        <f t="shared" ca="1" si="21"/>
        <v>46315.000760000003</v>
      </c>
      <c r="AB76" s="45" t="str">
        <f t="shared" si="22"/>
        <v/>
      </c>
      <c r="AC76" s="45" t="str">
        <f t="shared" ca="1" si="23"/>
        <v>External req.</v>
      </c>
    </row>
    <row r="77" spans="1:29" ht="61.95" customHeight="1" x14ac:dyDescent="0.3">
      <c r="A77" s="35" t="s">
        <v>619</v>
      </c>
      <c r="B77" s="36" t="s">
        <v>609</v>
      </c>
      <c r="C77" s="37" t="s">
        <v>620</v>
      </c>
      <c r="D77" s="37" t="s">
        <v>621</v>
      </c>
      <c r="E77" s="37" t="s">
        <v>622</v>
      </c>
      <c r="F77" s="36" t="s">
        <v>146</v>
      </c>
      <c r="G77" s="38" t="s">
        <v>76</v>
      </c>
      <c r="H77" s="39">
        <v>46307</v>
      </c>
      <c r="I77" s="39">
        <v>46317</v>
      </c>
      <c r="J77" s="40">
        <v>0</v>
      </c>
      <c r="K77" s="37"/>
      <c r="L77" s="37" t="s">
        <v>540</v>
      </c>
      <c r="M77" s="37" t="s">
        <v>520</v>
      </c>
      <c r="N77" s="37" t="s">
        <v>623</v>
      </c>
      <c r="O77" s="37" t="s">
        <v>624</v>
      </c>
      <c r="P77" s="41"/>
      <c r="Q77" s="41"/>
      <c r="R77" s="42"/>
      <c r="S77" s="37" t="s">
        <v>80</v>
      </c>
      <c r="T77" s="38" t="s">
        <v>152</v>
      </c>
      <c r="U77" s="43">
        <f t="shared" si="16"/>
        <v>0</v>
      </c>
      <c r="V77" s="43">
        <f t="shared" ca="1" si="17"/>
        <v>0</v>
      </c>
      <c r="W77" s="44">
        <f t="shared" ca="1" si="18"/>
        <v>11</v>
      </c>
      <c r="X77" s="45" t="str">
        <f t="shared" ca="1" si="19"/>
        <v/>
      </c>
      <c r="Y77" s="45" t="str">
        <f t="shared" si="20"/>
        <v/>
      </c>
      <c r="Z77" s="45" t="str">
        <f>IF(A77="","",B77&amp;"|"&amp;COUNTIFS($B$6:B77,B77,$A$6:A77,"?*"))</f>
        <v>Phase 5|3</v>
      </c>
      <c r="AA77" s="45">
        <f t="shared" ca="1" si="21"/>
        <v>46317.000769999999</v>
      </c>
      <c r="AB77" s="45" t="str">
        <f t="shared" si="22"/>
        <v/>
      </c>
      <c r="AC77" s="45" t="str">
        <f t="shared" ca="1" si="23"/>
        <v>External req.</v>
      </c>
    </row>
    <row r="78" spans="1:29" ht="61.95" customHeight="1" x14ac:dyDescent="0.3">
      <c r="A78" s="35" t="s">
        <v>625</v>
      </c>
      <c r="B78" s="36" t="s">
        <v>609</v>
      </c>
      <c r="C78" s="37" t="s">
        <v>626</v>
      </c>
      <c r="D78" s="37" t="s">
        <v>627</v>
      </c>
      <c r="E78" s="37" t="s">
        <v>628</v>
      </c>
      <c r="F78" s="36" t="s">
        <v>146</v>
      </c>
      <c r="G78" s="38" t="s">
        <v>76</v>
      </c>
      <c r="H78" s="39">
        <v>46318</v>
      </c>
      <c r="I78" s="39">
        <v>46318</v>
      </c>
      <c r="J78" s="40">
        <v>0</v>
      </c>
      <c r="K78" s="37" t="s">
        <v>260</v>
      </c>
      <c r="L78" s="37" t="s">
        <v>148</v>
      </c>
      <c r="M78" s="37" t="s">
        <v>629</v>
      </c>
      <c r="N78" s="37" t="s">
        <v>630</v>
      </c>
      <c r="O78" s="37" t="s">
        <v>631</v>
      </c>
      <c r="P78" s="41"/>
      <c r="Q78" s="41"/>
      <c r="R78" s="42"/>
      <c r="S78" s="37" t="s">
        <v>160</v>
      </c>
      <c r="T78" s="38" t="s">
        <v>152</v>
      </c>
      <c r="U78" s="43">
        <f t="shared" si="16"/>
        <v>0</v>
      </c>
      <c r="V78" s="43">
        <f t="shared" ca="1" si="17"/>
        <v>0</v>
      </c>
      <c r="W78" s="44">
        <f t="shared" ca="1" si="18"/>
        <v>12</v>
      </c>
      <c r="X78" s="45" t="str">
        <f t="shared" ca="1" si="19"/>
        <v/>
      </c>
      <c r="Y78" s="45" t="str">
        <f t="shared" si="20"/>
        <v>⏳ 1 open</v>
      </c>
      <c r="Z78" s="45" t="str">
        <f>IF(A78="","",B78&amp;"|"&amp;COUNTIFS($B$6:B78,B78,$A$6:A78,"?*"))</f>
        <v>Phase 5|4</v>
      </c>
      <c r="AA78" s="45">
        <f t="shared" ca="1" si="21"/>
        <v>46318.000780000002</v>
      </c>
      <c r="AB78" s="45" t="str">
        <f t="shared" si="22"/>
        <v/>
      </c>
      <c r="AC78" s="45" t="str">
        <f t="shared" ca="1" si="23"/>
        <v>On track</v>
      </c>
    </row>
    <row r="79" spans="1:29" ht="61.95" customHeight="1" x14ac:dyDescent="0.3">
      <c r="A79" s="35" t="s">
        <v>632</v>
      </c>
      <c r="B79" s="36" t="s">
        <v>609</v>
      </c>
      <c r="C79" s="37" t="s">
        <v>626</v>
      </c>
      <c r="D79" s="37" t="s">
        <v>633</v>
      </c>
      <c r="E79" s="37" t="s">
        <v>634</v>
      </c>
      <c r="F79" s="36" t="s">
        <v>8</v>
      </c>
      <c r="G79" s="38" t="s">
        <v>76</v>
      </c>
      <c r="H79" s="39">
        <v>46318</v>
      </c>
      <c r="I79" s="39">
        <v>46318</v>
      </c>
      <c r="J79" s="40">
        <v>0</v>
      </c>
      <c r="K79" s="37" t="s">
        <v>635</v>
      </c>
      <c r="L79" s="37" t="s">
        <v>148</v>
      </c>
      <c r="M79" s="37" t="s">
        <v>636</v>
      </c>
      <c r="N79" s="37" t="s">
        <v>637</v>
      </c>
      <c r="O79" s="37" t="s">
        <v>638</v>
      </c>
      <c r="P79" s="41"/>
      <c r="Q79" s="41"/>
      <c r="R79" s="42"/>
      <c r="S79" s="37" t="s">
        <v>77</v>
      </c>
      <c r="T79" s="38" t="s">
        <v>152</v>
      </c>
      <c r="U79" s="43">
        <f t="shared" si="16"/>
        <v>0</v>
      </c>
      <c r="V79" s="43">
        <f t="shared" ca="1" si="17"/>
        <v>0</v>
      </c>
      <c r="W79" s="44">
        <f t="shared" ca="1" si="18"/>
        <v>12</v>
      </c>
      <c r="X79" s="45" t="str">
        <f t="shared" ca="1" si="19"/>
        <v/>
      </c>
      <c r="Y79" s="45" t="str">
        <f t="shared" si="20"/>
        <v>⏳ 2 open</v>
      </c>
      <c r="Z79" s="45" t="str">
        <f>IF(A79="","",B79&amp;"|"&amp;COUNTIFS($B$6:B79,B79,$A$6:A79,"?*"))</f>
        <v>Phase 5|5</v>
      </c>
      <c r="AA79" s="45">
        <f t="shared" ca="1" si="21"/>
        <v>46318.000789999998</v>
      </c>
      <c r="AB79" s="45" t="str">
        <f t="shared" si="22"/>
        <v/>
      </c>
      <c r="AC79" s="45" t="str">
        <f t="shared" ca="1" si="23"/>
        <v>External req.</v>
      </c>
    </row>
    <row r="80" spans="1:29" ht="61.95" customHeight="1" x14ac:dyDescent="0.3">
      <c r="A80" s="35" t="s">
        <v>639</v>
      </c>
      <c r="B80" s="36" t="s">
        <v>609</v>
      </c>
      <c r="C80" s="37" t="s">
        <v>626</v>
      </c>
      <c r="D80" s="37" t="s">
        <v>640</v>
      </c>
      <c r="E80" s="37" t="s">
        <v>641</v>
      </c>
      <c r="F80" s="36" t="s">
        <v>9</v>
      </c>
      <c r="G80" s="38" t="s">
        <v>76</v>
      </c>
      <c r="H80" s="39">
        <v>46318</v>
      </c>
      <c r="I80" s="39">
        <v>46318</v>
      </c>
      <c r="J80" s="40">
        <v>0</v>
      </c>
      <c r="K80" s="37" t="s">
        <v>642</v>
      </c>
      <c r="L80" s="37" t="s">
        <v>148</v>
      </c>
      <c r="M80" s="37" t="s">
        <v>643</v>
      </c>
      <c r="N80" s="37" t="s">
        <v>644</v>
      </c>
      <c r="O80" s="37" t="s">
        <v>645</v>
      </c>
      <c r="P80" s="41"/>
      <c r="Q80" s="41"/>
      <c r="R80" s="42"/>
      <c r="S80" s="37" t="s">
        <v>77</v>
      </c>
      <c r="T80" s="38" t="s">
        <v>152</v>
      </c>
      <c r="U80" s="43">
        <f t="shared" si="16"/>
        <v>0</v>
      </c>
      <c r="V80" s="43">
        <f t="shared" ca="1" si="17"/>
        <v>0</v>
      </c>
      <c r="W80" s="44">
        <f t="shared" ca="1" si="18"/>
        <v>12</v>
      </c>
      <c r="X80" s="45" t="str">
        <f t="shared" ca="1" si="19"/>
        <v/>
      </c>
      <c r="Y80" s="45" t="str">
        <f t="shared" si="20"/>
        <v>⏳ 2 open</v>
      </c>
      <c r="Z80" s="45" t="str">
        <f>IF(A80="","",B80&amp;"|"&amp;COUNTIFS($B$6:B80,B80,$A$6:A80,"?*"))</f>
        <v>Phase 5|6</v>
      </c>
      <c r="AA80" s="45">
        <f t="shared" ca="1" si="21"/>
        <v>46318.000800000002</v>
      </c>
      <c r="AB80" s="45" t="str">
        <f t="shared" si="22"/>
        <v/>
      </c>
      <c r="AC80" s="45" t="str">
        <f t="shared" ca="1" si="23"/>
        <v>External req.</v>
      </c>
    </row>
    <row r="81" spans="1:29" ht="61.95" customHeight="1" x14ac:dyDescent="0.3">
      <c r="A81" s="35" t="s">
        <v>646</v>
      </c>
      <c r="B81" s="36" t="s">
        <v>609</v>
      </c>
      <c r="C81" s="37" t="s">
        <v>647</v>
      </c>
      <c r="D81" s="37" t="s">
        <v>648</v>
      </c>
      <c r="E81" s="37" t="s">
        <v>649</v>
      </c>
      <c r="F81" s="36" t="s">
        <v>146</v>
      </c>
      <c r="G81" s="38" t="s">
        <v>76</v>
      </c>
      <c r="H81" s="39">
        <v>46318</v>
      </c>
      <c r="I81" s="39">
        <v>46318</v>
      </c>
      <c r="J81" s="40">
        <v>0</v>
      </c>
      <c r="K81" s="37" t="s">
        <v>625</v>
      </c>
      <c r="L81" s="37" t="s">
        <v>148</v>
      </c>
      <c r="M81" s="37" t="s">
        <v>650</v>
      </c>
      <c r="N81" s="37" t="s">
        <v>651</v>
      </c>
      <c r="O81" s="37" t="s">
        <v>652</v>
      </c>
      <c r="P81" s="41"/>
      <c r="Q81" s="41"/>
      <c r="R81" s="42"/>
      <c r="S81" s="37" t="s">
        <v>160</v>
      </c>
      <c r="T81" s="38" t="s">
        <v>152</v>
      </c>
      <c r="U81" s="43">
        <f t="shared" si="16"/>
        <v>0</v>
      </c>
      <c r="V81" s="43">
        <f t="shared" ca="1" si="17"/>
        <v>0</v>
      </c>
      <c r="W81" s="44">
        <f t="shared" ca="1" si="18"/>
        <v>12</v>
      </c>
      <c r="X81" s="45" t="str">
        <f t="shared" ca="1" si="19"/>
        <v/>
      </c>
      <c r="Y81" s="45" t="str">
        <f t="shared" si="20"/>
        <v>⏳ 1 open</v>
      </c>
      <c r="Z81" s="45" t="str">
        <f>IF(A81="","",B81&amp;"|"&amp;COUNTIFS($B$6:B81,B81,$A$6:A81,"?*"))</f>
        <v>Phase 5|7</v>
      </c>
      <c r="AA81" s="45">
        <f t="shared" ca="1" si="21"/>
        <v>46318.000809999998</v>
      </c>
      <c r="AB81" s="45" t="str">
        <f t="shared" si="22"/>
        <v/>
      </c>
      <c r="AC81" s="45" t="str">
        <f t="shared" ca="1" si="23"/>
        <v>On track</v>
      </c>
    </row>
    <row r="82" spans="1:29" ht="61.95" customHeight="1" x14ac:dyDescent="0.3">
      <c r="A82" s="35" t="s">
        <v>653</v>
      </c>
      <c r="B82" s="36" t="s">
        <v>609</v>
      </c>
      <c r="C82" s="37" t="s">
        <v>620</v>
      </c>
      <c r="D82" s="37" t="s">
        <v>654</v>
      </c>
      <c r="E82" s="37" t="s">
        <v>655</v>
      </c>
      <c r="F82" s="36" t="s">
        <v>146</v>
      </c>
      <c r="G82" s="38" t="s">
        <v>76</v>
      </c>
      <c r="H82" s="39">
        <v>46318</v>
      </c>
      <c r="I82" s="39">
        <v>46319</v>
      </c>
      <c r="J82" s="40">
        <v>0</v>
      </c>
      <c r="K82" s="37" t="s">
        <v>656</v>
      </c>
      <c r="L82" s="37" t="s">
        <v>148</v>
      </c>
      <c r="M82" s="37" t="s">
        <v>657</v>
      </c>
      <c r="N82" s="37" t="s">
        <v>658</v>
      </c>
      <c r="O82" s="37" t="s">
        <v>659</v>
      </c>
      <c r="P82" s="41"/>
      <c r="Q82" s="41"/>
      <c r="R82" s="42"/>
      <c r="S82" s="37" t="s">
        <v>80</v>
      </c>
      <c r="T82" s="38" t="s">
        <v>152</v>
      </c>
      <c r="U82" s="43">
        <f t="shared" si="16"/>
        <v>0</v>
      </c>
      <c r="V82" s="43">
        <f t="shared" ca="1" si="17"/>
        <v>0</v>
      </c>
      <c r="W82" s="44">
        <f t="shared" ca="1" si="18"/>
        <v>13</v>
      </c>
      <c r="X82" s="45" t="str">
        <f t="shared" ca="1" si="19"/>
        <v/>
      </c>
      <c r="Y82" s="45" t="str">
        <f t="shared" si="20"/>
        <v>⏳ 2 open</v>
      </c>
      <c r="Z82" s="45" t="str">
        <f>IF(A82="","",B82&amp;"|"&amp;COUNTIFS($B$6:B82,B82,$A$6:A82,"?*"))</f>
        <v>Phase 5|8</v>
      </c>
      <c r="AA82" s="45">
        <f t="shared" ca="1" si="21"/>
        <v>46319.000820000001</v>
      </c>
      <c r="AB82" s="45" t="str">
        <f t="shared" si="22"/>
        <v/>
      </c>
      <c r="AC82" s="45" t="str">
        <f t="shared" ca="1" si="23"/>
        <v>External req.</v>
      </c>
    </row>
    <row r="83" spans="1:29" ht="61.95" customHeight="1" x14ac:dyDescent="0.3">
      <c r="A83" s="35" t="s">
        <v>660</v>
      </c>
      <c r="B83" s="36" t="s">
        <v>609</v>
      </c>
      <c r="C83" s="37" t="s">
        <v>620</v>
      </c>
      <c r="D83" s="37" t="s">
        <v>661</v>
      </c>
      <c r="E83" s="37" t="s">
        <v>662</v>
      </c>
      <c r="F83" s="36" t="s">
        <v>146</v>
      </c>
      <c r="G83" s="38" t="s">
        <v>76</v>
      </c>
      <c r="H83" s="39">
        <v>46319</v>
      </c>
      <c r="I83" s="39">
        <v>46319</v>
      </c>
      <c r="J83" s="40">
        <v>0</v>
      </c>
      <c r="K83" s="37" t="s">
        <v>653</v>
      </c>
      <c r="L83" s="37" t="s">
        <v>148</v>
      </c>
      <c r="M83" s="37" t="s">
        <v>663</v>
      </c>
      <c r="N83" s="37" t="s">
        <v>664</v>
      </c>
      <c r="O83" s="37" t="s">
        <v>665</v>
      </c>
      <c r="P83" s="41"/>
      <c r="Q83" s="41"/>
      <c r="R83" s="42"/>
      <c r="S83" s="37" t="s">
        <v>80</v>
      </c>
      <c r="T83" s="38" t="s">
        <v>152</v>
      </c>
      <c r="U83" s="43">
        <f t="shared" si="16"/>
        <v>0</v>
      </c>
      <c r="V83" s="43">
        <f t="shared" ca="1" si="17"/>
        <v>0</v>
      </c>
      <c r="W83" s="44">
        <f t="shared" ca="1" si="18"/>
        <v>13</v>
      </c>
      <c r="X83" s="45" t="str">
        <f t="shared" ca="1" si="19"/>
        <v/>
      </c>
      <c r="Y83" s="45" t="str">
        <f t="shared" si="20"/>
        <v>⏳ 1 open</v>
      </c>
      <c r="Z83" s="45" t="str">
        <f>IF(A83="","",B83&amp;"|"&amp;COUNTIFS($B$6:B83,B83,$A$6:A83,"?*"))</f>
        <v>Phase 5|9</v>
      </c>
      <c r="AA83" s="45">
        <f t="shared" ca="1" si="21"/>
        <v>46319.000829999997</v>
      </c>
      <c r="AB83" s="45" t="str">
        <f t="shared" si="22"/>
        <v/>
      </c>
      <c r="AC83" s="45" t="str">
        <f t="shared" ca="1" si="23"/>
        <v>External req.</v>
      </c>
    </row>
    <row r="84" spans="1:29" ht="61.95" customHeight="1" x14ac:dyDescent="0.3">
      <c r="A84" s="35" t="s">
        <v>666</v>
      </c>
      <c r="B84" s="36" t="s">
        <v>609</v>
      </c>
      <c r="C84" s="37" t="s">
        <v>647</v>
      </c>
      <c r="D84" s="37" t="s">
        <v>667</v>
      </c>
      <c r="E84" s="37" t="s">
        <v>668</v>
      </c>
      <c r="F84" s="36" t="s">
        <v>8</v>
      </c>
      <c r="G84" s="38" t="s">
        <v>76</v>
      </c>
      <c r="H84" s="39">
        <v>46319</v>
      </c>
      <c r="I84" s="39">
        <v>46319</v>
      </c>
      <c r="J84" s="40">
        <v>0</v>
      </c>
      <c r="K84" s="37" t="s">
        <v>669</v>
      </c>
      <c r="L84" s="37" t="s">
        <v>148</v>
      </c>
      <c r="M84" s="37" t="s">
        <v>670</v>
      </c>
      <c r="N84" s="37" t="s">
        <v>671</v>
      </c>
      <c r="O84" s="37" t="s">
        <v>672</v>
      </c>
      <c r="P84" s="41"/>
      <c r="Q84" s="41"/>
      <c r="R84" s="42"/>
      <c r="S84" s="37" t="s">
        <v>160</v>
      </c>
      <c r="T84" s="38" t="s">
        <v>152</v>
      </c>
      <c r="U84" s="43">
        <f t="shared" si="16"/>
        <v>0</v>
      </c>
      <c r="V84" s="43">
        <f t="shared" ca="1" si="17"/>
        <v>0</v>
      </c>
      <c r="W84" s="44">
        <f t="shared" ca="1" si="18"/>
        <v>13</v>
      </c>
      <c r="X84" s="45" t="str">
        <f t="shared" ca="1" si="19"/>
        <v/>
      </c>
      <c r="Y84" s="45" t="str">
        <f t="shared" si="20"/>
        <v>⏳ 2 open</v>
      </c>
      <c r="Z84" s="45" t="str">
        <f>IF(A84="","",B84&amp;"|"&amp;COUNTIFS($B$6:B84,B84,$A$6:A84,"?*"))</f>
        <v>Phase 5|10</v>
      </c>
      <c r="AA84" s="45">
        <f t="shared" ca="1" si="21"/>
        <v>46319.000840000001</v>
      </c>
      <c r="AB84" s="45" t="str">
        <f t="shared" si="22"/>
        <v/>
      </c>
      <c r="AC84" s="45" t="str">
        <f t="shared" ca="1" si="23"/>
        <v>On track</v>
      </c>
    </row>
    <row r="85" spans="1:29" ht="61.95" customHeight="1" x14ac:dyDescent="0.3">
      <c r="A85" s="35" t="s">
        <v>673</v>
      </c>
      <c r="B85" s="36" t="s">
        <v>609</v>
      </c>
      <c r="C85" s="37" t="s">
        <v>674</v>
      </c>
      <c r="D85" s="37" t="s">
        <v>675</v>
      </c>
      <c r="E85" s="37" t="s">
        <v>676</v>
      </c>
      <c r="F85" s="36" t="s">
        <v>146</v>
      </c>
      <c r="G85" s="38" t="s">
        <v>76</v>
      </c>
      <c r="H85" s="39">
        <v>46319</v>
      </c>
      <c r="I85" s="39">
        <v>46319</v>
      </c>
      <c r="J85" s="40">
        <v>0</v>
      </c>
      <c r="K85" s="37" t="s">
        <v>677</v>
      </c>
      <c r="L85" s="37" t="s">
        <v>148</v>
      </c>
      <c r="M85" s="37" t="s">
        <v>678</v>
      </c>
      <c r="N85" s="37" t="s">
        <v>679</v>
      </c>
      <c r="O85" s="37" t="s">
        <v>680</v>
      </c>
      <c r="P85" s="41"/>
      <c r="Q85" s="41"/>
      <c r="R85" s="42"/>
      <c r="S85" s="37" t="s">
        <v>160</v>
      </c>
      <c r="T85" s="38" t="s">
        <v>152</v>
      </c>
      <c r="U85" s="43">
        <f t="shared" si="16"/>
        <v>0</v>
      </c>
      <c r="V85" s="43">
        <f t="shared" ca="1" si="17"/>
        <v>0</v>
      </c>
      <c r="W85" s="44">
        <f t="shared" ca="1" si="18"/>
        <v>13</v>
      </c>
      <c r="X85" s="45" t="str">
        <f t="shared" ca="1" si="19"/>
        <v/>
      </c>
      <c r="Y85" s="45" t="str">
        <f t="shared" si="20"/>
        <v>⏳ 2 open</v>
      </c>
      <c r="Z85" s="45" t="str">
        <f>IF(A85="","",B85&amp;"|"&amp;COUNTIFS($B$6:B85,B85,$A$6:A85,"?*"))</f>
        <v>Phase 5|11</v>
      </c>
      <c r="AA85" s="45">
        <f t="shared" ca="1" si="21"/>
        <v>46319.000849999997</v>
      </c>
      <c r="AB85" s="45" t="str">
        <f t="shared" si="22"/>
        <v/>
      </c>
      <c r="AC85" s="45" t="str">
        <f t="shared" ca="1" si="23"/>
        <v>On track</v>
      </c>
    </row>
    <row r="86" spans="1:29" ht="61.95" customHeight="1" x14ac:dyDescent="0.3">
      <c r="A86" s="35" t="s">
        <v>681</v>
      </c>
      <c r="B86" s="36" t="s">
        <v>609</v>
      </c>
      <c r="C86" s="37" t="s">
        <v>682</v>
      </c>
      <c r="D86" s="37" t="s">
        <v>683</v>
      </c>
      <c r="E86" s="37" t="s">
        <v>684</v>
      </c>
      <c r="F86" s="36" t="s">
        <v>146</v>
      </c>
      <c r="G86" s="38" t="s">
        <v>76</v>
      </c>
      <c r="H86" s="39">
        <v>46319</v>
      </c>
      <c r="I86" s="39">
        <v>46319</v>
      </c>
      <c r="J86" s="40">
        <v>0</v>
      </c>
      <c r="K86" s="37" t="s">
        <v>625</v>
      </c>
      <c r="L86" s="37" t="s">
        <v>148</v>
      </c>
      <c r="M86" s="37" t="s">
        <v>685</v>
      </c>
      <c r="N86" s="37" t="s">
        <v>686</v>
      </c>
      <c r="O86" s="37" t="s">
        <v>687</v>
      </c>
      <c r="P86" s="41"/>
      <c r="Q86" s="41"/>
      <c r="R86" s="42"/>
      <c r="S86" s="37" t="s">
        <v>160</v>
      </c>
      <c r="T86" s="38" t="s">
        <v>152</v>
      </c>
      <c r="U86" s="43">
        <f t="shared" si="16"/>
        <v>0</v>
      </c>
      <c r="V86" s="43">
        <f t="shared" ca="1" si="17"/>
        <v>0</v>
      </c>
      <c r="W86" s="44">
        <f t="shared" ca="1" si="18"/>
        <v>13</v>
      </c>
      <c r="X86" s="45" t="str">
        <f t="shared" ca="1" si="19"/>
        <v/>
      </c>
      <c r="Y86" s="45" t="str">
        <f t="shared" si="20"/>
        <v>⏳ 1 open</v>
      </c>
      <c r="Z86" s="45" t="str">
        <f>IF(A86="","",B86&amp;"|"&amp;COUNTIFS($B$6:B86,B86,$A$6:A86,"?*"))</f>
        <v>Phase 5|12</v>
      </c>
      <c r="AA86" s="45">
        <f t="shared" ca="1" si="21"/>
        <v>46319.00086</v>
      </c>
      <c r="AB86" s="45" t="str">
        <f t="shared" si="22"/>
        <v/>
      </c>
      <c r="AC86" s="45" t="str">
        <f t="shared" ca="1" si="23"/>
        <v>On track</v>
      </c>
    </row>
    <row r="87" spans="1:29" ht="61.95" customHeight="1" x14ac:dyDescent="0.3">
      <c r="A87" s="35" t="s">
        <v>688</v>
      </c>
      <c r="B87" s="36" t="s">
        <v>609</v>
      </c>
      <c r="C87" s="37" t="s">
        <v>689</v>
      </c>
      <c r="D87" s="37" t="s">
        <v>690</v>
      </c>
      <c r="E87" s="37" t="s">
        <v>691</v>
      </c>
      <c r="F87" s="36" t="s">
        <v>146</v>
      </c>
      <c r="G87" s="38" t="s">
        <v>76</v>
      </c>
      <c r="H87" s="39">
        <v>46319</v>
      </c>
      <c r="I87" s="39">
        <v>46320</v>
      </c>
      <c r="J87" s="40">
        <v>0</v>
      </c>
      <c r="K87" s="37"/>
      <c r="L87" s="37" t="s">
        <v>148</v>
      </c>
      <c r="M87" s="37" t="s">
        <v>692</v>
      </c>
      <c r="N87" s="37" t="s">
        <v>693</v>
      </c>
      <c r="O87" s="37" t="s">
        <v>694</v>
      </c>
      <c r="P87" s="41"/>
      <c r="Q87" s="41"/>
      <c r="R87" s="42"/>
      <c r="S87" s="37" t="s">
        <v>77</v>
      </c>
      <c r="T87" s="38" t="s">
        <v>152</v>
      </c>
      <c r="U87" s="43">
        <f t="shared" si="16"/>
        <v>0</v>
      </c>
      <c r="V87" s="43">
        <f t="shared" ca="1" si="17"/>
        <v>0</v>
      </c>
      <c r="W87" s="44">
        <f t="shared" ca="1" si="18"/>
        <v>14</v>
      </c>
      <c r="X87" s="45" t="str">
        <f t="shared" ca="1" si="19"/>
        <v/>
      </c>
      <c r="Y87" s="45" t="str">
        <f t="shared" si="20"/>
        <v/>
      </c>
      <c r="Z87" s="45" t="str">
        <f>IF(A87="","",B87&amp;"|"&amp;COUNTIFS($B$6:B87,B87,$A$6:A87,"?*"))</f>
        <v>Phase 5|13</v>
      </c>
      <c r="AA87" s="45">
        <f t="shared" ca="1" si="21"/>
        <v>46320.000870000003</v>
      </c>
      <c r="AB87" s="45" t="str">
        <f t="shared" si="22"/>
        <v/>
      </c>
      <c r="AC87" s="45" t="str">
        <f t="shared" ca="1" si="23"/>
        <v>External req.</v>
      </c>
    </row>
    <row r="88" spans="1:29" ht="61.95" customHeight="1" x14ac:dyDescent="0.3">
      <c r="A88" s="35" t="s">
        <v>695</v>
      </c>
      <c r="B88" s="36" t="s">
        <v>609</v>
      </c>
      <c r="C88" s="37" t="s">
        <v>396</v>
      </c>
      <c r="D88" s="37" t="s">
        <v>696</v>
      </c>
      <c r="E88" s="37" t="s">
        <v>697</v>
      </c>
      <c r="F88" s="36" t="s">
        <v>8</v>
      </c>
      <c r="G88" s="38" t="s">
        <v>76</v>
      </c>
      <c r="H88" s="39">
        <v>46320</v>
      </c>
      <c r="I88" s="39">
        <v>46320</v>
      </c>
      <c r="J88" s="40">
        <v>0</v>
      </c>
      <c r="K88" s="37" t="s">
        <v>260</v>
      </c>
      <c r="L88" s="37" t="s">
        <v>148</v>
      </c>
      <c r="M88" s="37" t="s">
        <v>698</v>
      </c>
      <c r="N88" s="37" t="s">
        <v>699</v>
      </c>
      <c r="O88" s="37" t="s">
        <v>700</v>
      </c>
      <c r="P88" s="41"/>
      <c r="Q88" s="41"/>
      <c r="R88" s="42"/>
      <c r="S88" s="37" t="s">
        <v>86</v>
      </c>
      <c r="T88" s="38" t="s">
        <v>152</v>
      </c>
      <c r="U88" s="43">
        <f t="shared" si="16"/>
        <v>0</v>
      </c>
      <c r="V88" s="43">
        <f t="shared" ca="1" si="17"/>
        <v>0</v>
      </c>
      <c r="W88" s="44">
        <f t="shared" ca="1" si="18"/>
        <v>14</v>
      </c>
      <c r="X88" s="45" t="str">
        <f t="shared" ca="1" si="19"/>
        <v/>
      </c>
      <c r="Y88" s="45" t="str">
        <f t="shared" si="20"/>
        <v>⏳ 1 open</v>
      </c>
      <c r="Z88" s="45" t="str">
        <f>IF(A88="","",B88&amp;"|"&amp;COUNTIFS($B$6:B88,B88,$A$6:A88,"?*"))</f>
        <v>Phase 5|14</v>
      </c>
      <c r="AA88" s="45">
        <f t="shared" ca="1" si="21"/>
        <v>46320.00088</v>
      </c>
      <c r="AB88" s="45" t="str">
        <f t="shared" si="22"/>
        <v/>
      </c>
      <c r="AC88" s="45" t="str">
        <f t="shared" ca="1" si="23"/>
        <v>External req.</v>
      </c>
    </row>
    <row r="89" spans="1:29" ht="61.95" customHeight="1" x14ac:dyDescent="0.3">
      <c r="A89" s="35" t="s">
        <v>701</v>
      </c>
      <c r="B89" s="36" t="s">
        <v>609</v>
      </c>
      <c r="C89" s="37" t="s">
        <v>396</v>
      </c>
      <c r="D89" s="37" t="s">
        <v>702</v>
      </c>
      <c r="E89" s="37" t="s">
        <v>703</v>
      </c>
      <c r="F89" s="36" t="s">
        <v>8</v>
      </c>
      <c r="G89" s="38" t="s">
        <v>76</v>
      </c>
      <c r="H89" s="39">
        <v>46320</v>
      </c>
      <c r="I89" s="39">
        <v>46320</v>
      </c>
      <c r="J89" s="40">
        <v>0</v>
      </c>
      <c r="K89" s="37" t="s">
        <v>695</v>
      </c>
      <c r="L89" s="37" t="s">
        <v>148</v>
      </c>
      <c r="M89" s="37" t="s">
        <v>704</v>
      </c>
      <c r="N89" s="37" t="s">
        <v>705</v>
      </c>
      <c r="O89" s="37" t="s">
        <v>706</v>
      </c>
      <c r="P89" s="41"/>
      <c r="Q89" s="41"/>
      <c r="R89" s="42"/>
      <c r="S89" s="37" t="s">
        <v>86</v>
      </c>
      <c r="T89" s="38" t="s">
        <v>152</v>
      </c>
      <c r="U89" s="43">
        <f t="shared" si="16"/>
        <v>0</v>
      </c>
      <c r="V89" s="43">
        <f t="shared" ca="1" si="17"/>
        <v>0</v>
      </c>
      <c r="W89" s="44">
        <f t="shared" ca="1" si="18"/>
        <v>14</v>
      </c>
      <c r="X89" s="45" t="str">
        <f t="shared" ca="1" si="19"/>
        <v/>
      </c>
      <c r="Y89" s="45" t="str">
        <f t="shared" si="20"/>
        <v>⏳ 1 open</v>
      </c>
      <c r="Z89" s="45" t="str">
        <f>IF(A89="","",B89&amp;"|"&amp;COUNTIFS($B$6:B89,B89,$A$6:A89,"?*"))</f>
        <v>Phase 5|15</v>
      </c>
      <c r="AA89" s="45">
        <f t="shared" ca="1" si="21"/>
        <v>46320.000890000003</v>
      </c>
      <c r="AB89" s="45" t="str">
        <f t="shared" si="22"/>
        <v/>
      </c>
      <c r="AC89" s="45" t="str">
        <f t="shared" ca="1" si="23"/>
        <v>External req.</v>
      </c>
    </row>
    <row r="90" spans="1:29" ht="61.95" customHeight="1" x14ac:dyDescent="0.3">
      <c r="A90" s="35" t="s">
        <v>707</v>
      </c>
      <c r="B90" s="36" t="s">
        <v>609</v>
      </c>
      <c r="C90" s="37" t="s">
        <v>396</v>
      </c>
      <c r="D90" s="37" t="s">
        <v>708</v>
      </c>
      <c r="E90" s="37" t="s">
        <v>709</v>
      </c>
      <c r="F90" s="36" t="s">
        <v>9</v>
      </c>
      <c r="G90" s="38" t="s">
        <v>76</v>
      </c>
      <c r="H90" s="39">
        <v>46320</v>
      </c>
      <c r="I90" s="39">
        <v>46320</v>
      </c>
      <c r="J90" s="40">
        <v>0</v>
      </c>
      <c r="K90" s="37" t="s">
        <v>710</v>
      </c>
      <c r="L90" s="37" t="s">
        <v>148</v>
      </c>
      <c r="M90" s="37" t="s">
        <v>698</v>
      </c>
      <c r="N90" s="37" t="s">
        <v>711</v>
      </c>
      <c r="O90" s="37" t="s">
        <v>712</v>
      </c>
      <c r="P90" s="41"/>
      <c r="Q90" s="41"/>
      <c r="R90" s="42"/>
      <c r="S90" s="37" t="s">
        <v>86</v>
      </c>
      <c r="T90" s="38" t="s">
        <v>152</v>
      </c>
      <c r="U90" s="43">
        <f t="shared" si="16"/>
        <v>0</v>
      </c>
      <c r="V90" s="43">
        <f t="shared" ca="1" si="17"/>
        <v>0</v>
      </c>
      <c r="W90" s="44">
        <f t="shared" ca="1" si="18"/>
        <v>14</v>
      </c>
      <c r="X90" s="45" t="str">
        <f t="shared" ca="1" si="19"/>
        <v/>
      </c>
      <c r="Y90" s="45" t="str">
        <f t="shared" si="20"/>
        <v>⏳ 2 open</v>
      </c>
      <c r="Z90" s="45" t="str">
        <f>IF(A90="","",B90&amp;"|"&amp;COUNTIFS($B$6:B90,B90,$A$6:A90,"?*"))</f>
        <v>Phase 5|16</v>
      </c>
      <c r="AA90" s="45">
        <f t="shared" ca="1" si="21"/>
        <v>46320.000899999999</v>
      </c>
      <c r="AB90" s="45" t="str">
        <f t="shared" si="22"/>
        <v/>
      </c>
      <c r="AC90" s="45" t="str">
        <f t="shared" ca="1" si="23"/>
        <v>External req.</v>
      </c>
    </row>
    <row r="91" spans="1:29" ht="61.95" customHeight="1" x14ac:dyDescent="0.3">
      <c r="A91" s="35" t="s">
        <v>713</v>
      </c>
      <c r="B91" s="36" t="s">
        <v>609</v>
      </c>
      <c r="C91" s="37" t="s">
        <v>714</v>
      </c>
      <c r="D91" s="37" t="s">
        <v>715</v>
      </c>
      <c r="E91" s="37" t="s">
        <v>716</v>
      </c>
      <c r="F91" s="36" t="s">
        <v>146</v>
      </c>
      <c r="G91" s="38" t="s">
        <v>76</v>
      </c>
      <c r="H91" s="39">
        <v>46320</v>
      </c>
      <c r="I91" s="39">
        <v>46320</v>
      </c>
      <c r="J91" s="40">
        <v>0</v>
      </c>
      <c r="K91" s="37" t="s">
        <v>717</v>
      </c>
      <c r="L91" s="37" t="s">
        <v>148</v>
      </c>
      <c r="M91" s="37" t="s">
        <v>718</v>
      </c>
      <c r="N91" s="37" t="s">
        <v>719</v>
      </c>
      <c r="O91" s="37" t="s">
        <v>720</v>
      </c>
      <c r="P91" s="41"/>
      <c r="Q91" s="41"/>
      <c r="R91" s="42"/>
      <c r="S91" s="37" t="s">
        <v>160</v>
      </c>
      <c r="T91" s="38" t="s">
        <v>152</v>
      </c>
      <c r="U91" s="43">
        <f t="shared" si="16"/>
        <v>0</v>
      </c>
      <c r="V91" s="43">
        <f t="shared" ca="1" si="17"/>
        <v>0</v>
      </c>
      <c r="W91" s="44">
        <f t="shared" ca="1" si="18"/>
        <v>14</v>
      </c>
      <c r="X91" s="45" t="str">
        <f t="shared" ca="1" si="19"/>
        <v/>
      </c>
      <c r="Y91" s="45" t="str">
        <f t="shared" si="20"/>
        <v>⏳ 2 open</v>
      </c>
      <c r="Z91" s="45" t="str">
        <f>IF(A91="","",B91&amp;"|"&amp;COUNTIFS($B$6:B91,B91,$A$6:A91,"?*"))</f>
        <v>Phase 5|17</v>
      </c>
      <c r="AA91" s="45">
        <f t="shared" ca="1" si="21"/>
        <v>46320.000910000002</v>
      </c>
      <c r="AB91" s="45" t="str">
        <f t="shared" si="22"/>
        <v/>
      </c>
      <c r="AC91" s="45" t="str">
        <f t="shared" ca="1" si="23"/>
        <v>On track</v>
      </c>
    </row>
    <row r="92" spans="1:29" ht="61.95" customHeight="1" x14ac:dyDescent="0.3">
      <c r="A92" s="35" t="s">
        <v>721</v>
      </c>
      <c r="B92" s="36" t="s">
        <v>609</v>
      </c>
      <c r="C92" s="37" t="s">
        <v>722</v>
      </c>
      <c r="D92" s="37" t="s">
        <v>723</v>
      </c>
      <c r="E92" s="37" t="s">
        <v>724</v>
      </c>
      <c r="F92" s="36" t="s">
        <v>8</v>
      </c>
      <c r="G92" s="38" t="s">
        <v>76</v>
      </c>
      <c r="H92" s="39">
        <v>46320</v>
      </c>
      <c r="I92" s="39">
        <v>46320</v>
      </c>
      <c r="J92" s="40">
        <v>0</v>
      </c>
      <c r="K92" s="37" t="s">
        <v>260</v>
      </c>
      <c r="L92" s="37" t="s">
        <v>148</v>
      </c>
      <c r="M92" s="37" t="s">
        <v>725</v>
      </c>
      <c r="N92" s="37" t="s">
        <v>726</v>
      </c>
      <c r="O92" s="37" t="s">
        <v>727</v>
      </c>
      <c r="P92" s="41"/>
      <c r="Q92" s="41"/>
      <c r="R92" s="42"/>
      <c r="S92" s="37" t="s">
        <v>86</v>
      </c>
      <c r="T92" s="38" t="s">
        <v>152</v>
      </c>
      <c r="U92" s="43">
        <f t="shared" si="16"/>
        <v>0</v>
      </c>
      <c r="V92" s="43">
        <f t="shared" ca="1" si="17"/>
        <v>0</v>
      </c>
      <c r="W92" s="44">
        <f t="shared" ca="1" si="18"/>
        <v>14</v>
      </c>
      <c r="X92" s="45" t="str">
        <f t="shared" ca="1" si="19"/>
        <v/>
      </c>
      <c r="Y92" s="45" t="str">
        <f t="shared" si="20"/>
        <v>⏳ 1 open</v>
      </c>
      <c r="Z92" s="45" t="str">
        <f>IF(A92="","",B92&amp;"|"&amp;COUNTIFS($B$6:B92,B92,$A$6:A92,"?*"))</f>
        <v>Phase 5|18</v>
      </c>
      <c r="AA92" s="45">
        <f t="shared" ca="1" si="21"/>
        <v>46320.000919999999</v>
      </c>
      <c r="AB92" s="45" t="str">
        <f t="shared" si="22"/>
        <v/>
      </c>
      <c r="AC92" s="45" t="str">
        <f t="shared" ca="1" si="23"/>
        <v>External req.</v>
      </c>
    </row>
    <row r="93" spans="1:29" ht="61.95" customHeight="1" x14ac:dyDescent="0.3">
      <c r="A93" s="35" t="s">
        <v>728</v>
      </c>
      <c r="B93" s="36" t="s">
        <v>609</v>
      </c>
      <c r="C93" s="37" t="s">
        <v>722</v>
      </c>
      <c r="D93" s="37" t="s">
        <v>729</v>
      </c>
      <c r="E93" s="37" t="s">
        <v>730</v>
      </c>
      <c r="F93" s="36" t="s">
        <v>146</v>
      </c>
      <c r="G93" s="38" t="s">
        <v>76</v>
      </c>
      <c r="H93" s="39">
        <v>46320</v>
      </c>
      <c r="I93" s="39">
        <v>46320</v>
      </c>
      <c r="J93" s="40">
        <v>0</v>
      </c>
      <c r="K93" s="37" t="s">
        <v>713</v>
      </c>
      <c r="L93" s="37" t="s">
        <v>148</v>
      </c>
      <c r="M93" s="37" t="s">
        <v>731</v>
      </c>
      <c r="N93" s="37" t="s">
        <v>732</v>
      </c>
      <c r="O93" s="37" t="s">
        <v>733</v>
      </c>
      <c r="P93" s="41"/>
      <c r="Q93" s="41"/>
      <c r="R93" s="42"/>
      <c r="S93" s="37" t="s">
        <v>160</v>
      </c>
      <c r="T93" s="38" t="s">
        <v>152</v>
      </c>
      <c r="U93" s="43">
        <f t="shared" si="16"/>
        <v>0</v>
      </c>
      <c r="V93" s="43">
        <f t="shared" ca="1" si="17"/>
        <v>0</v>
      </c>
      <c r="W93" s="44">
        <f t="shared" ca="1" si="18"/>
        <v>14</v>
      </c>
      <c r="X93" s="45" t="str">
        <f t="shared" ca="1" si="19"/>
        <v/>
      </c>
      <c r="Y93" s="45" t="str">
        <f t="shared" si="20"/>
        <v>⏳ 1 open</v>
      </c>
      <c r="Z93" s="45" t="str">
        <f>IF(A93="","",B93&amp;"|"&amp;COUNTIFS($B$6:B93,B93,$A$6:A93,"?*"))</f>
        <v>Phase 5|19</v>
      </c>
      <c r="AA93" s="45">
        <f t="shared" ca="1" si="21"/>
        <v>46320.000930000002</v>
      </c>
      <c r="AB93" s="45" t="str">
        <f t="shared" si="22"/>
        <v/>
      </c>
      <c r="AC93" s="45" t="str">
        <f t="shared" ca="1" si="23"/>
        <v>On track</v>
      </c>
    </row>
    <row r="94" spans="1:29" ht="61.95" customHeight="1" x14ac:dyDescent="0.3">
      <c r="A94" s="35" t="s">
        <v>734</v>
      </c>
      <c r="B94" s="36" t="s">
        <v>609</v>
      </c>
      <c r="C94" s="37" t="s">
        <v>735</v>
      </c>
      <c r="D94" s="37" t="s">
        <v>736</v>
      </c>
      <c r="E94" s="37" t="s">
        <v>737</v>
      </c>
      <c r="F94" s="36" t="s">
        <v>146</v>
      </c>
      <c r="G94" s="38" t="s">
        <v>76</v>
      </c>
      <c r="H94" s="39">
        <v>46320</v>
      </c>
      <c r="I94" s="39">
        <v>46320</v>
      </c>
      <c r="J94" s="40">
        <v>0</v>
      </c>
      <c r="K94" s="37" t="s">
        <v>277</v>
      </c>
      <c r="L94" s="37" t="s">
        <v>148</v>
      </c>
      <c r="M94" s="37" t="s">
        <v>738</v>
      </c>
      <c r="N94" s="37" t="s">
        <v>739</v>
      </c>
      <c r="O94" s="37" t="s">
        <v>740</v>
      </c>
      <c r="P94" s="41"/>
      <c r="Q94" s="41"/>
      <c r="R94" s="42"/>
      <c r="S94" s="37" t="s">
        <v>160</v>
      </c>
      <c r="T94" s="38" t="s">
        <v>152</v>
      </c>
      <c r="U94" s="43">
        <f t="shared" si="16"/>
        <v>0</v>
      </c>
      <c r="V94" s="43">
        <f t="shared" ca="1" si="17"/>
        <v>0</v>
      </c>
      <c r="W94" s="44">
        <f t="shared" ca="1" si="18"/>
        <v>14</v>
      </c>
      <c r="X94" s="45" t="str">
        <f t="shared" ca="1" si="19"/>
        <v/>
      </c>
      <c r="Y94" s="45" t="str">
        <f t="shared" si="20"/>
        <v>⏳ 1 open</v>
      </c>
      <c r="Z94" s="45" t="str">
        <f>IF(A94="","",B94&amp;"|"&amp;COUNTIFS($B$6:B94,B94,$A$6:A94,"?*"))</f>
        <v>Phase 5|20</v>
      </c>
      <c r="AA94" s="45">
        <f t="shared" ca="1" si="21"/>
        <v>46320.000939999998</v>
      </c>
      <c r="AB94" s="45" t="str">
        <f t="shared" si="22"/>
        <v/>
      </c>
      <c r="AC94" s="45" t="str">
        <f t="shared" ca="1" si="23"/>
        <v>On track</v>
      </c>
    </row>
    <row r="95" spans="1:29" ht="61.95" customHeight="1" x14ac:dyDescent="0.3">
      <c r="A95" s="35" t="s">
        <v>741</v>
      </c>
      <c r="B95" s="36" t="s">
        <v>742</v>
      </c>
      <c r="C95" s="37" t="s">
        <v>743</v>
      </c>
      <c r="D95" s="37" t="s">
        <v>744</v>
      </c>
      <c r="E95" s="37" t="s">
        <v>745</v>
      </c>
      <c r="F95" s="36" t="s">
        <v>146</v>
      </c>
      <c r="G95" s="38" t="s">
        <v>76</v>
      </c>
      <c r="H95" s="39">
        <v>46307</v>
      </c>
      <c r="I95" s="39">
        <v>46307</v>
      </c>
      <c r="J95" s="40">
        <v>0</v>
      </c>
      <c r="K95" s="37"/>
      <c r="L95" s="37" t="s">
        <v>746</v>
      </c>
      <c r="M95" s="37" t="s">
        <v>747</v>
      </c>
      <c r="N95" s="37" t="s">
        <v>748</v>
      </c>
      <c r="O95" s="37" t="s">
        <v>749</v>
      </c>
      <c r="P95" s="41"/>
      <c r="Q95" s="41"/>
      <c r="R95" s="42"/>
      <c r="S95" s="37" t="s">
        <v>84</v>
      </c>
      <c r="T95" s="38" t="s">
        <v>152</v>
      </c>
      <c r="U95" s="43">
        <f t="shared" si="16"/>
        <v>0</v>
      </c>
      <c r="V95" s="43">
        <f t="shared" ca="1" si="17"/>
        <v>0</v>
      </c>
      <c r="W95" s="44">
        <f t="shared" ca="1" si="18"/>
        <v>1</v>
      </c>
      <c r="X95" s="45" t="str">
        <f t="shared" ca="1" si="19"/>
        <v/>
      </c>
      <c r="Y95" s="45" t="str">
        <f t="shared" si="20"/>
        <v/>
      </c>
      <c r="Z95" s="45" t="str">
        <f>IF(A95="","",B95&amp;"|"&amp;COUNTIFS($B$6:B95,B95,$A$6:A95,"?*"))</f>
        <v>Phase 6|1</v>
      </c>
      <c r="AA95" s="45">
        <f t="shared" ca="1" si="21"/>
        <v>46307.000950000001</v>
      </c>
      <c r="AB95" s="45" t="str">
        <f t="shared" si="22"/>
        <v/>
      </c>
      <c r="AC95" s="45" t="str">
        <f t="shared" ca="1" si="23"/>
        <v>Due soon</v>
      </c>
    </row>
    <row r="96" spans="1:29" ht="61.95" customHeight="1" x14ac:dyDescent="0.3">
      <c r="A96" s="35" t="s">
        <v>147</v>
      </c>
      <c r="B96" s="36" t="s">
        <v>742</v>
      </c>
      <c r="C96" s="37" t="s">
        <v>743</v>
      </c>
      <c r="D96" s="37" t="s">
        <v>750</v>
      </c>
      <c r="E96" s="37" t="s">
        <v>751</v>
      </c>
      <c r="F96" s="36" t="s">
        <v>146</v>
      </c>
      <c r="G96" s="38" t="s">
        <v>76</v>
      </c>
      <c r="H96" s="39">
        <v>46307</v>
      </c>
      <c r="I96" s="39">
        <v>46307</v>
      </c>
      <c r="J96" s="40">
        <v>0</v>
      </c>
      <c r="K96" s="37" t="s">
        <v>741</v>
      </c>
      <c r="L96" s="37" t="s">
        <v>148</v>
      </c>
      <c r="M96" s="37" t="s">
        <v>752</v>
      </c>
      <c r="N96" s="37" t="s">
        <v>753</v>
      </c>
      <c r="O96" s="37" t="s">
        <v>754</v>
      </c>
      <c r="P96" s="41"/>
      <c r="Q96" s="41"/>
      <c r="R96" s="42"/>
      <c r="S96" s="37" t="s">
        <v>84</v>
      </c>
      <c r="T96" s="38" t="s">
        <v>152</v>
      </c>
      <c r="U96" s="43">
        <f t="shared" si="16"/>
        <v>0</v>
      </c>
      <c r="V96" s="43">
        <f t="shared" ca="1" si="17"/>
        <v>0</v>
      </c>
      <c r="W96" s="44">
        <f t="shared" ca="1" si="18"/>
        <v>1</v>
      </c>
      <c r="X96" s="45" t="str">
        <f t="shared" ca="1" si="19"/>
        <v/>
      </c>
      <c r="Y96" s="45" t="str">
        <f t="shared" si="20"/>
        <v>⏳ 1 open</v>
      </c>
      <c r="Z96" s="45" t="str">
        <f>IF(A96="","",B96&amp;"|"&amp;COUNTIFS($B$6:B96,B96,$A$6:A96,"?*"))</f>
        <v>Phase 6|2</v>
      </c>
      <c r="AA96" s="45">
        <f t="shared" ca="1" si="21"/>
        <v>46307.000959999998</v>
      </c>
      <c r="AB96" s="45" t="str">
        <f t="shared" si="22"/>
        <v/>
      </c>
      <c r="AC96" s="45" t="str">
        <f t="shared" ca="1" si="23"/>
        <v>Due soon</v>
      </c>
    </row>
    <row r="97" spans="1:29" ht="61.95" customHeight="1" x14ac:dyDescent="0.3">
      <c r="A97" s="35" t="s">
        <v>755</v>
      </c>
      <c r="B97" s="36" t="s">
        <v>742</v>
      </c>
      <c r="C97" s="37" t="s">
        <v>756</v>
      </c>
      <c r="D97" s="37" t="s">
        <v>757</v>
      </c>
      <c r="E97" s="37" t="s">
        <v>758</v>
      </c>
      <c r="F97" s="36" t="s">
        <v>146</v>
      </c>
      <c r="G97" s="38" t="s">
        <v>76</v>
      </c>
      <c r="H97" s="39">
        <v>46308</v>
      </c>
      <c r="I97" s="39">
        <v>46308</v>
      </c>
      <c r="J97" s="40">
        <v>0</v>
      </c>
      <c r="K97" s="37" t="s">
        <v>147</v>
      </c>
      <c r="L97" s="37" t="s">
        <v>148</v>
      </c>
      <c r="M97" s="37" t="s">
        <v>759</v>
      </c>
      <c r="N97" s="37" t="s">
        <v>760</v>
      </c>
      <c r="O97" s="37" t="s">
        <v>761</v>
      </c>
      <c r="P97" s="41"/>
      <c r="Q97" s="41"/>
      <c r="R97" s="42"/>
      <c r="S97" s="37" t="s">
        <v>160</v>
      </c>
      <c r="T97" s="38" t="s">
        <v>152</v>
      </c>
      <c r="U97" s="43">
        <f t="shared" si="16"/>
        <v>0</v>
      </c>
      <c r="V97" s="43">
        <f t="shared" ca="1" si="17"/>
        <v>0</v>
      </c>
      <c r="W97" s="44">
        <f t="shared" ca="1" si="18"/>
        <v>2</v>
      </c>
      <c r="X97" s="45" t="str">
        <f t="shared" ca="1" si="19"/>
        <v/>
      </c>
      <c r="Y97" s="45" t="str">
        <f t="shared" si="20"/>
        <v>⏳ 1 open</v>
      </c>
      <c r="Z97" s="45" t="str">
        <f>IF(A97="","",B97&amp;"|"&amp;COUNTIFS($B$6:B97,B97,$A$6:A97,"?*"))</f>
        <v>Phase 6|3</v>
      </c>
      <c r="AA97" s="45">
        <f t="shared" ca="1" si="21"/>
        <v>46308.000970000001</v>
      </c>
      <c r="AB97" s="45" t="str">
        <f t="shared" si="22"/>
        <v/>
      </c>
      <c r="AC97" s="45" t="str">
        <f t="shared" ca="1" si="23"/>
        <v>Due soon</v>
      </c>
    </row>
    <row r="98" spans="1:29" ht="61.95" customHeight="1" x14ac:dyDescent="0.3">
      <c r="A98" s="35" t="s">
        <v>762</v>
      </c>
      <c r="B98" s="36" t="s">
        <v>742</v>
      </c>
      <c r="C98" s="37" t="s">
        <v>763</v>
      </c>
      <c r="D98" s="37" t="s">
        <v>764</v>
      </c>
      <c r="E98" s="37" t="s">
        <v>765</v>
      </c>
      <c r="F98" s="36" t="s">
        <v>146</v>
      </c>
      <c r="G98" s="38" t="s">
        <v>76</v>
      </c>
      <c r="H98" s="39">
        <v>46308</v>
      </c>
      <c r="I98" s="39">
        <v>46308</v>
      </c>
      <c r="J98" s="40">
        <v>0</v>
      </c>
      <c r="K98" s="37" t="s">
        <v>755</v>
      </c>
      <c r="L98" s="37" t="s">
        <v>148</v>
      </c>
      <c r="M98" s="37" t="s">
        <v>766</v>
      </c>
      <c r="N98" s="37" t="s">
        <v>767</v>
      </c>
      <c r="O98" s="37" t="s">
        <v>768</v>
      </c>
      <c r="P98" s="41"/>
      <c r="Q98" s="41"/>
      <c r="R98" s="42"/>
      <c r="S98" s="37" t="s">
        <v>160</v>
      </c>
      <c r="T98" s="38" t="s">
        <v>152</v>
      </c>
      <c r="U98" s="43">
        <f t="shared" si="16"/>
        <v>0</v>
      </c>
      <c r="V98" s="43">
        <f t="shared" ca="1" si="17"/>
        <v>0</v>
      </c>
      <c r="W98" s="44">
        <f t="shared" ca="1" si="18"/>
        <v>2</v>
      </c>
      <c r="X98" s="45" t="str">
        <f t="shared" ca="1" si="19"/>
        <v/>
      </c>
      <c r="Y98" s="45" t="str">
        <f t="shared" si="20"/>
        <v>⏳ 1 open</v>
      </c>
      <c r="Z98" s="45" t="str">
        <f>IF(A98="","",B98&amp;"|"&amp;COUNTIFS($B$6:B98,B98,$A$6:A98,"?*"))</f>
        <v>Phase 6|4</v>
      </c>
      <c r="AA98" s="45">
        <f t="shared" ca="1" si="21"/>
        <v>46308.000979999997</v>
      </c>
      <c r="AB98" s="45" t="str">
        <f t="shared" si="22"/>
        <v/>
      </c>
      <c r="AC98" s="45" t="str">
        <f t="shared" ca="1" si="23"/>
        <v>Due soon</v>
      </c>
    </row>
    <row r="99" spans="1:29" ht="61.95" customHeight="1" x14ac:dyDescent="0.3">
      <c r="A99" s="35" t="s">
        <v>769</v>
      </c>
      <c r="B99" s="36" t="s">
        <v>742</v>
      </c>
      <c r="C99" s="37" t="s">
        <v>770</v>
      </c>
      <c r="D99" s="37" t="s">
        <v>771</v>
      </c>
      <c r="E99" s="37" t="s">
        <v>772</v>
      </c>
      <c r="F99" s="36" t="s">
        <v>146</v>
      </c>
      <c r="G99" s="38" t="s">
        <v>76</v>
      </c>
      <c r="H99" s="39">
        <v>46308</v>
      </c>
      <c r="I99" s="39">
        <v>46308</v>
      </c>
      <c r="J99" s="40">
        <v>0</v>
      </c>
      <c r="K99" s="37" t="s">
        <v>741</v>
      </c>
      <c r="L99" s="37" t="s">
        <v>746</v>
      </c>
      <c r="M99" s="37" t="s">
        <v>773</v>
      </c>
      <c r="N99" s="37" t="s">
        <v>774</v>
      </c>
      <c r="O99" s="37" t="s">
        <v>775</v>
      </c>
      <c r="P99" s="41"/>
      <c r="Q99" s="41"/>
      <c r="R99" s="42"/>
      <c r="S99" s="37" t="s">
        <v>160</v>
      </c>
      <c r="T99" s="38" t="s">
        <v>152</v>
      </c>
      <c r="U99" s="43">
        <f t="shared" si="16"/>
        <v>0</v>
      </c>
      <c r="V99" s="43">
        <f t="shared" ca="1" si="17"/>
        <v>0</v>
      </c>
      <c r="W99" s="44">
        <f t="shared" ca="1" si="18"/>
        <v>2</v>
      </c>
      <c r="X99" s="45" t="str">
        <f t="shared" ca="1" si="19"/>
        <v/>
      </c>
      <c r="Y99" s="45" t="str">
        <f t="shared" si="20"/>
        <v>⏳ 1 open</v>
      </c>
      <c r="Z99" s="45" t="str">
        <f>IF(A99="","",B99&amp;"|"&amp;COUNTIFS($B$6:B99,B99,$A$6:A99,"?*"))</f>
        <v>Phase 6|5</v>
      </c>
      <c r="AA99" s="45">
        <f t="shared" ca="1" si="21"/>
        <v>46308.00099</v>
      </c>
      <c r="AB99" s="45" t="str">
        <f t="shared" si="22"/>
        <v/>
      </c>
      <c r="AC99" s="45" t="str">
        <f t="shared" ca="1" si="23"/>
        <v>Due soon</v>
      </c>
    </row>
    <row r="100" spans="1:29" ht="61.95" customHeight="1" x14ac:dyDescent="0.3">
      <c r="A100" s="35" t="s">
        <v>776</v>
      </c>
      <c r="B100" s="36" t="s">
        <v>742</v>
      </c>
      <c r="C100" s="37" t="s">
        <v>777</v>
      </c>
      <c r="D100" s="37" t="s">
        <v>778</v>
      </c>
      <c r="E100" s="37" t="s">
        <v>779</v>
      </c>
      <c r="F100" s="36" t="s">
        <v>146</v>
      </c>
      <c r="G100" s="38" t="s">
        <v>76</v>
      </c>
      <c r="H100" s="39">
        <v>46308</v>
      </c>
      <c r="I100" s="39">
        <v>46308</v>
      </c>
      <c r="J100" s="40">
        <v>0</v>
      </c>
      <c r="K100" s="37" t="s">
        <v>769</v>
      </c>
      <c r="L100" s="37" t="s">
        <v>746</v>
      </c>
      <c r="M100" s="37" t="s">
        <v>780</v>
      </c>
      <c r="N100" s="37" t="s">
        <v>781</v>
      </c>
      <c r="O100" s="37" t="s">
        <v>782</v>
      </c>
      <c r="P100" s="41"/>
      <c r="Q100" s="41"/>
      <c r="R100" s="42"/>
      <c r="S100" s="37" t="s">
        <v>77</v>
      </c>
      <c r="T100" s="38" t="s">
        <v>152</v>
      </c>
      <c r="U100" s="43">
        <f t="shared" si="16"/>
        <v>0</v>
      </c>
      <c r="V100" s="43">
        <f t="shared" ca="1" si="17"/>
        <v>0</v>
      </c>
      <c r="W100" s="44">
        <f t="shared" ca="1" si="18"/>
        <v>2</v>
      </c>
      <c r="X100" s="45" t="str">
        <f t="shared" ca="1" si="19"/>
        <v/>
      </c>
      <c r="Y100" s="45" t="str">
        <f t="shared" si="20"/>
        <v>⏳ 1 open</v>
      </c>
      <c r="Z100" s="45" t="str">
        <f>IF(A100="","",B100&amp;"|"&amp;COUNTIFS($B$6:B100,B100,$A$6:A100,"?*"))</f>
        <v>Phase 6|6</v>
      </c>
      <c r="AA100" s="45">
        <f t="shared" ca="1" si="21"/>
        <v>46308.000999999997</v>
      </c>
      <c r="AB100" s="45" t="str">
        <f t="shared" si="22"/>
        <v/>
      </c>
      <c r="AC100" s="45" t="str">
        <f t="shared" ca="1" si="23"/>
        <v>Due soon</v>
      </c>
    </row>
    <row r="101" spans="1:29" ht="61.95" customHeight="1" x14ac:dyDescent="0.3">
      <c r="A101" s="35" t="s">
        <v>783</v>
      </c>
      <c r="B101" s="36" t="s">
        <v>742</v>
      </c>
      <c r="C101" s="37" t="s">
        <v>784</v>
      </c>
      <c r="D101" s="37" t="s">
        <v>785</v>
      </c>
      <c r="E101" s="37" t="s">
        <v>786</v>
      </c>
      <c r="F101" s="36" t="s">
        <v>8</v>
      </c>
      <c r="G101" s="38" t="s">
        <v>76</v>
      </c>
      <c r="H101" s="39">
        <v>46321</v>
      </c>
      <c r="I101" s="39">
        <v>46321</v>
      </c>
      <c r="J101" s="40">
        <v>0</v>
      </c>
      <c r="K101" s="37" t="s">
        <v>787</v>
      </c>
      <c r="L101" s="37" t="s">
        <v>148</v>
      </c>
      <c r="M101" s="37" t="s">
        <v>788</v>
      </c>
      <c r="N101" s="37" t="s">
        <v>789</v>
      </c>
      <c r="O101" s="37" t="s">
        <v>790</v>
      </c>
      <c r="P101" s="41"/>
      <c r="Q101" s="41"/>
      <c r="R101" s="42"/>
      <c r="S101" s="37" t="s">
        <v>160</v>
      </c>
      <c r="T101" s="38" t="s">
        <v>152</v>
      </c>
      <c r="U101" s="43">
        <f t="shared" si="16"/>
        <v>0</v>
      </c>
      <c r="V101" s="43">
        <f t="shared" ca="1" si="17"/>
        <v>0</v>
      </c>
      <c r="W101" s="44">
        <f t="shared" ca="1" si="18"/>
        <v>15</v>
      </c>
      <c r="X101" s="45" t="str">
        <f t="shared" ca="1" si="19"/>
        <v/>
      </c>
      <c r="Y101" s="45" t="str">
        <f t="shared" si="20"/>
        <v>⏳ 2 open</v>
      </c>
      <c r="Z101" s="45" t="str">
        <f>IF(A101="","",B101&amp;"|"&amp;COUNTIFS($B$6:B101,B101,$A$6:A101,"?*"))</f>
        <v>Phase 6|7</v>
      </c>
      <c r="AA101" s="45">
        <f t="shared" ca="1" si="21"/>
        <v>46321.00101</v>
      </c>
      <c r="AB101" s="45" t="str">
        <f t="shared" si="22"/>
        <v/>
      </c>
      <c r="AC101" s="45" t="str">
        <f t="shared" ca="1" si="23"/>
        <v>On track</v>
      </c>
    </row>
    <row r="102" spans="1:29" ht="61.95" customHeight="1" x14ac:dyDescent="0.3">
      <c r="A102" s="35" t="s">
        <v>791</v>
      </c>
      <c r="B102" s="36" t="s">
        <v>742</v>
      </c>
      <c r="C102" s="37" t="s">
        <v>792</v>
      </c>
      <c r="D102" s="37" t="s">
        <v>793</v>
      </c>
      <c r="E102" s="37" t="s">
        <v>794</v>
      </c>
      <c r="F102" s="36" t="s">
        <v>146</v>
      </c>
      <c r="G102" s="38" t="s">
        <v>76</v>
      </c>
      <c r="H102" s="39">
        <v>46321</v>
      </c>
      <c r="I102" s="39">
        <v>46321</v>
      </c>
      <c r="J102" s="40">
        <v>0</v>
      </c>
      <c r="K102" s="37" t="s">
        <v>795</v>
      </c>
      <c r="L102" s="37" t="s">
        <v>148</v>
      </c>
      <c r="M102" s="37" t="s">
        <v>773</v>
      </c>
      <c r="N102" s="37" t="s">
        <v>796</v>
      </c>
      <c r="O102" s="37" t="s">
        <v>797</v>
      </c>
      <c r="P102" s="41"/>
      <c r="Q102" s="41"/>
      <c r="R102" s="42"/>
      <c r="S102" s="37" t="s">
        <v>160</v>
      </c>
      <c r="T102" s="38" t="s">
        <v>152</v>
      </c>
      <c r="U102" s="43">
        <f t="shared" ref="U102:U133" si="24">IF(A102="",0,IF(G102="Completed",1,IF(G102="Not Started",0,MIN(0.99,N(J102)))))</f>
        <v>0</v>
      </c>
      <c r="V102" s="43">
        <f t="shared" ref="V102:V133" ca="1" si="25">IF(OR(A102="",H102="",I102=""),0,MAX(0,MIN(1,(StatusDate-H102+1)/(I102-H102+1))))</f>
        <v>0</v>
      </c>
      <c r="W102" s="44">
        <f t="shared" ref="W102:W133" ca="1" si="26">IF(OR(A102="",I102="",G102="Completed"),"",I102-StatusDate)</f>
        <v>15</v>
      </c>
      <c r="X102" s="45" t="str">
        <f t="shared" ref="X102:X133" ca="1" si="27">IF(A102="","",IF(AND(G102&lt;&gt;"Completed",I102&lt;&gt;"",I102&lt;StatusDate),"OVERDUE",""))</f>
        <v/>
      </c>
      <c r="Y102" s="45" t="str">
        <f t="shared" ref="Y102:Y133" si="28">IF(OR(A102="",K102=""),"",IF(SUMPRODUCT(($A$6:$A$400&lt;&gt;"")*ISNUMBER(SEARCH($A$6:$A$400,K102))*($G$6:$G$400&lt;&gt;"Completed"))=0,"✓ Ready","⏳ "&amp;SUMPRODUCT(($A$6:$A$400&lt;&gt;"")*ISNUMBER(SEARCH($A$6:$A$400,K102))*($G$6:$G$400&lt;&gt;"Completed"))&amp;" open"))</f>
        <v>⏳ 2 open</v>
      </c>
      <c r="Z102" s="45" t="str">
        <f>IF(A102="","",B102&amp;"|"&amp;COUNTIFS($B$6:B102,B102,$A$6:A102,"?*"))</f>
        <v>Phase 6|8</v>
      </c>
      <c r="AA102" s="45">
        <f t="shared" ref="AA102:AA133" ca="1" si="29">IF(OR(A102="",I102="",G102="Completed"),"",IF(I102&gt;=StatusDate,I102+ROW()/100000,""))</f>
        <v>46321.001020000003</v>
      </c>
      <c r="AB102" s="45" t="str">
        <f t="shared" ref="AB102:AB133" si="30">IF(A102="","",IF(AND(G102&lt;&gt;"Completed",OR(G102="Blocked",AND(TRIM(P102)&lt;&gt;"",P102&lt;&gt;"None"))),ROW(),""))</f>
        <v/>
      </c>
      <c r="AC102" s="45" t="str">
        <f t="shared" ref="AC102:AC133" ca="1" si="31">IF(A102="","",IF(G102="Completed","Done",IF(G102="Blocked","Blocked",IF(X102="OVERDUE","Overdue",IF(AND(W102&lt;&gt;"",W102&lt;=2),"Due soon",IF(AND(Y102&lt;&gt;"",LEFT(Y102,1)="⏳",G102&lt;&gt;"Not Started"),"Dependency open",IF(AND(S102&lt;&gt;"None",S102&lt;&gt;"",G102&lt;&gt;"Completed"),"External req.","On track")))))))</f>
        <v>On track</v>
      </c>
    </row>
    <row r="103" spans="1:29" ht="61.95" customHeight="1" x14ac:dyDescent="0.3">
      <c r="A103" s="35" t="s">
        <v>798</v>
      </c>
      <c r="B103" s="36" t="s">
        <v>742</v>
      </c>
      <c r="C103" s="37" t="s">
        <v>509</v>
      </c>
      <c r="D103" s="37" t="s">
        <v>799</v>
      </c>
      <c r="E103" s="37" t="s">
        <v>800</v>
      </c>
      <c r="F103" s="36" t="s">
        <v>146</v>
      </c>
      <c r="G103" s="38" t="s">
        <v>76</v>
      </c>
      <c r="H103" s="39">
        <v>46321</v>
      </c>
      <c r="I103" s="39">
        <v>46322</v>
      </c>
      <c r="J103" s="40">
        <v>0</v>
      </c>
      <c r="K103" s="37" t="s">
        <v>801</v>
      </c>
      <c r="L103" s="37" t="s">
        <v>148</v>
      </c>
      <c r="M103" s="37" t="s">
        <v>780</v>
      </c>
      <c r="N103" s="37" t="s">
        <v>802</v>
      </c>
      <c r="O103" s="37" t="s">
        <v>803</v>
      </c>
      <c r="P103" s="41"/>
      <c r="Q103" s="41"/>
      <c r="R103" s="42"/>
      <c r="S103" s="37" t="s">
        <v>160</v>
      </c>
      <c r="T103" s="38" t="s">
        <v>152</v>
      </c>
      <c r="U103" s="43">
        <f t="shared" si="24"/>
        <v>0</v>
      </c>
      <c r="V103" s="43">
        <f t="shared" ca="1" si="25"/>
        <v>0</v>
      </c>
      <c r="W103" s="44">
        <f t="shared" ca="1" si="26"/>
        <v>16</v>
      </c>
      <c r="X103" s="45" t="str">
        <f t="shared" ca="1" si="27"/>
        <v/>
      </c>
      <c r="Y103" s="45" t="str">
        <f t="shared" si="28"/>
        <v>⏳ 2 open</v>
      </c>
      <c r="Z103" s="45" t="str">
        <f>IF(A103="","",B103&amp;"|"&amp;COUNTIFS($B$6:B103,B103,$A$6:A103,"?*"))</f>
        <v>Phase 6|9</v>
      </c>
      <c r="AA103" s="45">
        <f t="shared" ca="1" si="29"/>
        <v>46322.001029999999</v>
      </c>
      <c r="AB103" s="45" t="str">
        <f t="shared" si="30"/>
        <v/>
      </c>
      <c r="AC103" s="45" t="str">
        <f t="shared" ca="1" si="31"/>
        <v>On track</v>
      </c>
    </row>
    <row r="104" spans="1:29" ht="61.95" customHeight="1" x14ac:dyDescent="0.3">
      <c r="A104" s="35" t="s">
        <v>804</v>
      </c>
      <c r="B104" s="36" t="s">
        <v>742</v>
      </c>
      <c r="C104" s="37" t="s">
        <v>509</v>
      </c>
      <c r="D104" s="37" t="s">
        <v>805</v>
      </c>
      <c r="E104" s="37" t="s">
        <v>806</v>
      </c>
      <c r="F104" s="36" t="s">
        <v>8</v>
      </c>
      <c r="G104" s="38" t="s">
        <v>76</v>
      </c>
      <c r="H104" s="39">
        <v>46322</v>
      </c>
      <c r="I104" s="39">
        <v>46322</v>
      </c>
      <c r="J104" s="40">
        <v>0</v>
      </c>
      <c r="K104" s="37" t="s">
        <v>791</v>
      </c>
      <c r="L104" s="37" t="s">
        <v>148</v>
      </c>
      <c r="M104" s="37" t="s">
        <v>807</v>
      </c>
      <c r="N104" s="37" t="s">
        <v>808</v>
      </c>
      <c r="O104" s="37" t="s">
        <v>809</v>
      </c>
      <c r="P104" s="41"/>
      <c r="Q104" s="41"/>
      <c r="R104" s="42"/>
      <c r="S104" s="37" t="s">
        <v>160</v>
      </c>
      <c r="T104" s="38" t="s">
        <v>152</v>
      </c>
      <c r="U104" s="43">
        <f t="shared" si="24"/>
        <v>0</v>
      </c>
      <c r="V104" s="43">
        <f t="shared" ca="1" si="25"/>
        <v>0</v>
      </c>
      <c r="W104" s="44">
        <f t="shared" ca="1" si="26"/>
        <v>16</v>
      </c>
      <c r="X104" s="45" t="str">
        <f t="shared" ca="1" si="27"/>
        <v/>
      </c>
      <c r="Y104" s="45" t="str">
        <f t="shared" si="28"/>
        <v>⏳ 1 open</v>
      </c>
      <c r="Z104" s="45" t="str">
        <f>IF(A104="","",B104&amp;"|"&amp;COUNTIFS($B$6:B104,B104,$A$6:A104,"?*"))</f>
        <v>Phase 6|10</v>
      </c>
      <c r="AA104" s="45">
        <f t="shared" ca="1" si="29"/>
        <v>46322.001040000003</v>
      </c>
      <c r="AB104" s="45" t="str">
        <f t="shared" si="30"/>
        <v/>
      </c>
      <c r="AC104" s="45" t="str">
        <f t="shared" ca="1" si="31"/>
        <v>On track</v>
      </c>
    </row>
    <row r="105" spans="1:29" ht="61.95" customHeight="1" x14ac:dyDescent="0.3">
      <c r="A105" s="35" t="s">
        <v>810</v>
      </c>
      <c r="B105" s="36" t="s">
        <v>742</v>
      </c>
      <c r="C105" s="37" t="s">
        <v>811</v>
      </c>
      <c r="D105" s="37" t="s">
        <v>812</v>
      </c>
      <c r="E105" s="37" t="s">
        <v>813</v>
      </c>
      <c r="F105" s="36" t="s">
        <v>146</v>
      </c>
      <c r="G105" s="38" t="s">
        <v>76</v>
      </c>
      <c r="H105" s="39">
        <v>46322</v>
      </c>
      <c r="I105" s="39">
        <v>46323</v>
      </c>
      <c r="J105" s="40">
        <v>0</v>
      </c>
      <c r="K105" s="37" t="s">
        <v>814</v>
      </c>
      <c r="L105" s="37" t="s">
        <v>148</v>
      </c>
      <c r="M105" s="37" t="s">
        <v>815</v>
      </c>
      <c r="N105" s="37" t="s">
        <v>816</v>
      </c>
      <c r="O105" s="37" t="s">
        <v>817</v>
      </c>
      <c r="P105" s="41"/>
      <c r="Q105" s="41"/>
      <c r="R105" s="42"/>
      <c r="S105" s="37" t="s">
        <v>160</v>
      </c>
      <c r="T105" s="38" t="s">
        <v>152</v>
      </c>
      <c r="U105" s="43">
        <f t="shared" si="24"/>
        <v>0</v>
      </c>
      <c r="V105" s="43">
        <f t="shared" ca="1" si="25"/>
        <v>0</v>
      </c>
      <c r="W105" s="44">
        <f t="shared" ca="1" si="26"/>
        <v>17</v>
      </c>
      <c r="X105" s="45" t="str">
        <f t="shared" ca="1" si="27"/>
        <v/>
      </c>
      <c r="Y105" s="45" t="str">
        <f t="shared" si="28"/>
        <v>⏳ 3 open</v>
      </c>
      <c r="Z105" s="45" t="str">
        <f>IF(A105="","",B105&amp;"|"&amp;COUNTIFS($B$6:B105,B105,$A$6:A105,"?*"))</f>
        <v>Phase 6|11</v>
      </c>
      <c r="AA105" s="45">
        <f t="shared" ca="1" si="29"/>
        <v>46323.001049999999</v>
      </c>
      <c r="AB105" s="45" t="str">
        <f t="shared" si="30"/>
        <v/>
      </c>
      <c r="AC105" s="45" t="str">
        <f t="shared" ca="1" si="31"/>
        <v>On track</v>
      </c>
    </row>
    <row r="106" spans="1:29" ht="61.95" customHeight="1" x14ac:dyDescent="0.3">
      <c r="A106" s="35" t="s">
        <v>818</v>
      </c>
      <c r="B106" s="36" t="s">
        <v>742</v>
      </c>
      <c r="C106" s="37" t="s">
        <v>819</v>
      </c>
      <c r="D106" s="37" t="s">
        <v>820</v>
      </c>
      <c r="E106" s="37" t="s">
        <v>821</v>
      </c>
      <c r="F106" s="36" t="s">
        <v>146</v>
      </c>
      <c r="G106" s="38" t="s">
        <v>76</v>
      </c>
      <c r="H106" s="39">
        <v>46323</v>
      </c>
      <c r="I106" s="39">
        <v>46323</v>
      </c>
      <c r="J106" s="40">
        <v>0</v>
      </c>
      <c r="K106" s="37" t="s">
        <v>822</v>
      </c>
      <c r="L106" s="37" t="s">
        <v>148</v>
      </c>
      <c r="M106" s="37" t="s">
        <v>823</v>
      </c>
      <c r="N106" s="37" t="s">
        <v>824</v>
      </c>
      <c r="O106" s="37" t="s">
        <v>825</v>
      </c>
      <c r="P106" s="41"/>
      <c r="Q106" s="41"/>
      <c r="R106" s="42"/>
      <c r="S106" s="37" t="s">
        <v>84</v>
      </c>
      <c r="T106" s="38" t="s">
        <v>152</v>
      </c>
      <c r="U106" s="43">
        <f t="shared" si="24"/>
        <v>0</v>
      </c>
      <c r="V106" s="43">
        <f t="shared" ca="1" si="25"/>
        <v>0</v>
      </c>
      <c r="W106" s="44">
        <f t="shared" ca="1" si="26"/>
        <v>17</v>
      </c>
      <c r="X106" s="45" t="str">
        <f t="shared" ca="1" si="27"/>
        <v/>
      </c>
      <c r="Y106" s="45" t="str">
        <f t="shared" si="28"/>
        <v>⏳ 2 open</v>
      </c>
      <c r="Z106" s="45" t="str">
        <f>IF(A106="","",B106&amp;"|"&amp;COUNTIFS($B$6:B106,B106,$A$6:A106,"?*"))</f>
        <v>Phase 6|12</v>
      </c>
      <c r="AA106" s="45">
        <f t="shared" ca="1" si="29"/>
        <v>46323.001060000002</v>
      </c>
      <c r="AB106" s="45" t="str">
        <f t="shared" si="30"/>
        <v/>
      </c>
      <c r="AC106" s="45" t="str">
        <f t="shared" ca="1" si="31"/>
        <v>External req.</v>
      </c>
    </row>
    <row r="107" spans="1:29" ht="61.95" customHeight="1" x14ac:dyDescent="0.3">
      <c r="A107" s="35" t="s">
        <v>826</v>
      </c>
      <c r="B107" s="36" t="s">
        <v>742</v>
      </c>
      <c r="C107" s="37" t="s">
        <v>85</v>
      </c>
      <c r="D107" s="37" t="s">
        <v>827</v>
      </c>
      <c r="E107" s="37" t="s">
        <v>828</v>
      </c>
      <c r="F107" s="36" t="s">
        <v>146</v>
      </c>
      <c r="G107" s="38" t="s">
        <v>76</v>
      </c>
      <c r="H107" s="39">
        <v>46323</v>
      </c>
      <c r="I107" s="39">
        <v>46323</v>
      </c>
      <c r="J107" s="40">
        <v>0</v>
      </c>
      <c r="K107" s="37" t="s">
        <v>810</v>
      </c>
      <c r="L107" s="37" t="s">
        <v>148</v>
      </c>
      <c r="M107" s="37" t="s">
        <v>520</v>
      </c>
      <c r="N107" s="37" t="s">
        <v>829</v>
      </c>
      <c r="O107" s="37" t="s">
        <v>830</v>
      </c>
      <c r="P107" s="41"/>
      <c r="Q107" s="41"/>
      <c r="R107" s="42"/>
      <c r="S107" s="37" t="s">
        <v>160</v>
      </c>
      <c r="T107" s="38" t="s">
        <v>152</v>
      </c>
      <c r="U107" s="43">
        <f t="shared" si="24"/>
        <v>0</v>
      </c>
      <c r="V107" s="43">
        <f t="shared" ca="1" si="25"/>
        <v>0</v>
      </c>
      <c r="W107" s="44">
        <f t="shared" ca="1" si="26"/>
        <v>17</v>
      </c>
      <c r="X107" s="45" t="str">
        <f t="shared" ca="1" si="27"/>
        <v/>
      </c>
      <c r="Y107" s="45" t="str">
        <f t="shared" si="28"/>
        <v>⏳ 1 open</v>
      </c>
      <c r="Z107" s="45" t="str">
        <f>IF(A107="","",B107&amp;"|"&amp;COUNTIFS($B$6:B107,B107,$A$6:A107,"?*"))</f>
        <v>Phase 6|13</v>
      </c>
      <c r="AA107" s="45">
        <f t="shared" ca="1" si="29"/>
        <v>46323.001069999998</v>
      </c>
      <c r="AB107" s="45" t="str">
        <f t="shared" si="30"/>
        <v/>
      </c>
      <c r="AC107" s="45" t="str">
        <f t="shared" ca="1" si="31"/>
        <v>On track</v>
      </c>
    </row>
    <row r="108" spans="1:29" ht="61.95" customHeight="1" x14ac:dyDescent="0.3">
      <c r="A108" s="35" t="s">
        <v>831</v>
      </c>
      <c r="B108" s="36" t="s">
        <v>742</v>
      </c>
      <c r="C108" s="37" t="s">
        <v>85</v>
      </c>
      <c r="D108" s="37" t="s">
        <v>832</v>
      </c>
      <c r="E108" s="37" t="s">
        <v>833</v>
      </c>
      <c r="F108" s="36" t="s">
        <v>146</v>
      </c>
      <c r="G108" s="38" t="s">
        <v>76</v>
      </c>
      <c r="H108" s="39">
        <v>46323</v>
      </c>
      <c r="I108" s="39">
        <v>46324</v>
      </c>
      <c r="J108" s="40">
        <v>0</v>
      </c>
      <c r="K108" s="37" t="s">
        <v>826</v>
      </c>
      <c r="L108" s="37" t="s">
        <v>148</v>
      </c>
      <c r="M108" s="37" t="s">
        <v>520</v>
      </c>
      <c r="N108" s="37" t="s">
        <v>834</v>
      </c>
      <c r="O108" s="37" t="s">
        <v>835</v>
      </c>
      <c r="P108" s="41"/>
      <c r="Q108" s="41"/>
      <c r="R108" s="42"/>
      <c r="S108" s="37" t="s">
        <v>160</v>
      </c>
      <c r="T108" s="38" t="s">
        <v>152</v>
      </c>
      <c r="U108" s="43">
        <f t="shared" si="24"/>
        <v>0</v>
      </c>
      <c r="V108" s="43">
        <f t="shared" ca="1" si="25"/>
        <v>0</v>
      </c>
      <c r="W108" s="44">
        <f t="shared" ca="1" si="26"/>
        <v>18</v>
      </c>
      <c r="X108" s="45" t="str">
        <f t="shared" ca="1" si="27"/>
        <v/>
      </c>
      <c r="Y108" s="45" t="str">
        <f t="shared" si="28"/>
        <v>⏳ 1 open</v>
      </c>
      <c r="Z108" s="45" t="str">
        <f>IF(A108="","",B108&amp;"|"&amp;COUNTIFS($B$6:B108,B108,$A$6:A108,"?*"))</f>
        <v>Phase 6|14</v>
      </c>
      <c r="AA108" s="45">
        <f t="shared" ca="1" si="29"/>
        <v>46324.001080000002</v>
      </c>
      <c r="AB108" s="45" t="str">
        <f t="shared" si="30"/>
        <v/>
      </c>
      <c r="AC108" s="45" t="str">
        <f t="shared" ca="1" si="31"/>
        <v>On track</v>
      </c>
    </row>
    <row r="109" spans="1:29" ht="61.95" customHeight="1" x14ac:dyDescent="0.3">
      <c r="A109" s="35" t="s">
        <v>836</v>
      </c>
      <c r="B109" s="36" t="s">
        <v>742</v>
      </c>
      <c r="C109" s="37" t="s">
        <v>682</v>
      </c>
      <c r="D109" s="37" t="s">
        <v>837</v>
      </c>
      <c r="E109" s="37" t="s">
        <v>838</v>
      </c>
      <c r="F109" s="36" t="s">
        <v>146</v>
      </c>
      <c r="G109" s="38" t="s">
        <v>76</v>
      </c>
      <c r="H109" s="39">
        <v>46324</v>
      </c>
      <c r="I109" s="39">
        <v>46324</v>
      </c>
      <c r="J109" s="40">
        <v>0</v>
      </c>
      <c r="K109" s="37" t="s">
        <v>681</v>
      </c>
      <c r="L109" s="37" t="s">
        <v>839</v>
      </c>
      <c r="M109" s="37" t="s">
        <v>149</v>
      </c>
      <c r="N109" s="37" t="s">
        <v>840</v>
      </c>
      <c r="O109" s="37" t="s">
        <v>841</v>
      </c>
      <c r="P109" s="41"/>
      <c r="Q109" s="41"/>
      <c r="R109" s="42"/>
      <c r="S109" s="37" t="s">
        <v>84</v>
      </c>
      <c r="T109" s="38" t="s">
        <v>152</v>
      </c>
      <c r="U109" s="43">
        <f t="shared" si="24"/>
        <v>0</v>
      </c>
      <c r="V109" s="43">
        <f t="shared" ca="1" si="25"/>
        <v>0</v>
      </c>
      <c r="W109" s="44">
        <f t="shared" ca="1" si="26"/>
        <v>18</v>
      </c>
      <c r="X109" s="45" t="str">
        <f t="shared" ca="1" si="27"/>
        <v/>
      </c>
      <c r="Y109" s="45" t="str">
        <f t="shared" si="28"/>
        <v>⏳ 1 open</v>
      </c>
      <c r="Z109" s="45" t="str">
        <f>IF(A109="","",B109&amp;"|"&amp;COUNTIFS($B$6:B109,B109,$A$6:A109,"?*"))</f>
        <v>Phase 6|15</v>
      </c>
      <c r="AA109" s="45">
        <f t="shared" ca="1" si="29"/>
        <v>46324.001089999998</v>
      </c>
      <c r="AB109" s="45" t="str">
        <f t="shared" si="30"/>
        <v/>
      </c>
      <c r="AC109" s="45" t="str">
        <f t="shared" ca="1" si="31"/>
        <v>External req.</v>
      </c>
    </row>
    <row r="110" spans="1:29" ht="61.95" customHeight="1" x14ac:dyDescent="0.3">
      <c r="A110" s="35" t="s">
        <v>842</v>
      </c>
      <c r="B110" s="36" t="s">
        <v>742</v>
      </c>
      <c r="C110" s="37" t="s">
        <v>85</v>
      </c>
      <c r="D110" s="37" t="s">
        <v>843</v>
      </c>
      <c r="E110" s="37" t="s">
        <v>844</v>
      </c>
      <c r="F110" s="36" t="s">
        <v>146</v>
      </c>
      <c r="G110" s="38" t="s">
        <v>76</v>
      </c>
      <c r="H110" s="39">
        <v>46324</v>
      </c>
      <c r="I110" s="39">
        <v>46325</v>
      </c>
      <c r="J110" s="40">
        <v>0</v>
      </c>
      <c r="K110" s="37" t="s">
        <v>845</v>
      </c>
      <c r="L110" s="37" t="s">
        <v>148</v>
      </c>
      <c r="M110" s="37" t="s">
        <v>520</v>
      </c>
      <c r="N110" s="37" t="s">
        <v>846</v>
      </c>
      <c r="O110" s="37" t="s">
        <v>847</v>
      </c>
      <c r="P110" s="41"/>
      <c r="Q110" s="41"/>
      <c r="R110" s="42"/>
      <c r="S110" s="37" t="s">
        <v>160</v>
      </c>
      <c r="T110" s="38" t="s">
        <v>152</v>
      </c>
      <c r="U110" s="43">
        <f t="shared" si="24"/>
        <v>0</v>
      </c>
      <c r="V110" s="43">
        <f t="shared" ca="1" si="25"/>
        <v>0</v>
      </c>
      <c r="W110" s="44">
        <f t="shared" ca="1" si="26"/>
        <v>19</v>
      </c>
      <c r="X110" s="45" t="str">
        <f t="shared" ca="1" si="27"/>
        <v/>
      </c>
      <c r="Y110" s="45" t="str">
        <f t="shared" si="28"/>
        <v>⏳ 2 open</v>
      </c>
      <c r="Z110" s="45" t="str">
        <f>IF(A110="","",B110&amp;"|"&amp;COUNTIFS($B$6:B110,B110,$A$6:A110,"?*"))</f>
        <v>Phase 6|16</v>
      </c>
      <c r="AA110" s="45">
        <f t="shared" ca="1" si="29"/>
        <v>46325.001100000001</v>
      </c>
      <c r="AB110" s="45" t="str">
        <f t="shared" si="30"/>
        <v/>
      </c>
      <c r="AC110" s="45" t="str">
        <f t="shared" ca="1" si="31"/>
        <v>On track</v>
      </c>
    </row>
    <row r="111" spans="1:29" ht="61.95" customHeight="1" x14ac:dyDescent="0.3">
      <c r="A111" s="35" t="s">
        <v>848</v>
      </c>
      <c r="B111" s="36" t="s">
        <v>742</v>
      </c>
      <c r="C111" s="37" t="s">
        <v>849</v>
      </c>
      <c r="D111" s="37" t="s">
        <v>850</v>
      </c>
      <c r="E111" s="37" t="s">
        <v>851</v>
      </c>
      <c r="F111" s="36" t="s">
        <v>146</v>
      </c>
      <c r="G111" s="38" t="s">
        <v>76</v>
      </c>
      <c r="H111" s="39">
        <v>46325</v>
      </c>
      <c r="I111" s="39">
        <v>46326</v>
      </c>
      <c r="J111" s="40">
        <v>0</v>
      </c>
      <c r="K111" s="37" t="s">
        <v>842</v>
      </c>
      <c r="L111" s="37" t="s">
        <v>148</v>
      </c>
      <c r="M111" s="37" t="s">
        <v>520</v>
      </c>
      <c r="N111" s="37" t="s">
        <v>852</v>
      </c>
      <c r="O111" s="37" t="s">
        <v>853</v>
      </c>
      <c r="P111" s="41"/>
      <c r="Q111" s="41"/>
      <c r="R111" s="42"/>
      <c r="S111" s="37" t="s">
        <v>160</v>
      </c>
      <c r="T111" s="38" t="s">
        <v>152</v>
      </c>
      <c r="U111" s="43">
        <f t="shared" si="24"/>
        <v>0</v>
      </c>
      <c r="V111" s="43">
        <f t="shared" ca="1" si="25"/>
        <v>0</v>
      </c>
      <c r="W111" s="44">
        <f t="shared" ca="1" si="26"/>
        <v>20</v>
      </c>
      <c r="X111" s="45" t="str">
        <f t="shared" ca="1" si="27"/>
        <v/>
      </c>
      <c r="Y111" s="45" t="str">
        <f t="shared" si="28"/>
        <v>⏳ 1 open</v>
      </c>
      <c r="Z111" s="45" t="str">
        <f>IF(A111="","",B111&amp;"|"&amp;COUNTIFS($B$6:B111,B111,$A$6:A111,"?*"))</f>
        <v>Phase 6|17</v>
      </c>
      <c r="AA111" s="45">
        <f t="shared" ca="1" si="29"/>
        <v>46326.001109999997</v>
      </c>
      <c r="AB111" s="45" t="str">
        <f t="shared" si="30"/>
        <v/>
      </c>
      <c r="AC111" s="45" t="str">
        <f t="shared" ca="1" si="31"/>
        <v>On track</v>
      </c>
    </row>
    <row r="112" spans="1:29" ht="61.95" customHeight="1" x14ac:dyDescent="0.3">
      <c r="A112" s="35" t="s">
        <v>854</v>
      </c>
      <c r="B112" s="36" t="s">
        <v>742</v>
      </c>
      <c r="C112" s="37" t="s">
        <v>855</v>
      </c>
      <c r="D112" s="37" t="s">
        <v>856</v>
      </c>
      <c r="E112" s="37" t="s">
        <v>857</v>
      </c>
      <c r="F112" s="36" t="s">
        <v>146</v>
      </c>
      <c r="G112" s="38" t="s">
        <v>76</v>
      </c>
      <c r="H112" s="39">
        <v>46326</v>
      </c>
      <c r="I112" s="39">
        <v>46326</v>
      </c>
      <c r="J112" s="40">
        <v>0</v>
      </c>
      <c r="K112" s="37" t="s">
        <v>848</v>
      </c>
      <c r="L112" s="37" t="s">
        <v>148</v>
      </c>
      <c r="M112" s="37" t="s">
        <v>520</v>
      </c>
      <c r="N112" s="37" t="s">
        <v>858</v>
      </c>
      <c r="O112" s="37" t="s">
        <v>859</v>
      </c>
      <c r="P112" s="41"/>
      <c r="Q112" s="41"/>
      <c r="R112" s="42"/>
      <c r="S112" s="37" t="s">
        <v>160</v>
      </c>
      <c r="T112" s="38" t="s">
        <v>152</v>
      </c>
      <c r="U112" s="43">
        <f t="shared" si="24"/>
        <v>0</v>
      </c>
      <c r="V112" s="43">
        <f t="shared" ca="1" si="25"/>
        <v>0</v>
      </c>
      <c r="W112" s="44">
        <f t="shared" ca="1" si="26"/>
        <v>20</v>
      </c>
      <c r="X112" s="45" t="str">
        <f t="shared" ca="1" si="27"/>
        <v/>
      </c>
      <c r="Y112" s="45" t="str">
        <f t="shared" si="28"/>
        <v>⏳ 1 open</v>
      </c>
      <c r="Z112" s="45" t="str">
        <f>IF(A112="","",B112&amp;"|"&amp;COUNTIFS($B$6:B112,B112,$A$6:A112,"?*"))</f>
        <v>Phase 6|18</v>
      </c>
      <c r="AA112" s="45">
        <f t="shared" ca="1" si="29"/>
        <v>46326.001120000001</v>
      </c>
      <c r="AB112" s="45" t="str">
        <f t="shared" si="30"/>
        <v/>
      </c>
      <c r="AC112" s="45" t="str">
        <f t="shared" ca="1" si="31"/>
        <v>On track</v>
      </c>
    </row>
    <row r="113" spans="1:29" ht="61.95" customHeight="1" x14ac:dyDescent="0.3">
      <c r="A113" s="35" t="s">
        <v>860</v>
      </c>
      <c r="B113" s="36" t="s">
        <v>742</v>
      </c>
      <c r="C113" s="37" t="s">
        <v>861</v>
      </c>
      <c r="D113" s="37" t="s">
        <v>862</v>
      </c>
      <c r="E113" s="37" t="s">
        <v>863</v>
      </c>
      <c r="F113" s="36" t="s">
        <v>146</v>
      </c>
      <c r="G113" s="38" t="s">
        <v>76</v>
      </c>
      <c r="H113" s="39">
        <v>46326</v>
      </c>
      <c r="I113" s="39">
        <v>46326</v>
      </c>
      <c r="J113" s="40">
        <v>0</v>
      </c>
      <c r="K113" s="37" t="s">
        <v>741</v>
      </c>
      <c r="L113" s="37" t="s">
        <v>148</v>
      </c>
      <c r="M113" s="37" t="s">
        <v>864</v>
      </c>
      <c r="N113" s="37" t="s">
        <v>865</v>
      </c>
      <c r="O113" s="37" t="s">
        <v>866</v>
      </c>
      <c r="P113" s="41"/>
      <c r="Q113" s="41"/>
      <c r="R113" s="42"/>
      <c r="S113" s="37" t="s">
        <v>84</v>
      </c>
      <c r="T113" s="38" t="s">
        <v>152</v>
      </c>
      <c r="U113" s="43">
        <f t="shared" si="24"/>
        <v>0</v>
      </c>
      <c r="V113" s="43">
        <f t="shared" ca="1" si="25"/>
        <v>0</v>
      </c>
      <c r="W113" s="44">
        <f t="shared" ca="1" si="26"/>
        <v>20</v>
      </c>
      <c r="X113" s="45" t="str">
        <f t="shared" ca="1" si="27"/>
        <v/>
      </c>
      <c r="Y113" s="45" t="str">
        <f t="shared" si="28"/>
        <v>⏳ 1 open</v>
      </c>
      <c r="Z113" s="45" t="str">
        <f>IF(A113="","",B113&amp;"|"&amp;COUNTIFS($B$6:B113,B113,$A$6:A113,"?*"))</f>
        <v>Phase 6|19</v>
      </c>
      <c r="AA113" s="45">
        <f t="shared" ca="1" si="29"/>
        <v>46326.001129999997</v>
      </c>
      <c r="AB113" s="45" t="str">
        <f t="shared" si="30"/>
        <v/>
      </c>
      <c r="AC113" s="45" t="str">
        <f t="shared" ca="1" si="31"/>
        <v>External req.</v>
      </c>
    </row>
    <row r="114" spans="1:29" ht="61.95" customHeight="1" x14ac:dyDescent="0.3">
      <c r="A114" s="35" t="s">
        <v>867</v>
      </c>
      <c r="B114" s="36" t="s">
        <v>742</v>
      </c>
      <c r="C114" s="37" t="s">
        <v>743</v>
      </c>
      <c r="D114" s="37" t="s">
        <v>868</v>
      </c>
      <c r="E114" s="37" t="s">
        <v>869</v>
      </c>
      <c r="F114" s="36" t="s">
        <v>146</v>
      </c>
      <c r="G114" s="38" t="s">
        <v>76</v>
      </c>
      <c r="H114" s="39">
        <v>46326</v>
      </c>
      <c r="I114" s="39">
        <v>46326</v>
      </c>
      <c r="J114" s="40">
        <v>0</v>
      </c>
      <c r="K114" s="37" t="s">
        <v>854</v>
      </c>
      <c r="L114" s="37" t="s">
        <v>746</v>
      </c>
      <c r="M114" s="37" t="s">
        <v>747</v>
      </c>
      <c r="N114" s="37" t="s">
        <v>870</v>
      </c>
      <c r="O114" s="37" t="s">
        <v>871</v>
      </c>
      <c r="P114" s="41"/>
      <c r="Q114" s="41"/>
      <c r="R114" s="42"/>
      <c r="S114" s="37" t="s">
        <v>84</v>
      </c>
      <c r="T114" s="38" t="s">
        <v>152</v>
      </c>
      <c r="U114" s="43">
        <f t="shared" si="24"/>
        <v>0</v>
      </c>
      <c r="V114" s="43">
        <f t="shared" ca="1" si="25"/>
        <v>0</v>
      </c>
      <c r="W114" s="44">
        <f t="shared" ca="1" si="26"/>
        <v>20</v>
      </c>
      <c r="X114" s="45" t="str">
        <f t="shared" ca="1" si="27"/>
        <v/>
      </c>
      <c r="Y114" s="45" t="str">
        <f t="shared" si="28"/>
        <v>⏳ 1 open</v>
      </c>
      <c r="Z114" s="45" t="str">
        <f>IF(A114="","",B114&amp;"|"&amp;COUNTIFS($B$6:B114,B114,$A$6:A114,"?*"))</f>
        <v>Phase 6|20</v>
      </c>
      <c r="AA114" s="45">
        <f t="shared" ca="1" si="29"/>
        <v>46326.00114</v>
      </c>
      <c r="AB114" s="45" t="str">
        <f t="shared" si="30"/>
        <v/>
      </c>
      <c r="AC114" s="45" t="str">
        <f t="shared" ca="1" si="31"/>
        <v>External req.</v>
      </c>
    </row>
    <row r="115" spans="1:29" ht="61.95" customHeight="1" x14ac:dyDescent="0.3">
      <c r="A115" s="35" t="s">
        <v>872</v>
      </c>
      <c r="B115" s="36" t="s">
        <v>742</v>
      </c>
      <c r="C115" s="37" t="s">
        <v>873</v>
      </c>
      <c r="D115" s="37" t="s">
        <v>874</v>
      </c>
      <c r="E115" s="37" t="s">
        <v>875</v>
      </c>
      <c r="F115" s="36" t="s">
        <v>146</v>
      </c>
      <c r="G115" s="38" t="s">
        <v>76</v>
      </c>
      <c r="H115" s="39">
        <v>46327</v>
      </c>
      <c r="I115" s="39">
        <v>46327</v>
      </c>
      <c r="J115" s="40">
        <v>0</v>
      </c>
      <c r="K115" s="37" t="s">
        <v>876</v>
      </c>
      <c r="L115" s="37" t="s">
        <v>746</v>
      </c>
      <c r="M115" s="37" t="s">
        <v>877</v>
      </c>
      <c r="N115" s="37" t="s">
        <v>878</v>
      </c>
      <c r="O115" s="37" t="s">
        <v>879</v>
      </c>
      <c r="P115" s="41"/>
      <c r="Q115" s="41"/>
      <c r="R115" s="42"/>
      <c r="S115" s="37" t="s">
        <v>84</v>
      </c>
      <c r="T115" s="38" t="s">
        <v>152</v>
      </c>
      <c r="U115" s="43">
        <f t="shared" si="24"/>
        <v>0</v>
      </c>
      <c r="V115" s="43">
        <f t="shared" ca="1" si="25"/>
        <v>0</v>
      </c>
      <c r="W115" s="44">
        <f t="shared" ca="1" si="26"/>
        <v>21</v>
      </c>
      <c r="X115" s="45" t="str">
        <f t="shared" ca="1" si="27"/>
        <v/>
      </c>
      <c r="Y115" s="45" t="str">
        <f t="shared" si="28"/>
        <v>⏳ 3 open</v>
      </c>
      <c r="Z115" s="45" t="str">
        <f>IF(A115="","",B115&amp;"|"&amp;COUNTIFS($B$6:B115,B115,$A$6:A115,"?*"))</f>
        <v>Phase 6|21</v>
      </c>
      <c r="AA115" s="45">
        <f t="shared" ca="1" si="29"/>
        <v>46327.001149999996</v>
      </c>
      <c r="AB115" s="45" t="str">
        <f t="shared" si="30"/>
        <v/>
      </c>
      <c r="AC115" s="45" t="str">
        <f t="shared" ca="1" si="31"/>
        <v>External req.</v>
      </c>
    </row>
    <row r="116" spans="1:29" ht="61.95" customHeight="1" x14ac:dyDescent="0.3">
      <c r="A116" s="35" t="s">
        <v>880</v>
      </c>
      <c r="B116" s="36" t="s">
        <v>742</v>
      </c>
      <c r="C116" s="37" t="s">
        <v>881</v>
      </c>
      <c r="D116" s="37" t="s">
        <v>882</v>
      </c>
      <c r="E116" s="37" t="s">
        <v>883</v>
      </c>
      <c r="F116" s="36" t="s">
        <v>146</v>
      </c>
      <c r="G116" s="38" t="s">
        <v>76</v>
      </c>
      <c r="H116" s="39">
        <v>46327</v>
      </c>
      <c r="I116" s="39">
        <v>46327</v>
      </c>
      <c r="J116" s="40">
        <v>0</v>
      </c>
      <c r="K116" s="37" t="s">
        <v>872</v>
      </c>
      <c r="L116" s="37" t="s">
        <v>746</v>
      </c>
      <c r="M116" s="37" t="s">
        <v>884</v>
      </c>
      <c r="N116" s="37" t="s">
        <v>885</v>
      </c>
      <c r="O116" s="37" t="s">
        <v>886</v>
      </c>
      <c r="P116" s="41"/>
      <c r="Q116" s="41"/>
      <c r="R116" s="42"/>
      <c r="S116" s="37" t="s">
        <v>160</v>
      </c>
      <c r="T116" s="38" t="s">
        <v>152</v>
      </c>
      <c r="U116" s="43">
        <f t="shared" si="24"/>
        <v>0</v>
      </c>
      <c r="V116" s="43">
        <f t="shared" ca="1" si="25"/>
        <v>0</v>
      </c>
      <c r="W116" s="44">
        <f t="shared" ca="1" si="26"/>
        <v>21</v>
      </c>
      <c r="X116" s="45" t="str">
        <f t="shared" ca="1" si="27"/>
        <v/>
      </c>
      <c r="Y116" s="45" t="str">
        <f t="shared" si="28"/>
        <v>⏳ 1 open</v>
      </c>
      <c r="Z116" s="45" t="str">
        <f>IF(A116="","",B116&amp;"|"&amp;COUNTIFS($B$6:B116,B116,$A$6:A116,"?*"))</f>
        <v>Phase 6|22</v>
      </c>
      <c r="AA116" s="45">
        <f t="shared" ca="1" si="29"/>
        <v>46327.00116</v>
      </c>
      <c r="AB116" s="45" t="str">
        <f t="shared" si="30"/>
        <v/>
      </c>
      <c r="AC116" s="45" t="str">
        <f t="shared" ca="1" si="31"/>
        <v>On track</v>
      </c>
    </row>
    <row r="117" spans="1:29" ht="18" customHeight="1" x14ac:dyDescent="0.3">
      <c r="A117" s="35"/>
      <c r="B117" s="36"/>
      <c r="C117" s="37"/>
      <c r="D117" s="37"/>
      <c r="E117" s="37"/>
      <c r="F117" s="36"/>
      <c r="G117" s="38"/>
      <c r="H117" s="39"/>
      <c r="I117" s="39"/>
      <c r="J117" s="40"/>
      <c r="K117" s="37"/>
      <c r="L117" s="37"/>
      <c r="M117" s="37"/>
      <c r="N117" s="37"/>
      <c r="O117" s="37"/>
      <c r="P117" s="41"/>
      <c r="Q117" s="41"/>
      <c r="R117" s="42"/>
      <c r="S117" s="37"/>
      <c r="T117" s="38"/>
      <c r="U117" s="43">
        <f t="shared" si="24"/>
        <v>0</v>
      </c>
      <c r="V117" s="43">
        <f t="shared" si="25"/>
        <v>0</v>
      </c>
      <c r="W117" s="44" t="str">
        <f t="shared" si="26"/>
        <v/>
      </c>
      <c r="X117" s="45" t="str">
        <f t="shared" si="27"/>
        <v/>
      </c>
      <c r="Y117" s="45" t="str">
        <f t="shared" si="28"/>
        <v/>
      </c>
      <c r="Z117" s="45" t="str">
        <f>IF(A117="","",B117&amp;"|"&amp;COUNTIFS($B$6:B117,B117,$A$6:A117,"?*"))</f>
        <v/>
      </c>
      <c r="AA117" s="45" t="str">
        <f t="shared" si="29"/>
        <v/>
      </c>
      <c r="AB117" s="45" t="str">
        <f t="shared" si="30"/>
        <v/>
      </c>
      <c r="AC117" s="45" t="str">
        <f t="shared" si="31"/>
        <v/>
      </c>
    </row>
    <row r="118" spans="1:29" ht="18" customHeight="1" x14ac:dyDescent="0.3">
      <c r="A118" s="35"/>
      <c r="B118" s="36"/>
      <c r="C118" s="37"/>
      <c r="D118" s="37"/>
      <c r="E118" s="37"/>
      <c r="F118" s="36"/>
      <c r="G118" s="38"/>
      <c r="H118" s="39"/>
      <c r="I118" s="39"/>
      <c r="J118" s="40"/>
      <c r="K118" s="37"/>
      <c r="L118" s="37"/>
      <c r="M118" s="37"/>
      <c r="N118" s="37"/>
      <c r="O118" s="37"/>
      <c r="P118" s="41"/>
      <c r="Q118" s="41"/>
      <c r="R118" s="42"/>
      <c r="S118" s="37"/>
      <c r="T118" s="38"/>
      <c r="U118" s="43">
        <f t="shared" si="24"/>
        <v>0</v>
      </c>
      <c r="V118" s="43">
        <f t="shared" si="25"/>
        <v>0</v>
      </c>
      <c r="W118" s="44" t="str">
        <f t="shared" si="26"/>
        <v/>
      </c>
      <c r="X118" s="45" t="str">
        <f t="shared" si="27"/>
        <v/>
      </c>
      <c r="Y118" s="45" t="str">
        <f t="shared" si="28"/>
        <v/>
      </c>
      <c r="Z118" s="45" t="str">
        <f>IF(A118="","",B118&amp;"|"&amp;COUNTIFS($B$6:B118,B118,$A$6:A118,"?*"))</f>
        <v/>
      </c>
      <c r="AA118" s="45" t="str">
        <f t="shared" si="29"/>
        <v/>
      </c>
      <c r="AB118" s="45" t="str">
        <f t="shared" si="30"/>
        <v/>
      </c>
      <c r="AC118" s="45" t="str">
        <f t="shared" si="31"/>
        <v/>
      </c>
    </row>
    <row r="119" spans="1:29" ht="18" customHeight="1" x14ac:dyDescent="0.3">
      <c r="A119" s="35"/>
      <c r="B119" s="36"/>
      <c r="C119" s="37"/>
      <c r="D119" s="37"/>
      <c r="E119" s="37"/>
      <c r="F119" s="36"/>
      <c r="G119" s="38"/>
      <c r="H119" s="39"/>
      <c r="I119" s="39"/>
      <c r="J119" s="40"/>
      <c r="K119" s="37"/>
      <c r="L119" s="37"/>
      <c r="M119" s="37"/>
      <c r="N119" s="37"/>
      <c r="O119" s="37"/>
      <c r="P119" s="41"/>
      <c r="Q119" s="41"/>
      <c r="R119" s="42"/>
      <c r="S119" s="37"/>
      <c r="T119" s="38"/>
      <c r="U119" s="43">
        <f t="shared" si="24"/>
        <v>0</v>
      </c>
      <c r="V119" s="43">
        <f t="shared" si="25"/>
        <v>0</v>
      </c>
      <c r="W119" s="44" t="str">
        <f t="shared" si="26"/>
        <v/>
      </c>
      <c r="X119" s="45" t="str">
        <f t="shared" si="27"/>
        <v/>
      </c>
      <c r="Y119" s="45" t="str">
        <f t="shared" si="28"/>
        <v/>
      </c>
      <c r="Z119" s="45" t="str">
        <f>IF(A119="","",B119&amp;"|"&amp;COUNTIFS($B$6:B119,B119,$A$6:A119,"?*"))</f>
        <v/>
      </c>
      <c r="AA119" s="45" t="str">
        <f t="shared" si="29"/>
        <v/>
      </c>
      <c r="AB119" s="45" t="str">
        <f t="shared" si="30"/>
        <v/>
      </c>
      <c r="AC119" s="45" t="str">
        <f t="shared" si="31"/>
        <v/>
      </c>
    </row>
    <row r="120" spans="1:29" ht="18" customHeight="1" x14ac:dyDescent="0.3">
      <c r="A120" s="35"/>
      <c r="B120" s="36"/>
      <c r="C120" s="37"/>
      <c r="D120" s="37"/>
      <c r="E120" s="37"/>
      <c r="F120" s="36"/>
      <c r="G120" s="38"/>
      <c r="H120" s="39"/>
      <c r="I120" s="39"/>
      <c r="J120" s="40"/>
      <c r="K120" s="37"/>
      <c r="L120" s="37"/>
      <c r="M120" s="37"/>
      <c r="N120" s="37"/>
      <c r="O120" s="37"/>
      <c r="P120" s="41"/>
      <c r="Q120" s="41"/>
      <c r="R120" s="42"/>
      <c r="S120" s="37"/>
      <c r="T120" s="38"/>
      <c r="U120" s="43">
        <f t="shared" si="24"/>
        <v>0</v>
      </c>
      <c r="V120" s="43">
        <f t="shared" si="25"/>
        <v>0</v>
      </c>
      <c r="W120" s="44" t="str">
        <f t="shared" si="26"/>
        <v/>
      </c>
      <c r="X120" s="45" t="str">
        <f t="shared" si="27"/>
        <v/>
      </c>
      <c r="Y120" s="45" t="str">
        <f t="shared" si="28"/>
        <v/>
      </c>
      <c r="Z120" s="45" t="str">
        <f>IF(A120="","",B120&amp;"|"&amp;COUNTIFS($B$6:B120,B120,$A$6:A120,"?*"))</f>
        <v/>
      </c>
      <c r="AA120" s="45" t="str">
        <f t="shared" si="29"/>
        <v/>
      </c>
      <c r="AB120" s="45" t="str">
        <f t="shared" si="30"/>
        <v/>
      </c>
      <c r="AC120" s="45" t="str">
        <f t="shared" si="31"/>
        <v/>
      </c>
    </row>
    <row r="121" spans="1:29" ht="18" customHeight="1" x14ac:dyDescent="0.3">
      <c r="A121" s="35"/>
      <c r="B121" s="36"/>
      <c r="C121" s="37"/>
      <c r="D121" s="37"/>
      <c r="E121" s="37"/>
      <c r="F121" s="36"/>
      <c r="G121" s="38"/>
      <c r="H121" s="39"/>
      <c r="I121" s="39"/>
      <c r="J121" s="40"/>
      <c r="K121" s="37"/>
      <c r="L121" s="37"/>
      <c r="M121" s="37"/>
      <c r="N121" s="37"/>
      <c r="O121" s="37"/>
      <c r="P121" s="41"/>
      <c r="Q121" s="41"/>
      <c r="R121" s="42"/>
      <c r="S121" s="37"/>
      <c r="T121" s="38"/>
      <c r="U121" s="43">
        <f t="shared" si="24"/>
        <v>0</v>
      </c>
      <c r="V121" s="43">
        <f t="shared" si="25"/>
        <v>0</v>
      </c>
      <c r="W121" s="44" t="str">
        <f t="shared" si="26"/>
        <v/>
      </c>
      <c r="X121" s="45" t="str">
        <f t="shared" si="27"/>
        <v/>
      </c>
      <c r="Y121" s="45" t="str">
        <f t="shared" si="28"/>
        <v/>
      </c>
      <c r="Z121" s="45" t="str">
        <f>IF(A121="","",B121&amp;"|"&amp;COUNTIFS($B$6:B121,B121,$A$6:A121,"?*"))</f>
        <v/>
      </c>
      <c r="AA121" s="45" t="str">
        <f t="shared" si="29"/>
        <v/>
      </c>
      <c r="AB121" s="45" t="str">
        <f t="shared" si="30"/>
        <v/>
      </c>
      <c r="AC121" s="45" t="str">
        <f t="shared" si="31"/>
        <v/>
      </c>
    </row>
    <row r="122" spans="1:29" ht="18" customHeight="1" x14ac:dyDescent="0.3">
      <c r="A122" s="35"/>
      <c r="B122" s="36"/>
      <c r="C122" s="37"/>
      <c r="D122" s="37"/>
      <c r="E122" s="37"/>
      <c r="F122" s="36"/>
      <c r="G122" s="38"/>
      <c r="H122" s="39"/>
      <c r="I122" s="39"/>
      <c r="J122" s="40"/>
      <c r="K122" s="37"/>
      <c r="L122" s="37"/>
      <c r="M122" s="37"/>
      <c r="N122" s="37"/>
      <c r="O122" s="37"/>
      <c r="P122" s="41"/>
      <c r="Q122" s="41"/>
      <c r="R122" s="42"/>
      <c r="S122" s="37"/>
      <c r="T122" s="38"/>
      <c r="U122" s="43">
        <f t="shared" si="24"/>
        <v>0</v>
      </c>
      <c r="V122" s="43">
        <f t="shared" si="25"/>
        <v>0</v>
      </c>
      <c r="W122" s="44" t="str">
        <f t="shared" si="26"/>
        <v/>
      </c>
      <c r="X122" s="45" t="str">
        <f t="shared" si="27"/>
        <v/>
      </c>
      <c r="Y122" s="45" t="str">
        <f t="shared" si="28"/>
        <v/>
      </c>
      <c r="Z122" s="45" t="str">
        <f>IF(A122="","",B122&amp;"|"&amp;COUNTIFS($B$6:B122,B122,$A$6:A122,"?*"))</f>
        <v/>
      </c>
      <c r="AA122" s="45" t="str">
        <f t="shared" si="29"/>
        <v/>
      </c>
      <c r="AB122" s="45" t="str">
        <f t="shared" si="30"/>
        <v/>
      </c>
      <c r="AC122" s="45" t="str">
        <f t="shared" si="31"/>
        <v/>
      </c>
    </row>
    <row r="123" spans="1:29" ht="18" customHeight="1" x14ac:dyDescent="0.3">
      <c r="A123" s="35"/>
      <c r="B123" s="36"/>
      <c r="C123" s="37"/>
      <c r="D123" s="37"/>
      <c r="E123" s="37"/>
      <c r="F123" s="36"/>
      <c r="G123" s="38"/>
      <c r="H123" s="39"/>
      <c r="I123" s="39"/>
      <c r="J123" s="40"/>
      <c r="K123" s="37"/>
      <c r="L123" s="37"/>
      <c r="M123" s="37"/>
      <c r="N123" s="37"/>
      <c r="O123" s="37"/>
      <c r="P123" s="41"/>
      <c r="Q123" s="41"/>
      <c r="R123" s="42"/>
      <c r="S123" s="37"/>
      <c r="T123" s="38"/>
      <c r="U123" s="43">
        <f t="shared" si="24"/>
        <v>0</v>
      </c>
      <c r="V123" s="43">
        <f t="shared" si="25"/>
        <v>0</v>
      </c>
      <c r="W123" s="44" t="str">
        <f t="shared" si="26"/>
        <v/>
      </c>
      <c r="X123" s="45" t="str">
        <f t="shared" si="27"/>
        <v/>
      </c>
      <c r="Y123" s="45" t="str">
        <f t="shared" si="28"/>
        <v/>
      </c>
      <c r="Z123" s="45" t="str">
        <f>IF(A123="","",B123&amp;"|"&amp;COUNTIFS($B$6:B123,B123,$A$6:A123,"?*"))</f>
        <v/>
      </c>
      <c r="AA123" s="45" t="str">
        <f t="shared" si="29"/>
        <v/>
      </c>
      <c r="AB123" s="45" t="str">
        <f t="shared" si="30"/>
        <v/>
      </c>
      <c r="AC123" s="45" t="str">
        <f t="shared" si="31"/>
        <v/>
      </c>
    </row>
    <row r="124" spans="1:29" ht="18" customHeight="1" x14ac:dyDescent="0.3">
      <c r="A124" s="35"/>
      <c r="B124" s="36"/>
      <c r="C124" s="37"/>
      <c r="D124" s="37"/>
      <c r="E124" s="37"/>
      <c r="F124" s="36"/>
      <c r="G124" s="38"/>
      <c r="H124" s="39"/>
      <c r="I124" s="39"/>
      <c r="J124" s="40"/>
      <c r="K124" s="37"/>
      <c r="L124" s="37"/>
      <c r="M124" s="37"/>
      <c r="N124" s="37"/>
      <c r="O124" s="37"/>
      <c r="P124" s="41"/>
      <c r="Q124" s="41"/>
      <c r="R124" s="42"/>
      <c r="S124" s="37"/>
      <c r="T124" s="38"/>
      <c r="U124" s="43">
        <f t="shared" si="24"/>
        <v>0</v>
      </c>
      <c r="V124" s="43">
        <f t="shared" si="25"/>
        <v>0</v>
      </c>
      <c r="W124" s="44" t="str">
        <f t="shared" si="26"/>
        <v/>
      </c>
      <c r="X124" s="45" t="str">
        <f t="shared" si="27"/>
        <v/>
      </c>
      <c r="Y124" s="45" t="str">
        <f t="shared" si="28"/>
        <v/>
      </c>
      <c r="Z124" s="45" t="str">
        <f>IF(A124="","",B124&amp;"|"&amp;COUNTIFS($B$6:B124,B124,$A$6:A124,"?*"))</f>
        <v/>
      </c>
      <c r="AA124" s="45" t="str">
        <f t="shared" si="29"/>
        <v/>
      </c>
      <c r="AB124" s="45" t="str">
        <f t="shared" si="30"/>
        <v/>
      </c>
      <c r="AC124" s="45" t="str">
        <f t="shared" si="31"/>
        <v/>
      </c>
    </row>
    <row r="125" spans="1:29" ht="18" customHeight="1" x14ac:dyDescent="0.3">
      <c r="A125" s="35"/>
      <c r="B125" s="36"/>
      <c r="C125" s="37"/>
      <c r="D125" s="37"/>
      <c r="E125" s="37"/>
      <c r="F125" s="36"/>
      <c r="G125" s="38"/>
      <c r="H125" s="39"/>
      <c r="I125" s="39"/>
      <c r="J125" s="40"/>
      <c r="K125" s="37"/>
      <c r="L125" s="37"/>
      <c r="M125" s="37"/>
      <c r="N125" s="37"/>
      <c r="O125" s="37"/>
      <c r="P125" s="41"/>
      <c r="Q125" s="41"/>
      <c r="R125" s="42"/>
      <c r="S125" s="37"/>
      <c r="T125" s="38"/>
      <c r="U125" s="43">
        <f t="shared" si="24"/>
        <v>0</v>
      </c>
      <c r="V125" s="43">
        <f t="shared" si="25"/>
        <v>0</v>
      </c>
      <c r="W125" s="44" t="str">
        <f t="shared" si="26"/>
        <v/>
      </c>
      <c r="X125" s="45" t="str">
        <f t="shared" si="27"/>
        <v/>
      </c>
      <c r="Y125" s="45" t="str">
        <f t="shared" si="28"/>
        <v/>
      </c>
      <c r="Z125" s="45" t="str">
        <f>IF(A125="","",B125&amp;"|"&amp;COUNTIFS($B$6:B125,B125,$A$6:A125,"?*"))</f>
        <v/>
      </c>
      <c r="AA125" s="45" t="str">
        <f t="shared" si="29"/>
        <v/>
      </c>
      <c r="AB125" s="45" t="str">
        <f t="shared" si="30"/>
        <v/>
      </c>
      <c r="AC125" s="45" t="str">
        <f t="shared" si="31"/>
        <v/>
      </c>
    </row>
    <row r="126" spans="1:29" ht="18" customHeight="1" x14ac:dyDescent="0.3">
      <c r="A126" s="35"/>
      <c r="B126" s="36"/>
      <c r="C126" s="37"/>
      <c r="D126" s="37"/>
      <c r="E126" s="37"/>
      <c r="F126" s="36"/>
      <c r="G126" s="38"/>
      <c r="H126" s="39"/>
      <c r="I126" s="39"/>
      <c r="J126" s="40"/>
      <c r="K126" s="37"/>
      <c r="L126" s="37"/>
      <c r="M126" s="37"/>
      <c r="N126" s="37"/>
      <c r="O126" s="37"/>
      <c r="P126" s="41"/>
      <c r="Q126" s="41"/>
      <c r="R126" s="42"/>
      <c r="S126" s="37"/>
      <c r="T126" s="38"/>
      <c r="U126" s="43">
        <f t="shared" si="24"/>
        <v>0</v>
      </c>
      <c r="V126" s="43">
        <f t="shared" si="25"/>
        <v>0</v>
      </c>
      <c r="W126" s="44" t="str">
        <f t="shared" si="26"/>
        <v/>
      </c>
      <c r="X126" s="45" t="str">
        <f t="shared" si="27"/>
        <v/>
      </c>
      <c r="Y126" s="45" t="str">
        <f t="shared" si="28"/>
        <v/>
      </c>
      <c r="Z126" s="45" t="str">
        <f>IF(A126="","",B126&amp;"|"&amp;COUNTIFS($B$6:B126,B126,$A$6:A126,"?*"))</f>
        <v/>
      </c>
      <c r="AA126" s="45" t="str">
        <f t="shared" si="29"/>
        <v/>
      </c>
      <c r="AB126" s="45" t="str">
        <f t="shared" si="30"/>
        <v/>
      </c>
      <c r="AC126" s="45" t="str">
        <f t="shared" si="31"/>
        <v/>
      </c>
    </row>
    <row r="127" spans="1:29" ht="18" customHeight="1" x14ac:dyDescent="0.3">
      <c r="A127" s="35"/>
      <c r="B127" s="36"/>
      <c r="C127" s="37"/>
      <c r="D127" s="37"/>
      <c r="E127" s="37"/>
      <c r="F127" s="36"/>
      <c r="G127" s="38"/>
      <c r="H127" s="39"/>
      <c r="I127" s="39"/>
      <c r="J127" s="40"/>
      <c r="K127" s="37"/>
      <c r="L127" s="37"/>
      <c r="M127" s="37"/>
      <c r="N127" s="37"/>
      <c r="O127" s="37"/>
      <c r="P127" s="41"/>
      <c r="Q127" s="41"/>
      <c r="R127" s="42"/>
      <c r="S127" s="37"/>
      <c r="T127" s="38"/>
      <c r="U127" s="43">
        <f t="shared" si="24"/>
        <v>0</v>
      </c>
      <c r="V127" s="43">
        <f t="shared" si="25"/>
        <v>0</v>
      </c>
      <c r="W127" s="44" t="str">
        <f t="shared" si="26"/>
        <v/>
      </c>
      <c r="X127" s="45" t="str">
        <f t="shared" si="27"/>
        <v/>
      </c>
      <c r="Y127" s="45" t="str">
        <f t="shared" si="28"/>
        <v/>
      </c>
      <c r="Z127" s="45" t="str">
        <f>IF(A127="","",B127&amp;"|"&amp;COUNTIFS($B$6:B127,B127,$A$6:A127,"?*"))</f>
        <v/>
      </c>
      <c r="AA127" s="45" t="str">
        <f t="shared" si="29"/>
        <v/>
      </c>
      <c r="AB127" s="45" t="str">
        <f t="shared" si="30"/>
        <v/>
      </c>
      <c r="AC127" s="45" t="str">
        <f t="shared" si="31"/>
        <v/>
      </c>
    </row>
    <row r="128" spans="1:29" ht="18" customHeight="1" x14ac:dyDescent="0.3">
      <c r="A128" s="35"/>
      <c r="B128" s="36"/>
      <c r="C128" s="37"/>
      <c r="D128" s="37"/>
      <c r="E128" s="37"/>
      <c r="F128" s="36"/>
      <c r="G128" s="38"/>
      <c r="H128" s="39"/>
      <c r="I128" s="39"/>
      <c r="J128" s="40"/>
      <c r="K128" s="37"/>
      <c r="L128" s="37"/>
      <c r="M128" s="37"/>
      <c r="N128" s="37"/>
      <c r="O128" s="37"/>
      <c r="P128" s="41"/>
      <c r="Q128" s="41"/>
      <c r="R128" s="42"/>
      <c r="S128" s="37"/>
      <c r="T128" s="38"/>
      <c r="U128" s="43">
        <f t="shared" si="24"/>
        <v>0</v>
      </c>
      <c r="V128" s="43">
        <f t="shared" si="25"/>
        <v>0</v>
      </c>
      <c r="W128" s="44" t="str">
        <f t="shared" si="26"/>
        <v/>
      </c>
      <c r="X128" s="45" t="str">
        <f t="shared" si="27"/>
        <v/>
      </c>
      <c r="Y128" s="45" t="str">
        <f t="shared" si="28"/>
        <v/>
      </c>
      <c r="Z128" s="45" t="str">
        <f>IF(A128="","",B128&amp;"|"&amp;COUNTIFS($B$6:B128,B128,$A$6:A128,"?*"))</f>
        <v/>
      </c>
      <c r="AA128" s="45" t="str">
        <f t="shared" si="29"/>
        <v/>
      </c>
      <c r="AB128" s="45" t="str">
        <f t="shared" si="30"/>
        <v/>
      </c>
      <c r="AC128" s="45" t="str">
        <f t="shared" si="31"/>
        <v/>
      </c>
    </row>
    <row r="129" spans="1:29" ht="18" customHeight="1" x14ac:dyDescent="0.3">
      <c r="A129" s="35"/>
      <c r="B129" s="36"/>
      <c r="C129" s="37"/>
      <c r="D129" s="37"/>
      <c r="E129" s="37"/>
      <c r="F129" s="36"/>
      <c r="G129" s="38"/>
      <c r="H129" s="39"/>
      <c r="I129" s="39"/>
      <c r="J129" s="40"/>
      <c r="K129" s="37"/>
      <c r="L129" s="37"/>
      <c r="M129" s="37"/>
      <c r="N129" s="37"/>
      <c r="O129" s="37"/>
      <c r="P129" s="41"/>
      <c r="Q129" s="41"/>
      <c r="R129" s="42"/>
      <c r="S129" s="37"/>
      <c r="T129" s="38"/>
      <c r="U129" s="43">
        <f t="shared" si="24"/>
        <v>0</v>
      </c>
      <c r="V129" s="43">
        <f t="shared" si="25"/>
        <v>0</v>
      </c>
      <c r="W129" s="44" t="str">
        <f t="shared" si="26"/>
        <v/>
      </c>
      <c r="X129" s="45" t="str">
        <f t="shared" si="27"/>
        <v/>
      </c>
      <c r="Y129" s="45" t="str">
        <f t="shared" si="28"/>
        <v/>
      </c>
      <c r="Z129" s="45" t="str">
        <f>IF(A129="","",B129&amp;"|"&amp;COUNTIFS($B$6:B129,B129,$A$6:A129,"?*"))</f>
        <v/>
      </c>
      <c r="AA129" s="45" t="str">
        <f t="shared" si="29"/>
        <v/>
      </c>
      <c r="AB129" s="45" t="str">
        <f t="shared" si="30"/>
        <v/>
      </c>
      <c r="AC129" s="45" t="str">
        <f t="shared" si="31"/>
        <v/>
      </c>
    </row>
    <row r="130" spans="1:29" ht="18" customHeight="1" x14ac:dyDescent="0.3">
      <c r="A130" s="35"/>
      <c r="B130" s="36"/>
      <c r="C130" s="37"/>
      <c r="D130" s="37"/>
      <c r="E130" s="37"/>
      <c r="F130" s="36"/>
      <c r="G130" s="38"/>
      <c r="H130" s="39"/>
      <c r="I130" s="39"/>
      <c r="J130" s="40"/>
      <c r="K130" s="37"/>
      <c r="L130" s="37"/>
      <c r="M130" s="37"/>
      <c r="N130" s="37"/>
      <c r="O130" s="37"/>
      <c r="P130" s="41"/>
      <c r="Q130" s="41"/>
      <c r="R130" s="42"/>
      <c r="S130" s="37"/>
      <c r="T130" s="38"/>
      <c r="U130" s="43">
        <f t="shared" si="24"/>
        <v>0</v>
      </c>
      <c r="V130" s="43">
        <f t="shared" si="25"/>
        <v>0</v>
      </c>
      <c r="W130" s="44" t="str">
        <f t="shared" si="26"/>
        <v/>
      </c>
      <c r="X130" s="45" t="str">
        <f t="shared" si="27"/>
        <v/>
      </c>
      <c r="Y130" s="45" t="str">
        <f t="shared" si="28"/>
        <v/>
      </c>
      <c r="Z130" s="45" t="str">
        <f>IF(A130="","",B130&amp;"|"&amp;COUNTIFS($B$6:B130,B130,$A$6:A130,"?*"))</f>
        <v/>
      </c>
      <c r="AA130" s="45" t="str">
        <f t="shared" si="29"/>
        <v/>
      </c>
      <c r="AB130" s="45" t="str">
        <f t="shared" si="30"/>
        <v/>
      </c>
      <c r="AC130" s="45" t="str">
        <f t="shared" si="31"/>
        <v/>
      </c>
    </row>
    <row r="131" spans="1:29" ht="18" customHeight="1" x14ac:dyDescent="0.3">
      <c r="A131" s="35"/>
      <c r="B131" s="36"/>
      <c r="C131" s="37"/>
      <c r="D131" s="37"/>
      <c r="E131" s="37"/>
      <c r="F131" s="36"/>
      <c r="G131" s="38"/>
      <c r="H131" s="39"/>
      <c r="I131" s="39"/>
      <c r="J131" s="40"/>
      <c r="K131" s="37"/>
      <c r="L131" s="37"/>
      <c r="M131" s="37"/>
      <c r="N131" s="37"/>
      <c r="O131" s="37"/>
      <c r="P131" s="41"/>
      <c r="Q131" s="41"/>
      <c r="R131" s="42"/>
      <c r="S131" s="37"/>
      <c r="T131" s="38"/>
      <c r="U131" s="43">
        <f t="shared" si="24"/>
        <v>0</v>
      </c>
      <c r="V131" s="43">
        <f t="shared" si="25"/>
        <v>0</v>
      </c>
      <c r="W131" s="44" t="str">
        <f t="shared" si="26"/>
        <v/>
      </c>
      <c r="X131" s="45" t="str">
        <f t="shared" si="27"/>
        <v/>
      </c>
      <c r="Y131" s="45" t="str">
        <f t="shared" si="28"/>
        <v/>
      </c>
      <c r="Z131" s="45" t="str">
        <f>IF(A131="","",B131&amp;"|"&amp;COUNTIFS($B$6:B131,B131,$A$6:A131,"?*"))</f>
        <v/>
      </c>
      <c r="AA131" s="45" t="str">
        <f t="shared" si="29"/>
        <v/>
      </c>
      <c r="AB131" s="45" t="str">
        <f t="shared" si="30"/>
        <v/>
      </c>
      <c r="AC131" s="45" t="str">
        <f t="shared" si="31"/>
        <v/>
      </c>
    </row>
    <row r="132" spans="1:29" ht="18" customHeight="1" x14ac:dyDescent="0.3">
      <c r="A132" s="35"/>
      <c r="B132" s="36"/>
      <c r="C132" s="37"/>
      <c r="D132" s="37"/>
      <c r="E132" s="37"/>
      <c r="F132" s="36"/>
      <c r="G132" s="38"/>
      <c r="H132" s="39"/>
      <c r="I132" s="39"/>
      <c r="J132" s="40"/>
      <c r="K132" s="37"/>
      <c r="L132" s="37"/>
      <c r="M132" s="37"/>
      <c r="N132" s="37"/>
      <c r="O132" s="37"/>
      <c r="P132" s="41"/>
      <c r="Q132" s="41"/>
      <c r="R132" s="42"/>
      <c r="S132" s="37"/>
      <c r="T132" s="38"/>
      <c r="U132" s="43">
        <f t="shared" si="24"/>
        <v>0</v>
      </c>
      <c r="V132" s="43">
        <f t="shared" si="25"/>
        <v>0</v>
      </c>
      <c r="W132" s="44" t="str">
        <f t="shared" si="26"/>
        <v/>
      </c>
      <c r="X132" s="45" t="str">
        <f t="shared" si="27"/>
        <v/>
      </c>
      <c r="Y132" s="45" t="str">
        <f t="shared" si="28"/>
        <v/>
      </c>
      <c r="Z132" s="45" t="str">
        <f>IF(A132="","",B132&amp;"|"&amp;COUNTIFS($B$6:B132,B132,$A$6:A132,"?*"))</f>
        <v/>
      </c>
      <c r="AA132" s="45" t="str">
        <f t="shared" si="29"/>
        <v/>
      </c>
      <c r="AB132" s="45" t="str">
        <f t="shared" si="30"/>
        <v/>
      </c>
      <c r="AC132" s="45" t="str">
        <f t="shared" si="31"/>
        <v/>
      </c>
    </row>
    <row r="133" spans="1:29" ht="18" customHeight="1" x14ac:dyDescent="0.3">
      <c r="A133" s="35"/>
      <c r="B133" s="36"/>
      <c r="C133" s="37"/>
      <c r="D133" s="37"/>
      <c r="E133" s="37"/>
      <c r="F133" s="36"/>
      <c r="G133" s="38"/>
      <c r="H133" s="39"/>
      <c r="I133" s="39"/>
      <c r="J133" s="40"/>
      <c r="K133" s="37"/>
      <c r="L133" s="37"/>
      <c r="M133" s="37"/>
      <c r="N133" s="37"/>
      <c r="O133" s="37"/>
      <c r="P133" s="41"/>
      <c r="Q133" s="41"/>
      <c r="R133" s="42"/>
      <c r="S133" s="37"/>
      <c r="T133" s="38"/>
      <c r="U133" s="43">
        <f t="shared" si="24"/>
        <v>0</v>
      </c>
      <c r="V133" s="43">
        <f t="shared" si="25"/>
        <v>0</v>
      </c>
      <c r="W133" s="44" t="str">
        <f t="shared" si="26"/>
        <v/>
      </c>
      <c r="X133" s="45" t="str">
        <f t="shared" si="27"/>
        <v/>
      </c>
      <c r="Y133" s="45" t="str">
        <f t="shared" si="28"/>
        <v/>
      </c>
      <c r="Z133" s="45" t="str">
        <f>IF(A133="","",B133&amp;"|"&amp;COUNTIFS($B$6:B133,B133,$A$6:A133,"?*"))</f>
        <v/>
      </c>
      <c r="AA133" s="45" t="str">
        <f t="shared" si="29"/>
        <v/>
      </c>
      <c r="AB133" s="45" t="str">
        <f t="shared" si="30"/>
        <v/>
      </c>
      <c r="AC133" s="45" t="str">
        <f t="shared" si="31"/>
        <v/>
      </c>
    </row>
    <row r="134" spans="1:29" ht="18" customHeight="1" x14ac:dyDescent="0.3">
      <c r="A134" s="35"/>
      <c r="B134" s="36"/>
      <c r="C134" s="37"/>
      <c r="D134" s="37"/>
      <c r="E134" s="37"/>
      <c r="F134" s="36"/>
      <c r="G134" s="38"/>
      <c r="H134" s="39"/>
      <c r="I134" s="39"/>
      <c r="J134" s="40"/>
      <c r="K134" s="37"/>
      <c r="L134" s="37"/>
      <c r="M134" s="37"/>
      <c r="N134" s="37"/>
      <c r="O134" s="37"/>
      <c r="P134" s="41"/>
      <c r="Q134" s="41"/>
      <c r="R134" s="42"/>
      <c r="S134" s="37"/>
      <c r="T134" s="38"/>
      <c r="U134" s="43">
        <f t="shared" ref="U134:U146" si="32">IF(A134="",0,IF(G134="Completed",1,IF(G134="Not Started",0,MIN(0.99,N(J134)))))</f>
        <v>0</v>
      </c>
      <c r="V134" s="43">
        <f t="shared" ref="V134:V146" si="33">IF(OR(A134="",H134="",I134=""),0,MAX(0,MIN(1,(StatusDate-H134+1)/(I134-H134+1))))</f>
        <v>0</v>
      </c>
      <c r="W134" s="44" t="str">
        <f t="shared" ref="W134:W146" si="34">IF(OR(A134="",I134="",G134="Completed"),"",I134-StatusDate)</f>
        <v/>
      </c>
      <c r="X134" s="45" t="str">
        <f t="shared" ref="X134:X146" si="35">IF(A134="","",IF(AND(G134&lt;&gt;"Completed",I134&lt;&gt;"",I134&lt;StatusDate),"OVERDUE",""))</f>
        <v/>
      </c>
      <c r="Y134" s="45" t="str">
        <f t="shared" ref="Y134:Y146" si="36">IF(OR(A134="",K134=""),"",IF(SUMPRODUCT(($A$6:$A$400&lt;&gt;"")*ISNUMBER(SEARCH($A$6:$A$400,K134))*($G$6:$G$400&lt;&gt;"Completed"))=0,"✓ Ready","⏳ "&amp;SUMPRODUCT(($A$6:$A$400&lt;&gt;"")*ISNUMBER(SEARCH($A$6:$A$400,K134))*($G$6:$G$400&lt;&gt;"Completed"))&amp;" open"))</f>
        <v/>
      </c>
      <c r="Z134" s="45" t="str">
        <f>IF(A134="","",B134&amp;"|"&amp;COUNTIFS($B$6:B134,B134,$A$6:A134,"?*"))</f>
        <v/>
      </c>
      <c r="AA134" s="45" t="str">
        <f t="shared" ref="AA134:AA146" si="37">IF(OR(A134="",I134="",G134="Completed"),"",IF(I134&gt;=StatusDate,I134+ROW()/100000,""))</f>
        <v/>
      </c>
      <c r="AB134" s="45" t="str">
        <f t="shared" ref="AB134:AB146" si="38">IF(A134="","",IF(AND(G134&lt;&gt;"Completed",OR(G134="Blocked",AND(TRIM(P134)&lt;&gt;"",P134&lt;&gt;"None"))),ROW(),""))</f>
        <v/>
      </c>
      <c r="AC134" s="45" t="str">
        <f t="shared" ref="AC134:AC146" si="39">IF(A134="","",IF(G134="Completed","Done",IF(G134="Blocked","Blocked",IF(X134="OVERDUE","Overdue",IF(AND(W134&lt;&gt;"",W134&lt;=2),"Due soon",IF(AND(Y134&lt;&gt;"",LEFT(Y134,1)="⏳",G134&lt;&gt;"Not Started"),"Dependency open",IF(AND(S134&lt;&gt;"None",S134&lt;&gt;"",G134&lt;&gt;"Completed"),"External req.","On track")))))))</f>
        <v/>
      </c>
    </row>
    <row r="135" spans="1:29" ht="18" customHeight="1" x14ac:dyDescent="0.3">
      <c r="A135" s="35"/>
      <c r="B135" s="36"/>
      <c r="C135" s="37"/>
      <c r="D135" s="37"/>
      <c r="E135" s="37"/>
      <c r="F135" s="36"/>
      <c r="G135" s="38"/>
      <c r="H135" s="39"/>
      <c r="I135" s="39"/>
      <c r="J135" s="40"/>
      <c r="K135" s="37"/>
      <c r="L135" s="37"/>
      <c r="M135" s="37"/>
      <c r="N135" s="37"/>
      <c r="O135" s="37"/>
      <c r="P135" s="41"/>
      <c r="Q135" s="41"/>
      <c r="R135" s="42"/>
      <c r="S135" s="37"/>
      <c r="T135" s="38"/>
      <c r="U135" s="43">
        <f t="shared" si="32"/>
        <v>0</v>
      </c>
      <c r="V135" s="43">
        <f t="shared" si="33"/>
        <v>0</v>
      </c>
      <c r="W135" s="44" t="str">
        <f t="shared" si="34"/>
        <v/>
      </c>
      <c r="X135" s="45" t="str">
        <f t="shared" si="35"/>
        <v/>
      </c>
      <c r="Y135" s="45" t="str">
        <f t="shared" si="36"/>
        <v/>
      </c>
      <c r="Z135" s="45" t="str">
        <f>IF(A135="","",B135&amp;"|"&amp;COUNTIFS($B$6:B135,B135,$A$6:A135,"?*"))</f>
        <v/>
      </c>
      <c r="AA135" s="45" t="str">
        <f t="shared" si="37"/>
        <v/>
      </c>
      <c r="AB135" s="45" t="str">
        <f t="shared" si="38"/>
        <v/>
      </c>
      <c r="AC135" s="45" t="str">
        <f t="shared" si="39"/>
        <v/>
      </c>
    </row>
    <row r="136" spans="1:29" ht="18" customHeight="1" x14ac:dyDescent="0.3">
      <c r="A136" s="35"/>
      <c r="B136" s="36"/>
      <c r="C136" s="37"/>
      <c r="D136" s="37"/>
      <c r="E136" s="37"/>
      <c r="F136" s="36"/>
      <c r="G136" s="38"/>
      <c r="H136" s="39"/>
      <c r="I136" s="39"/>
      <c r="J136" s="40"/>
      <c r="K136" s="37"/>
      <c r="L136" s="37"/>
      <c r="M136" s="37"/>
      <c r="N136" s="37"/>
      <c r="O136" s="37"/>
      <c r="P136" s="41"/>
      <c r="Q136" s="41"/>
      <c r="R136" s="42"/>
      <c r="S136" s="37"/>
      <c r="T136" s="38"/>
      <c r="U136" s="43">
        <f t="shared" si="32"/>
        <v>0</v>
      </c>
      <c r="V136" s="43">
        <f t="shared" si="33"/>
        <v>0</v>
      </c>
      <c r="W136" s="44" t="str">
        <f t="shared" si="34"/>
        <v/>
      </c>
      <c r="X136" s="45" t="str">
        <f t="shared" si="35"/>
        <v/>
      </c>
      <c r="Y136" s="45" t="str">
        <f t="shared" si="36"/>
        <v/>
      </c>
      <c r="Z136" s="45" t="str">
        <f>IF(A136="","",B136&amp;"|"&amp;COUNTIFS($B$6:B136,B136,$A$6:A136,"?*"))</f>
        <v/>
      </c>
      <c r="AA136" s="45" t="str">
        <f t="shared" si="37"/>
        <v/>
      </c>
      <c r="AB136" s="45" t="str">
        <f t="shared" si="38"/>
        <v/>
      </c>
      <c r="AC136" s="45" t="str">
        <f t="shared" si="39"/>
        <v/>
      </c>
    </row>
    <row r="137" spans="1:29" ht="18" customHeight="1" x14ac:dyDescent="0.3">
      <c r="A137" s="35"/>
      <c r="B137" s="36"/>
      <c r="C137" s="37"/>
      <c r="D137" s="37"/>
      <c r="E137" s="37"/>
      <c r="F137" s="36"/>
      <c r="G137" s="38"/>
      <c r="H137" s="39"/>
      <c r="I137" s="39"/>
      <c r="J137" s="40"/>
      <c r="K137" s="37"/>
      <c r="L137" s="37"/>
      <c r="M137" s="37"/>
      <c r="N137" s="37"/>
      <c r="O137" s="37"/>
      <c r="P137" s="41"/>
      <c r="Q137" s="41"/>
      <c r="R137" s="42"/>
      <c r="S137" s="37"/>
      <c r="T137" s="38"/>
      <c r="U137" s="43">
        <f t="shared" si="32"/>
        <v>0</v>
      </c>
      <c r="V137" s="43">
        <f t="shared" si="33"/>
        <v>0</v>
      </c>
      <c r="W137" s="44" t="str">
        <f t="shared" si="34"/>
        <v/>
      </c>
      <c r="X137" s="45" t="str">
        <f t="shared" si="35"/>
        <v/>
      </c>
      <c r="Y137" s="45" t="str">
        <f t="shared" si="36"/>
        <v/>
      </c>
      <c r="Z137" s="45" t="str">
        <f>IF(A137="","",B137&amp;"|"&amp;COUNTIFS($B$6:B137,B137,$A$6:A137,"?*"))</f>
        <v/>
      </c>
      <c r="AA137" s="45" t="str">
        <f t="shared" si="37"/>
        <v/>
      </c>
      <c r="AB137" s="45" t="str">
        <f t="shared" si="38"/>
        <v/>
      </c>
      <c r="AC137" s="45" t="str">
        <f t="shared" si="39"/>
        <v/>
      </c>
    </row>
    <row r="138" spans="1:29" ht="18" customHeight="1" x14ac:dyDescent="0.3">
      <c r="A138" s="35"/>
      <c r="B138" s="36"/>
      <c r="C138" s="37"/>
      <c r="D138" s="37"/>
      <c r="E138" s="37"/>
      <c r="F138" s="36"/>
      <c r="G138" s="38"/>
      <c r="H138" s="39"/>
      <c r="I138" s="39"/>
      <c r="J138" s="40"/>
      <c r="K138" s="37"/>
      <c r="L138" s="37"/>
      <c r="M138" s="37"/>
      <c r="N138" s="37"/>
      <c r="O138" s="37"/>
      <c r="P138" s="41"/>
      <c r="Q138" s="41"/>
      <c r="R138" s="42"/>
      <c r="S138" s="37"/>
      <c r="T138" s="38"/>
      <c r="U138" s="43">
        <f t="shared" si="32"/>
        <v>0</v>
      </c>
      <c r="V138" s="43">
        <f t="shared" si="33"/>
        <v>0</v>
      </c>
      <c r="W138" s="44" t="str">
        <f t="shared" si="34"/>
        <v/>
      </c>
      <c r="X138" s="45" t="str">
        <f t="shared" si="35"/>
        <v/>
      </c>
      <c r="Y138" s="45" t="str">
        <f t="shared" si="36"/>
        <v/>
      </c>
      <c r="Z138" s="45" t="str">
        <f>IF(A138="","",B138&amp;"|"&amp;COUNTIFS($B$6:B138,B138,$A$6:A138,"?*"))</f>
        <v/>
      </c>
      <c r="AA138" s="45" t="str">
        <f t="shared" si="37"/>
        <v/>
      </c>
      <c r="AB138" s="45" t="str">
        <f t="shared" si="38"/>
        <v/>
      </c>
      <c r="AC138" s="45" t="str">
        <f t="shared" si="39"/>
        <v/>
      </c>
    </row>
    <row r="139" spans="1:29" ht="18" customHeight="1" x14ac:dyDescent="0.3">
      <c r="A139" s="35"/>
      <c r="B139" s="36"/>
      <c r="C139" s="37"/>
      <c r="D139" s="37"/>
      <c r="E139" s="37"/>
      <c r="F139" s="36"/>
      <c r="G139" s="38"/>
      <c r="H139" s="39"/>
      <c r="I139" s="39"/>
      <c r="J139" s="40"/>
      <c r="K139" s="37"/>
      <c r="L139" s="37"/>
      <c r="M139" s="37"/>
      <c r="N139" s="37"/>
      <c r="O139" s="37"/>
      <c r="P139" s="41"/>
      <c r="Q139" s="41"/>
      <c r="R139" s="42"/>
      <c r="S139" s="37"/>
      <c r="T139" s="38"/>
      <c r="U139" s="43">
        <f t="shared" si="32"/>
        <v>0</v>
      </c>
      <c r="V139" s="43">
        <f t="shared" si="33"/>
        <v>0</v>
      </c>
      <c r="W139" s="44" t="str">
        <f t="shared" si="34"/>
        <v/>
      </c>
      <c r="X139" s="45" t="str">
        <f t="shared" si="35"/>
        <v/>
      </c>
      <c r="Y139" s="45" t="str">
        <f t="shared" si="36"/>
        <v/>
      </c>
      <c r="Z139" s="45" t="str">
        <f>IF(A139="","",B139&amp;"|"&amp;COUNTIFS($B$6:B139,B139,$A$6:A139,"?*"))</f>
        <v/>
      </c>
      <c r="AA139" s="45" t="str">
        <f t="shared" si="37"/>
        <v/>
      </c>
      <c r="AB139" s="45" t="str">
        <f t="shared" si="38"/>
        <v/>
      </c>
      <c r="AC139" s="45" t="str">
        <f t="shared" si="39"/>
        <v/>
      </c>
    </row>
    <row r="140" spans="1:29" ht="18" customHeight="1" x14ac:dyDescent="0.3">
      <c r="A140" s="35"/>
      <c r="B140" s="36"/>
      <c r="C140" s="37"/>
      <c r="D140" s="37"/>
      <c r="E140" s="37"/>
      <c r="F140" s="36"/>
      <c r="G140" s="38"/>
      <c r="H140" s="39"/>
      <c r="I140" s="39"/>
      <c r="J140" s="40"/>
      <c r="K140" s="37"/>
      <c r="L140" s="37"/>
      <c r="M140" s="37"/>
      <c r="N140" s="37"/>
      <c r="O140" s="37"/>
      <c r="P140" s="41"/>
      <c r="Q140" s="41"/>
      <c r="R140" s="42"/>
      <c r="S140" s="37"/>
      <c r="T140" s="38"/>
      <c r="U140" s="43">
        <f t="shared" si="32"/>
        <v>0</v>
      </c>
      <c r="V140" s="43">
        <f t="shared" si="33"/>
        <v>0</v>
      </c>
      <c r="W140" s="44" t="str">
        <f t="shared" si="34"/>
        <v/>
      </c>
      <c r="X140" s="45" t="str">
        <f t="shared" si="35"/>
        <v/>
      </c>
      <c r="Y140" s="45" t="str">
        <f t="shared" si="36"/>
        <v/>
      </c>
      <c r="Z140" s="45" t="str">
        <f>IF(A140="","",B140&amp;"|"&amp;COUNTIFS($B$6:B140,B140,$A$6:A140,"?*"))</f>
        <v/>
      </c>
      <c r="AA140" s="45" t="str">
        <f t="shared" si="37"/>
        <v/>
      </c>
      <c r="AB140" s="45" t="str">
        <f t="shared" si="38"/>
        <v/>
      </c>
      <c r="AC140" s="45" t="str">
        <f t="shared" si="39"/>
        <v/>
      </c>
    </row>
    <row r="141" spans="1:29" ht="18" customHeight="1" x14ac:dyDescent="0.3">
      <c r="A141" s="35"/>
      <c r="B141" s="36"/>
      <c r="C141" s="37"/>
      <c r="D141" s="37"/>
      <c r="E141" s="37"/>
      <c r="F141" s="36"/>
      <c r="G141" s="38"/>
      <c r="H141" s="39"/>
      <c r="I141" s="39"/>
      <c r="J141" s="40"/>
      <c r="K141" s="37"/>
      <c r="L141" s="37"/>
      <c r="M141" s="37"/>
      <c r="N141" s="37"/>
      <c r="O141" s="37"/>
      <c r="P141" s="41"/>
      <c r="Q141" s="41"/>
      <c r="R141" s="42"/>
      <c r="S141" s="37"/>
      <c r="T141" s="38"/>
      <c r="U141" s="43">
        <f t="shared" si="32"/>
        <v>0</v>
      </c>
      <c r="V141" s="43">
        <f t="shared" si="33"/>
        <v>0</v>
      </c>
      <c r="W141" s="44" t="str">
        <f t="shared" si="34"/>
        <v/>
      </c>
      <c r="X141" s="45" t="str">
        <f t="shared" si="35"/>
        <v/>
      </c>
      <c r="Y141" s="45" t="str">
        <f t="shared" si="36"/>
        <v/>
      </c>
      <c r="Z141" s="45" t="str">
        <f>IF(A141="","",B141&amp;"|"&amp;COUNTIFS($B$6:B141,B141,$A$6:A141,"?*"))</f>
        <v/>
      </c>
      <c r="AA141" s="45" t="str">
        <f t="shared" si="37"/>
        <v/>
      </c>
      <c r="AB141" s="45" t="str">
        <f t="shared" si="38"/>
        <v/>
      </c>
      <c r="AC141" s="45" t="str">
        <f t="shared" si="39"/>
        <v/>
      </c>
    </row>
    <row r="142" spans="1:29" ht="18" customHeight="1" x14ac:dyDescent="0.3">
      <c r="A142" s="35"/>
      <c r="B142" s="36"/>
      <c r="C142" s="37"/>
      <c r="D142" s="37"/>
      <c r="E142" s="37"/>
      <c r="F142" s="36"/>
      <c r="G142" s="38"/>
      <c r="H142" s="39"/>
      <c r="I142" s="39"/>
      <c r="J142" s="40"/>
      <c r="K142" s="37"/>
      <c r="L142" s="37"/>
      <c r="M142" s="37"/>
      <c r="N142" s="37"/>
      <c r="O142" s="37"/>
      <c r="P142" s="41"/>
      <c r="Q142" s="41"/>
      <c r="R142" s="42"/>
      <c r="S142" s="37"/>
      <c r="T142" s="38"/>
      <c r="U142" s="43">
        <f t="shared" si="32"/>
        <v>0</v>
      </c>
      <c r="V142" s="43">
        <f t="shared" si="33"/>
        <v>0</v>
      </c>
      <c r="W142" s="44" t="str">
        <f t="shared" si="34"/>
        <v/>
      </c>
      <c r="X142" s="45" t="str">
        <f t="shared" si="35"/>
        <v/>
      </c>
      <c r="Y142" s="45" t="str">
        <f t="shared" si="36"/>
        <v/>
      </c>
      <c r="Z142" s="45" t="str">
        <f>IF(A142="","",B142&amp;"|"&amp;COUNTIFS($B$6:B142,B142,$A$6:A142,"?*"))</f>
        <v/>
      </c>
      <c r="AA142" s="45" t="str">
        <f t="shared" si="37"/>
        <v/>
      </c>
      <c r="AB142" s="45" t="str">
        <f t="shared" si="38"/>
        <v/>
      </c>
      <c r="AC142" s="45" t="str">
        <f t="shared" si="39"/>
        <v/>
      </c>
    </row>
    <row r="143" spans="1:29" ht="18" customHeight="1" x14ac:dyDescent="0.3">
      <c r="A143" s="35"/>
      <c r="B143" s="36"/>
      <c r="C143" s="37"/>
      <c r="D143" s="37"/>
      <c r="E143" s="37"/>
      <c r="F143" s="36"/>
      <c r="G143" s="38"/>
      <c r="H143" s="39"/>
      <c r="I143" s="39"/>
      <c r="J143" s="40"/>
      <c r="K143" s="37"/>
      <c r="L143" s="37"/>
      <c r="M143" s="37"/>
      <c r="N143" s="37"/>
      <c r="O143" s="37"/>
      <c r="P143" s="41"/>
      <c r="Q143" s="41"/>
      <c r="R143" s="42"/>
      <c r="S143" s="37"/>
      <c r="T143" s="38"/>
      <c r="U143" s="43">
        <f t="shared" si="32"/>
        <v>0</v>
      </c>
      <c r="V143" s="43">
        <f t="shared" si="33"/>
        <v>0</v>
      </c>
      <c r="W143" s="44" t="str">
        <f t="shared" si="34"/>
        <v/>
      </c>
      <c r="X143" s="45" t="str">
        <f t="shared" si="35"/>
        <v/>
      </c>
      <c r="Y143" s="45" t="str">
        <f t="shared" si="36"/>
        <v/>
      </c>
      <c r="Z143" s="45" t="str">
        <f>IF(A143="","",B143&amp;"|"&amp;COUNTIFS($B$6:B143,B143,$A$6:A143,"?*"))</f>
        <v/>
      </c>
      <c r="AA143" s="45" t="str">
        <f t="shared" si="37"/>
        <v/>
      </c>
      <c r="AB143" s="45" t="str">
        <f t="shared" si="38"/>
        <v/>
      </c>
      <c r="AC143" s="45" t="str">
        <f t="shared" si="39"/>
        <v/>
      </c>
    </row>
    <row r="144" spans="1:29" ht="18" customHeight="1" x14ac:dyDescent="0.3">
      <c r="A144" s="35"/>
      <c r="B144" s="36"/>
      <c r="C144" s="37"/>
      <c r="D144" s="37"/>
      <c r="E144" s="37"/>
      <c r="F144" s="36"/>
      <c r="G144" s="38"/>
      <c r="H144" s="39"/>
      <c r="I144" s="39"/>
      <c r="J144" s="40"/>
      <c r="K144" s="37"/>
      <c r="L144" s="37"/>
      <c r="M144" s="37"/>
      <c r="N144" s="37"/>
      <c r="O144" s="37"/>
      <c r="P144" s="41"/>
      <c r="Q144" s="41"/>
      <c r="R144" s="42"/>
      <c r="S144" s="37"/>
      <c r="T144" s="38"/>
      <c r="U144" s="43">
        <f t="shared" si="32"/>
        <v>0</v>
      </c>
      <c r="V144" s="43">
        <f t="shared" si="33"/>
        <v>0</v>
      </c>
      <c r="W144" s="44" t="str">
        <f t="shared" si="34"/>
        <v/>
      </c>
      <c r="X144" s="45" t="str">
        <f t="shared" si="35"/>
        <v/>
      </c>
      <c r="Y144" s="45" t="str">
        <f t="shared" si="36"/>
        <v/>
      </c>
      <c r="Z144" s="45" t="str">
        <f>IF(A144="","",B144&amp;"|"&amp;COUNTIFS($B$6:B144,B144,$A$6:A144,"?*"))</f>
        <v/>
      </c>
      <c r="AA144" s="45" t="str">
        <f t="shared" si="37"/>
        <v/>
      </c>
      <c r="AB144" s="45" t="str">
        <f t="shared" si="38"/>
        <v/>
      </c>
      <c r="AC144" s="45" t="str">
        <f t="shared" si="39"/>
        <v/>
      </c>
    </row>
    <row r="145" spans="1:29" ht="18" customHeight="1" x14ac:dyDescent="0.3">
      <c r="A145" s="35"/>
      <c r="B145" s="36"/>
      <c r="C145" s="37"/>
      <c r="D145" s="37"/>
      <c r="E145" s="37"/>
      <c r="F145" s="36"/>
      <c r="G145" s="38"/>
      <c r="H145" s="39"/>
      <c r="I145" s="39"/>
      <c r="J145" s="40"/>
      <c r="K145" s="37"/>
      <c r="L145" s="37"/>
      <c r="M145" s="37"/>
      <c r="N145" s="37"/>
      <c r="O145" s="37"/>
      <c r="P145" s="41"/>
      <c r="Q145" s="41"/>
      <c r="R145" s="42"/>
      <c r="S145" s="37"/>
      <c r="T145" s="38"/>
      <c r="U145" s="43">
        <f t="shared" si="32"/>
        <v>0</v>
      </c>
      <c r="V145" s="43">
        <f t="shared" si="33"/>
        <v>0</v>
      </c>
      <c r="W145" s="44" t="str">
        <f t="shared" si="34"/>
        <v/>
      </c>
      <c r="X145" s="45" t="str">
        <f t="shared" si="35"/>
        <v/>
      </c>
      <c r="Y145" s="45" t="str">
        <f t="shared" si="36"/>
        <v/>
      </c>
      <c r="Z145" s="45" t="str">
        <f>IF(A145="","",B145&amp;"|"&amp;COUNTIFS($B$6:B145,B145,$A$6:A145,"?*"))</f>
        <v/>
      </c>
      <c r="AA145" s="45" t="str">
        <f t="shared" si="37"/>
        <v/>
      </c>
      <c r="AB145" s="45" t="str">
        <f t="shared" si="38"/>
        <v/>
      </c>
      <c r="AC145" s="45" t="str">
        <f t="shared" si="39"/>
        <v/>
      </c>
    </row>
    <row r="146" spans="1:29" ht="18" customHeight="1" x14ac:dyDescent="0.3">
      <c r="A146" s="35"/>
      <c r="B146" s="36"/>
      <c r="C146" s="37"/>
      <c r="D146" s="37"/>
      <c r="E146" s="37"/>
      <c r="F146" s="36"/>
      <c r="G146" s="38"/>
      <c r="H146" s="39"/>
      <c r="I146" s="39"/>
      <c r="J146" s="40"/>
      <c r="K146" s="37"/>
      <c r="L146" s="37"/>
      <c r="M146" s="37"/>
      <c r="N146" s="37"/>
      <c r="O146" s="37"/>
      <c r="P146" s="41"/>
      <c r="Q146" s="41"/>
      <c r="R146" s="42"/>
      <c r="S146" s="37"/>
      <c r="T146" s="38"/>
      <c r="U146" s="43">
        <f t="shared" si="32"/>
        <v>0</v>
      </c>
      <c r="V146" s="43">
        <f t="shared" si="33"/>
        <v>0</v>
      </c>
      <c r="W146" s="44" t="str">
        <f t="shared" si="34"/>
        <v/>
      </c>
      <c r="X146" s="45" t="str">
        <f t="shared" si="35"/>
        <v/>
      </c>
      <c r="Y146" s="45" t="str">
        <f t="shared" si="36"/>
        <v/>
      </c>
      <c r="Z146" s="45" t="str">
        <f>IF(A146="","",B146&amp;"|"&amp;COUNTIFS($B$6:B146,B146,$A$6:A146,"?*"))</f>
        <v/>
      </c>
      <c r="AA146" s="45" t="str">
        <f t="shared" si="37"/>
        <v/>
      </c>
      <c r="AB146" s="45" t="str">
        <f t="shared" si="38"/>
        <v/>
      </c>
      <c r="AC146" s="45" t="str">
        <f t="shared" si="39"/>
        <v/>
      </c>
    </row>
  </sheetData>
  <mergeCells count="2">
    <mergeCell ref="A2:AC2"/>
    <mergeCell ref="A1:AC1"/>
  </mergeCells>
  <conditionalFormatting sqref="A6:T146">
    <cfRule type="expression" dxfId="175" priority="1" stopIfTrue="1">
      <formula>$X6="OVERDUE"</formula>
    </cfRule>
    <cfRule type="expression" dxfId="174" priority="2">
      <formula>$G6="Blocked"</formula>
    </cfRule>
    <cfRule type="expression" dxfId="173" priority="3">
      <formula>$G6="Completed"</formula>
    </cfRule>
    <cfRule type="expression" dxfId="172" priority="4">
      <formula>$G6="In Progress"</formula>
    </cfRule>
    <cfRule type="expression" dxfId="171" priority="5">
      <formula>$G6="Testing"</formula>
    </cfRule>
    <cfRule type="expression" dxfId="170" priority="6">
      <formula>$G6="In Review"</formula>
    </cfRule>
  </conditionalFormatting>
  <conditionalFormatting sqref="F6:F146">
    <cfRule type="expression" dxfId="169" priority="16">
      <formula>$F6="P0"</formula>
    </cfRule>
    <cfRule type="expression" dxfId="168" priority="17">
      <formula>$F6="P1"</formula>
    </cfRule>
    <cfRule type="expression" dxfId="167" priority="18">
      <formula>$F6="P2"</formula>
    </cfRule>
  </conditionalFormatting>
  <conditionalFormatting sqref="G6:G146">
    <cfRule type="expression" dxfId="166" priority="7">
      <formula>$G6="Completed"</formula>
    </cfRule>
    <cfRule type="expression" dxfId="165" priority="8">
      <formula>$G6="In Progress"</formula>
    </cfRule>
    <cfRule type="expression" dxfId="164" priority="9">
      <formula>$G6="Testing"</formula>
    </cfRule>
    <cfRule type="expression" dxfId="163" priority="10">
      <formula>$G6="In Review"</formula>
    </cfRule>
    <cfRule type="expression" dxfId="162" priority="11">
      <formula>$G6="Blocked"</formula>
    </cfRule>
    <cfRule type="expression" dxfId="161" priority="12">
      <formula>$G6="Not Started"</formula>
    </cfRule>
  </conditionalFormatting>
  <conditionalFormatting sqref="I6:I146">
    <cfRule type="expression" dxfId="160" priority="13">
      <formula>$X6="OVERDUE"</formula>
    </cfRule>
  </conditionalFormatting>
  <conditionalFormatting sqref="J6:J146">
    <cfRule type="dataBar" priority="28">
      <dataBar>
        <cfvo type="num" val="0"/>
        <cfvo type="num" val="1"/>
        <color rgb="FF10B981"/>
      </dataBar>
    </cfRule>
  </conditionalFormatting>
  <conditionalFormatting sqref="R6:R146">
    <cfRule type="expression" dxfId="159" priority="15">
      <formula>AND($G6="Completed",$R6="")</formula>
    </cfRule>
  </conditionalFormatting>
  <conditionalFormatting sqref="S6:S146">
    <cfRule type="expression" dxfId="158" priority="19">
      <formula>AND($S6&lt;&gt;"None",$S6&lt;&gt;"",$G6&lt;&gt;"Completed")</formula>
    </cfRule>
  </conditionalFormatting>
  <conditionalFormatting sqref="X6:X146">
    <cfRule type="expression" dxfId="157" priority="14">
      <formula>$X6="OVERDUE"</formula>
    </cfRule>
  </conditionalFormatting>
  <conditionalFormatting sqref="Y6:Y146">
    <cfRule type="expression" dxfId="156" priority="20">
      <formula>LEFT($Y6,1)="⏳"</formula>
    </cfRule>
  </conditionalFormatting>
  <conditionalFormatting sqref="AC6:AC146">
    <cfRule type="expression" dxfId="155" priority="21">
      <formula>$AC6="Overdue"</formula>
    </cfRule>
    <cfRule type="expression" dxfId="154" priority="22">
      <formula>$AC6="Blocked"</formula>
    </cfRule>
    <cfRule type="expression" dxfId="153" priority="23">
      <formula>$AC6="Due soon"</formula>
    </cfRule>
    <cfRule type="expression" dxfId="152" priority="24">
      <formula>$AC6="Dependency open"</formula>
    </cfRule>
    <cfRule type="expression" dxfId="151" priority="25">
      <formula>$AC6="External req."</formula>
    </cfRule>
    <cfRule type="expression" dxfId="150" priority="26">
      <formula>$AC6="Done"</formula>
    </cfRule>
    <cfRule type="expression" dxfId="149" priority="27">
      <formula>$AC6="On track"</formula>
    </cfRule>
  </conditionalFormatting>
  <dataValidations count="1">
    <dataValidation type="list" errorStyle="information" allowBlank="1" showErrorMessage="1" errorTitle="Custom value" error="This value is not in the list — click OK to keep it." sqref="K6:K146" xr:uid="{00000000-0002-0000-0100-00000A000000}">
      <formula1>$A$6:$A$400</formula1>
    </dataValidation>
  </dataValidations>
  <hyperlinks>
    <hyperlink ref="G3" location="'Executive Dashboard'!A1" display="← Dashboard" xr:uid="{00000000-0004-0000-0100-000000000000}"/>
    <hyperlink ref="I3" r:id="rId1" xr:uid="{00000000-0004-0000-0100-000001000000}"/>
    <hyperlink ref="K3" r:id="rId2" xr:uid="{00000000-0004-0000-0100-000002000000}"/>
  </hyperlinks>
  <pageMargins left="0.75" right="0.75" top="1" bottom="1" header="0.5" footer="0.5"/>
  <pageSetup fitToHeight="0" orientation="landscape"/>
  <tableParts count="1">
    <tablePart r:id="rId3"/>
  </tableParts>
  <extLst>
    <ext xmlns:x14="http://schemas.microsoft.com/office/spreadsheetml/2009/9/main" uri="{CCE6A557-97BC-4b89-ADB6-D9C93CAAB3DF}">
      <x14:dataValidations xmlns:xm="http://schemas.microsoft.com/office/excel/2006/main" count="11">
        <x14:dataValidation type="list" allowBlank="1" showErrorMessage="1" errorTitle="Invalid value" error="Please choose a value from the dropdown list." xr:uid="{00000000-0002-0000-0100-000000000000}">
          <x14:formula1>
            <xm:f>Lists!$A$2:$A$7</xm:f>
          </x14:formula1>
          <xm:sqref>G6:G146</xm:sqref>
        </x14:dataValidation>
        <x14:dataValidation type="list" allowBlank="1" showErrorMessage="1" errorTitle="Invalid value" error="Please choose a value from the dropdown list." xr:uid="{00000000-0002-0000-0100-000001000000}">
          <x14:formula1>
            <xm:f>Lists!$B$2:$B$4</xm:f>
          </x14:formula1>
          <xm:sqref>F6:F146</xm:sqref>
        </x14:dataValidation>
        <x14:dataValidation type="list" allowBlank="1" showErrorMessage="1" errorTitle="Invalid value" error="Please choose a value from the dropdown list." xr:uid="{00000000-0002-0000-0100-000002000000}">
          <x14:formula1>
            <xm:f>Lists!$C$2:$C$5</xm:f>
          </x14:formula1>
          <xm:sqref>L6:L146</xm:sqref>
        </x14:dataValidation>
        <x14:dataValidation type="list" allowBlank="1" showErrorMessage="1" errorTitle="Invalid value" error="Please choose a value from the dropdown list." xr:uid="{00000000-0002-0000-0100-000003000000}">
          <x14:formula1>
            <xm:f>Lists!$D$2:$D$7</xm:f>
          </x14:formula1>
          <xm:sqref>B6:B146</xm:sqref>
        </x14:dataValidation>
        <x14:dataValidation type="list" allowBlank="1" showErrorMessage="1" errorTitle="Invalid value" error="Please choose a value from the dropdown list." xr:uid="{00000000-0002-0000-0100-000004000000}">
          <x14:formula1>
            <xm:f>Lists!$E$2:$E$7</xm:f>
          </x14:formula1>
          <xm:sqref>S6:S146</xm:sqref>
        </x14:dataValidation>
        <x14:dataValidation type="list" allowBlank="1" showErrorMessage="1" errorTitle="Invalid value" error="Please choose a value from the dropdown list." xr:uid="{00000000-0002-0000-0100-000005000000}">
          <x14:formula1>
            <xm:f>Lists!$F$2:$F$6</xm:f>
          </x14:formula1>
          <xm:sqref>T6:T146</xm:sqref>
        </x14:dataValidation>
        <x14:dataValidation type="list" allowBlank="1" showErrorMessage="1" errorTitle="Invalid value" error="Please choose a value from the dropdown list." xr:uid="{00000000-0002-0000-0100-000006000000}">
          <x14:formula1>
            <xm:f>Lists!$O$2:$O$12</xm:f>
          </x14:formula1>
          <xm:sqref>J6:J146</xm:sqref>
        </x14:dataValidation>
        <x14:dataValidation type="list" errorStyle="information" allowBlank="1" showErrorMessage="1" errorTitle="Custom value" error="This value is not in the list — click OK to keep it." xr:uid="{00000000-0002-0000-0100-000007000000}">
          <x14:formula1>
            <xm:f>Lists!$P$2:$P$72</xm:f>
          </x14:formula1>
          <xm:sqref>C6:C146</xm:sqref>
        </x14:dataValidation>
        <x14:dataValidation type="list" errorStyle="information" allowBlank="1" showErrorMessage="1" errorTitle="Custom value" error="This value is not in the list — click OK to keep it." xr:uid="{00000000-0002-0000-0100-000008000000}">
          <x14:formula1>
            <xm:f>Lists!$S$2:$S$62</xm:f>
          </x14:formula1>
          <xm:sqref>H6:I146 R6:R146</xm:sqref>
        </x14:dataValidation>
        <x14:dataValidation type="list" errorStyle="information" allowBlank="1" showErrorMessage="1" errorTitle="Custom value" error="This value is not in the list — click OK to keep it." xr:uid="{00000000-0002-0000-0100-00000B000000}">
          <x14:formula1>
            <xm:f>Lists!$Q$2:$Q$12</xm:f>
          </x14:formula1>
          <xm:sqref>P6:P146</xm:sqref>
        </x14:dataValidation>
        <x14:dataValidation type="list" errorStyle="information" allowBlank="1" showErrorMessage="1" errorTitle="Custom value" error="This value is not in the list — click OK to keep it." xr:uid="{00000000-0002-0000-0100-00000C000000}">
          <x14:formula1>
            <xm:f>Lists!$R$2:$R$8</xm:f>
          </x14:formula1>
          <xm:sqref>Q6:Q146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34155"/>
    <pageSetUpPr fitToPage="1"/>
  </sheetPr>
  <dimension ref="A1:S65"/>
  <sheetViews>
    <sheetView showGridLines="0" zoomScale="90" workbookViewId="0">
      <pane ySplit="3" topLeftCell="A36" activePane="bottomLeft" state="frozen"/>
      <selection pane="bottomLeft" activeCell="F41" sqref="F41"/>
    </sheetView>
  </sheetViews>
  <sheetFormatPr defaultRowHeight="14.4" x14ac:dyDescent="0.3"/>
  <cols>
    <col min="1" max="1" width="5" customWidth="1"/>
    <col min="2" max="2" width="9" customWidth="1"/>
    <col min="3" max="3" width="15" customWidth="1"/>
    <col min="4" max="4" width="32" customWidth="1"/>
    <col min="5" max="5" width="8" customWidth="1"/>
    <col min="6" max="6" width="12" customWidth="1"/>
    <col min="7" max="9" width="10" customWidth="1"/>
    <col min="10" max="10" width="16" customWidth="1"/>
    <col min="11" max="11" width="12" customWidth="1"/>
    <col min="12" max="12" width="30" customWidth="1"/>
    <col min="13" max="14" width="38" customWidth="1"/>
    <col min="15" max="15" width="10" customWidth="1"/>
    <col min="16" max="16" width="13" customWidth="1"/>
    <col min="17" max="18" width="12" customWidth="1"/>
    <col min="19" max="19" width="4" hidden="1" customWidth="1"/>
  </cols>
  <sheetData>
    <row r="1" spans="1:18" ht="34.049999999999997" customHeight="1" x14ac:dyDescent="0.3">
      <c r="A1" s="111" t="s">
        <v>887</v>
      </c>
      <c r="B1" s="112"/>
      <c r="C1" s="112"/>
      <c r="D1" s="112"/>
      <c r="E1" s="112"/>
      <c r="F1" s="112"/>
      <c r="G1" s="112"/>
      <c r="H1" s="112"/>
      <c r="I1" s="112"/>
      <c r="J1" s="112"/>
      <c r="K1" s="112"/>
      <c r="L1" s="112"/>
      <c r="M1" s="112"/>
      <c r="N1" s="112"/>
      <c r="O1" s="112"/>
      <c r="P1" s="112"/>
      <c r="Q1" s="112"/>
      <c r="R1" s="112"/>
    </row>
    <row r="2" spans="1:18" ht="19.95" customHeight="1" x14ac:dyDescent="0.3">
      <c r="A2" s="79" t="s">
        <v>888</v>
      </c>
      <c r="B2" s="80"/>
      <c r="C2" s="80"/>
      <c r="D2" s="80"/>
      <c r="E2" s="80"/>
      <c r="F2" s="80"/>
      <c r="G2" s="80"/>
      <c r="H2" s="80"/>
      <c r="I2" s="80"/>
      <c r="J2" s="80"/>
      <c r="K2" s="80"/>
      <c r="L2" s="80"/>
      <c r="M2" s="80"/>
      <c r="N2" s="80"/>
      <c r="O2" s="80"/>
      <c r="P2" s="80"/>
      <c r="Q2" s="80"/>
      <c r="R2" s="80"/>
    </row>
    <row r="3" spans="1:18" x14ac:dyDescent="0.3">
      <c r="A3" s="131" t="s">
        <v>109</v>
      </c>
      <c r="B3" s="86"/>
      <c r="C3" s="86"/>
      <c r="D3" s="33" t="s">
        <v>889</v>
      </c>
      <c r="F3" s="3" t="s">
        <v>110</v>
      </c>
    </row>
    <row r="5" spans="1:18" x14ac:dyDescent="0.3">
      <c r="A5" s="129" t="s">
        <v>890</v>
      </c>
      <c r="B5" s="130"/>
      <c r="C5" s="130"/>
      <c r="D5" s="46" t="s">
        <v>891</v>
      </c>
      <c r="E5" s="129" t="s">
        <v>892</v>
      </c>
      <c r="F5" s="130"/>
      <c r="G5" s="46" t="s">
        <v>893</v>
      </c>
      <c r="H5" s="129" t="s">
        <v>35</v>
      </c>
      <c r="I5" s="130"/>
      <c r="J5" s="129" t="s">
        <v>38</v>
      </c>
      <c r="K5" s="130"/>
      <c r="L5" s="46" t="s">
        <v>39</v>
      </c>
      <c r="M5" s="46" t="s">
        <v>894</v>
      </c>
      <c r="N5" s="46" t="s">
        <v>40</v>
      </c>
      <c r="O5" s="46" t="s">
        <v>895</v>
      </c>
      <c r="P5" s="134" t="s">
        <v>896</v>
      </c>
      <c r="Q5" s="86"/>
      <c r="R5" s="86"/>
    </row>
    <row r="6" spans="1:18" ht="31.95" customHeight="1" x14ac:dyDescent="0.3">
      <c r="A6" s="136">
        <f>IFERROR(SUMPRODUCT(('Master Tracker'!$B$6:$B$400="Phase 1")*'Master Tracker'!$U$6:$U$400)/COUNTIFS('Master Tracker'!$B$6:$B$400,"Phase 1",'Master Tracker'!$A$6:$A$400,"?*"),0)</f>
        <v>0.11764705882352941</v>
      </c>
      <c r="B6" s="133"/>
      <c r="C6" s="133"/>
      <c r="D6" s="47">
        <f ca="1">IFERROR(SUMPRODUCT(('Master Tracker'!$B$6:$B$400="Phase 1")*'Master Tracker'!$V$6:$V$400)/COUNTIFS('Master Tracker'!$B$6:$B$400,"Phase 1",'Master Tracker'!$A$6:$A$400,"?*"),0)</f>
        <v>0</v>
      </c>
      <c r="E6" s="132">
        <f>COUNTIFS('Master Tracker'!$B$6:$B$400,"Phase 1",'Master Tracker'!$A$6:$A$400,"?*")</f>
        <v>17</v>
      </c>
      <c r="F6" s="133"/>
      <c r="G6" s="48">
        <f>COUNTIFS('Master Tracker'!$B$6:$B$400,"Phase 1",'Master Tracker'!$G$6:$G$400,"Completed")</f>
        <v>2</v>
      </c>
      <c r="H6" s="132">
        <f>COUNTIFS('Master Tracker'!$B$6:$B$400,"Phase 1",'Master Tracker'!$G$6:$G$400,"In Progress")</f>
        <v>0</v>
      </c>
      <c r="I6" s="133"/>
      <c r="J6" s="132">
        <f>COUNTIFS('Master Tracker'!$B$6:$B$400,"Phase 1",'Master Tracker'!$G$6:$G$400,"Blocked")</f>
        <v>0</v>
      </c>
      <c r="K6" s="133"/>
      <c r="L6" s="48">
        <f ca="1">COUNTIFS('Master Tracker'!$B$6:$B$400,"Phase 1",'Master Tracker'!$X$6:$X$400,"OVERDUE")</f>
        <v>0</v>
      </c>
      <c r="M6" s="48">
        <f>COUNTIFS('Master Tracker'!$B$6:$B$400,"Phase 1",'Master Tracker'!$G$6:$G$400,"In Review")+COUNTIFS('Master Tracker'!$B$6:$B$400,"Phase 1",'Master Tracker'!$G$6:$G$400,"Testing")</f>
        <v>0</v>
      </c>
      <c r="N6" s="48">
        <f>COUNTIFS('Master Tracker'!$B$6:$B$400,"Phase 1",'Master Tracker'!$F$6:$F$400,"P0",'Master Tracker'!$G$6:$G$400,"&lt;&gt;Completed",'Master Tracker'!$A$6:$A$400,"?*")</f>
        <v>12</v>
      </c>
      <c r="O6" s="49">
        <f>_xlfn.MAXIFS('Master Tracker'!$I$6:$I$400,'Master Tracker'!$B$6:$B$400,"Phase 1")</f>
        <v>46309</v>
      </c>
      <c r="P6" s="137" t="str">
        <f ca="1">IF(E6=0,"—",IF(G6=E6,"Complete",IF(J6&gt;0,"Blocked",IF(L6&gt;0,"Behind",IF(A6+0.1&lt;D6,"Behind",IF(A6&gt;0,"On Track","Not Started"))))))</f>
        <v>On Track</v>
      </c>
      <c r="Q6" s="86"/>
      <c r="R6" s="86"/>
    </row>
    <row r="7" spans="1:18" ht="22.05" customHeight="1" x14ac:dyDescent="0.3">
      <c r="A7" s="127" t="str">
        <f ca="1">"Progress  "&amp;REPT("█",ROUND(A6*50,0))&amp;REPT("░",50-ROUND(A6*50,0))&amp;"  "&amp;TEXT(A6,"0%")&amp;"  (planned "&amp;TEXT(D6,"0%")&amp;")"</f>
        <v>Progress  ██████░░░░░░░░░░░░░░░░░░░░░░░░░░░░░░░░░░░░░░░░░░░░  12%  (planned 0%)</v>
      </c>
      <c r="B7" s="86"/>
      <c r="C7" s="86"/>
      <c r="D7" s="86"/>
      <c r="E7" s="86"/>
      <c r="F7" s="86"/>
      <c r="G7" s="86"/>
      <c r="H7" s="86"/>
      <c r="I7" s="86"/>
      <c r="J7" s="86"/>
      <c r="K7" s="86"/>
      <c r="L7" s="86"/>
      <c r="M7" s="86"/>
      <c r="N7" s="86"/>
      <c r="O7" s="86"/>
      <c r="P7" s="86"/>
      <c r="Q7" s="86"/>
      <c r="R7" s="86"/>
    </row>
    <row r="9" spans="1:18" ht="22.05" customHeight="1" x14ac:dyDescent="0.3">
      <c r="A9" s="71" t="s">
        <v>897</v>
      </c>
      <c r="B9" s="72"/>
      <c r="C9" s="72"/>
      <c r="D9" s="72"/>
      <c r="E9" s="72"/>
      <c r="F9" s="72"/>
      <c r="G9" s="72"/>
      <c r="H9" s="72"/>
      <c r="I9" s="72"/>
      <c r="J9" s="72"/>
      <c r="K9" s="72"/>
      <c r="L9" s="72"/>
      <c r="M9" s="72"/>
      <c r="N9" s="72"/>
      <c r="O9" s="72"/>
      <c r="P9" s="72"/>
      <c r="Q9" s="72"/>
      <c r="R9" s="72"/>
    </row>
    <row r="10" spans="1:18" ht="46.05" customHeight="1" x14ac:dyDescent="0.3">
      <c r="A10" s="135" t="s">
        <v>898</v>
      </c>
      <c r="B10" s="86"/>
      <c r="C10" s="86"/>
      <c r="D10" s="86"/>
      <c r="E10" s="86"/>
      <c r="F10" s="86"/>
      <c r="G10" s="86"/>
      <c r="H10" s="86"/>
      <c r="I10" s="86"/>
      <c r="J10" s="86"/>
      <c r="K10" s="86"/>
      <c r="L10" s="86"/>
      <c r="M10" s="86"/>
      <c r="N10" s="86"/>
      <c r="O10" s="86"/>
      <c r="P10" s="86"/>
      <c r="Q10" s="86"/>
      <c r="R10" s="86"/>
    </row>
    <row r="12" spans="1:18" ht="22.05" customHeight="1" x14ac:dyDescent="0.3">
      <c r="A12" s="71" t="s">
        <v>899</v>
      </c>
      <c r="B12" s="72"/>
      <c r="C12" s="72"/>
      <c r="D12" s="72"/>
      <c r="E12" s="72"/>
      <c r="F12" s="72"/>
      <c r="G12" s="72"/>
      <c r="H12" s="72"/>
      <c r="J12" s="71" t="s">
        <v>900</v>
      </c>
      <c r="K12" s="72"/>
      <c r="L12" s="72"/>
      <c r="M12" s="72"/>
      <c r="N12" s="72"/>
      <c r="O12" s="72"/>
      <c r="P12" s="72"/>
      <c r="Q12" s="72"/>
      <c r="R12" s="72"/>
    </row>
    <row r="13" spans="1:18" x14ac:dyDescent="0.3">
      <c r="A13" s="128" t="s">
        <v>901</v>
      </c>
      <c r="B13" s="86"/>
      <c r="C13" s="86"/>
      <c r="D13" s="86"/>
      <c r="E13" s="86"/>
      <c r="F13" s="86"/>
      <c r="G13" s="86"/>
      <c r="H13" s="86"/>
      <c r="J13" s="128" t="s">
        <v>902</v>
      </c>
      <c r="K13" s="86"/>
      <c r="L13" s="86"/>
      <c r="M13" s="86"/>
      <c r="N13" s="86"/>
      <c r="O13" s="86"/>
      <c r="P13" s="86"/>
      <c r="Q13" s="86"/>
      <c r="R13" s="86"/>
    </row>
    <row r="14" spans="1:18" x14ac:dyDescent="0.3">
      <c r="A14" s="126" t="s">
        <v>903</v>
      </c>
      <c r="B14" s="86"/>
      <c r="C14" s="86"/>
      <c r="D14" s="86"/>
      <c r="E14" s="86"/>
      <c r="F14" s="86"/>
      <c r="G14" s="86"/>
      <c r="H14" s="86"/>
      <c r="J14" s="126" t="s">
        <v>904</v>
      </c>
      <c r="K14" s="86"/>
      <c r="L14" s="86"/>
      <c r="M14" s="86"/>
      <c r="N14" s="86"/>
      <c r="O14" s="86"/>
      <c r="P14" s="86"/>
      <c r="Q14" s="86"/>
      <c r="R14" s="86"/>
    </row>
    <row r="15" spans="1:18" x14ac:dyDescent="0.3">
      <c r="A15" s="128" t="s">
        <v>905</v>
      </c>
      <c r="B15" s="86"/>
      <c r="C15" s="86"/>
      <c r="D15" s="86"/>
      <c r="E15" s="86"/>
      <c r="F15" s="86"/>
      <c r="G15" s="86"/>
      <c r="H15" s="86"/>
      <c r="J15" s="128" t="s">
        <v>906</v>
      </c>
      <c r="K15" s="86"/>
      <c r="L15" s="86"/>
      <c r="M15" s="86"/>
      <c r="N15" s="86"/>
      <c r="O15" s="86"/>
      <c r="P15" s="86"/>
      <c r="Q15" s="86"/>
      <c r="R15" s="86"/>
    </row>
    <row r="16" spans="1:18" x14ac:dyDescent="0.3">
      <c r="A16" s="126" t="s">
        <v>907</v>
      </c>
      <c r="B16" s="86"/>
      <c r="C16" s="86"/>
      <c r="D16" s="86"/>
      <c r="E16" s="86"/>
      <c r="F16" s="86"/>
      <c r="G16" s="86"/>
      <c r="H16" s="86"/>
      <c r="J16" s="126" t="s">
        <v>908</v>
      </c>
      <c r="K16" s="86"/>
      <c r="L16" s="86"/>
      <c r="M16" s="86"/>
      <c r="N16" s="86"/>
      <c r="O16" s="86"/>
      <c r="P16" s="86"/>
      <c r="Q16" s="86"/>
      <c r="R16" s="86"/>
    </row>
    <row r="17" spans="1:18" x14ac:dyDescent="0.3">
      <c r="A17" s="128" t="s">
        <v>909</v>
      </c>
      <c r="B17" s="86"/>
      <c r="C17" s="86"/>
      <c r="D17" s="86"/>
      <c r="E17" s="86"/>
      <c r="F17" s="86"/>
      <c r="G17" s="86"/>
      <c r="H17" s="86"/>
      <c r="J17" s="128" t="s">
        <v>910</v>
      </c>
      <c r="K17" s="86"/>
      <c r="L17" s="86"/>
      <c r="M17" s="86"/>
      <c r="N17" s="86"/>
      <c r="O17" s="86"/>
      <c r="P17" s="86"/>
      <c r="Q17" s="86"/>
      <c r="R17" s="86"/>
    </row>
    <row r="18" spans="1:18" x14ac:dyDescent="0.3">
      <c r="A18" s="126" t="s">
        <v>911</v>
      </c>
      <c r="B18" s="86"/>
      <c r="C18" s="86"/>
      <c r="D18" s="86"/>
      <c r="E18" s="86"/>
      <c r="F18" s="86"/>
      <c r="G18" s="86"/>
      <c r="H18" s="86"/>
      <c r="J18" s="126" t="s">
        <v>912</v>
      </c>
      <c r="K18" s="86"/>
      <c r="L18" s="86"/>
      <c r="M18" s="86"/>
      <c r="N18" s="86"/>
      <c r="O18" s="86"/>
      <c r="P18" s="86"/>
      <c r="Q18" s="86"/>
      <c r="R18" s="86"/>
    </row>
    <row r="19" spans="1:18" x14ac:dyDescent="0.3">
      <c r="A19" s="128" t="s">
        <v>913</v>
      </c>
      <c r="B19" s="86"/>
      <c r="C19" s="86"/>
      <c r="D19" s="86"/>
      <c r="E19" s="86"/>
      <c r="F19" s="86"/>
      <c r="G19" s="86"/>
      <c r="H19" s="86"/>
      <c r="J19" s="128" t="s">
        <v>914</v>
      </c>
      <c r="K19" s="86"/>
      <c r="L19" s="86"/>
      <c r="M19" s="86"/>
      <c r="N19" s="86"/>
      <c r="O19" s="86"/>
      <c r="P19" s="86"/>
      <c r="Q19" s="86"/>
      <c r="R19" s="86"/>
    </row>
    <row r="20" spans="1:18" x14ac:dyDescent="0.3">
      <c r="A20" s="126" t="s">
        <v>915</v>
      </c>
      <c r="B20" s="86"/>
      <c r="C20" s="86"/>
      <c r="D20" s="86"/>
      <c r="E20" s="86"/>
      <c r="F20" s="86"/>
      <c r="G20" s="86"/>
      <c r="H20" s="86"/>
      <c r="J20" s="126" t="s">
        <v>916</v>
      </c>
      <c r="K20" s="86"/>
      <c r="L20" s="86"/>
      <c r="M20" s="86"/>
      <c r="N20" s="86"/>
      <c r="O20" s="86"/>
      <c r="P20" s="86"/>
      <c r="Q20" s="86"/>
      <c r="R20" s="86"/>
    </row>
    <row r="21" spans="1:18" x14ac:dyDescent="0.3">
      <c r="A21" s="128"/>
      <c r="B21" s="86"/>
      <c r="C21" s="86"/>
      <c r="D21" s="86"/>
      <c r="E21" s="86"/>
      <c r="F21" s="86"/>
      <c r="G21" s="86"/>
      <c r="H21" s="86"/>
      <c r="J21" s="128" t="s">
        <v>917</v>
      </c>
      <c r="K21" s="86"/>
      <c r="L21" s="86"/>
      <c r="M21" s="86"/>
      <c r="N21" s="86"/>
      <c r="O21" s="86"/>
      <c r="P21" s="86"/>
      <c r="Q21" s="86"/>
      <c r="R21" s="86"/>
    </row>
    <row r="22" spans="1:18" x14ac:dyDescent="0.3">
      <c r="A22" s="126"/>
      <c r="B22" s="86"/>
      <c r="C22" s="86"/>
      <c r="D22" s="86"/>
      <c r="E22" s="86"/>
      <c r="F22" s="86"/>
      <c r="G22" s="86"/>
      <c r="H22" s="86"/>
      <c r="J22" s="126" t="s">
        <v>918</v>
      </c>
      <c r="K22" s="86"/>
      <c r="L22" s="86"/>
      <c r="M22" s="86"/>
      <c r="N22" s="86"/>
      <c r="O22" s="86"/>
      <c r="P22" s="86"/>
      <c r="Q22" s="86"/>
      <c r="R22" s="86"/>
    </row>
    <row r="23" spans="1:18" x14ac:dyDescent="0.3">
      <c r="A23" s="128"/>
      <c r="B23" s="86"/>
      <c r="C23" s="86"/>
      <c r="D23" s="86"/>
      <c r="E23" s="86"/>
      <c r="F23" s="86"/>
      <c r="G23" s="86"/>
      <c r="H23" s="86"/>
      <c r="J23" s="128" t="s">
        <v>919</v>
      </c>
      <c r="K23" s="86"/>
      <c r="L23" s="86"/>
      <c r="M23" s="86"/>
      <c r="N23" s="86"/>
      <c r="O23" s="86"/>
      <c r="P23" s="86"/>
      <c r="Q23" s="86"/>
      <c r="R23" s="86"/>
    </row>
    <row r="24" spans="1:18" x14ac:dyDescent="0.3">
      <c r="A24" s="126"/>
      <c r="B24" s="86"/>
      <c r="C24" s="86"/>
      <c r="D24" s="86"/>
      <c r="E24" s="86"/>
      <c r="F24" s="86"/>
      <c r="G24" s="86"/>
      <c r="H24" s="86"/>
      <c r="J24" s="126" t="s">
        <v>920</v>
      </c>
      <c r="K24" s="86"/>
      <c r="L24" s="86"/>
      <c r="M24" s="86"/>
      <c r="N24" s="86"/>
      <c r="O24" s="86"/>
      <c r="P24" s="86"/>
      <c r="Q24" s="86"/>
      <c r="R24" s="86"/>
    </row>
    <row r="25" spans="1:18" x14ac:dyDescent="0.3">
      <c r="A25" s="128"/>
      <c r="B25" s="86"/>
      <c r="C25" s="86"/>
      <c r="D25" s="86"/>
      <c r="E25" s="86"/>
      <c r="F25" s="86"/>
      <c r="G25" s="86"/>
      <c r="H25" s="86"/>
      <c r="J25" s="128" t="s">
        <v>921</v>
      </c>
      <c r="K25" s="86"/>
      <c r="L25" s="86"/>
      <c r="M25" s="86"/>
      <c r="N25" s="86"/>
      <c r="O25" s="86"/>
      <c r="P25" s="86"/>
      <c r="Q25" s="86"/>
      <c r="R25" s="86"/>
    </row>
    <row r="27" spans="1:18" ht="22.05" customHeight="1" x14ac:dyDescent="0.3">
      <c r="A27" s="71" t="s">
        <v>922</v>
      </c>
      <c r="B27" s="72"/>
      <c r="C27" s="72"/>
      <c r="D27" s="72"/>
      <c r="E27" s="72"/>
      <c r="F27" s="72"/>
      <c r="G27" s="72"/>
      <c r="H27" s="72"/>
      <c r="I27" s="72"/>
      <c r="J27" s="72"/>
      <c r="K27" s="72"/>
      <c r="L27" s="72"/>
      <c r="M27" s="72"/>
      <c r="N27" s="72"/>
      <c r="O27" s="72"/>
      <c r="P27" s="72"/>
      <c r="Q27" s="72"/>
      <c r="R27" s="72"/>
    </row>
    <row r="28" spans="1:18" x14ac:dyDescent="0.3">
      <c r="A28" s="50">
        <v>1</v>
      </c>
      <c r="B28" s="126" t="s">
        <v>923</v>
      </c>
      <c r="C28" s="86"/>
      <c r="D28" s="86"/>
      <c r="E28" s="86"/>
      <c r="F28" s="86"/>
      <c r="G28" s="86"/>
      <c r="H28" s="86"/>
      <c r="I28" s="86"/>
      <c r="J28" s="86"/>
      <c r="K28" s="86"/>
      <c r="L28" s="86"/>
      <c r="M28" s="86"/>
      <c r="N28" s="86"/>
      <c r="O28" s="86"/>
      <c r="P28" s="86"/>
      <c r="Q28" s="86"/>
      <c r="R28" s="86"/>
    </row>
    <row r="29" spans="1:18" x14ac:dyDescent="0.3">
      <c r="A29" s="50">
        <v>2</v>
      </c>
      <c r="B29" s="128" t="s">
        <v>924</v>
      </c>
      <c r="C29" s="86"/>
      <c r="D29" s="86"/>
      <c r="E29" s="86"/>
      <c r="F29" s="86"/>
      <c r="G29" s="86"/>
      <c r="H29" s="86"/>
      <c r="I29" s="86"/>
      <c r="J29" s="86"/>
      <c r="K29" s="86"/>
      <c r="L29" s="86"/>
      <c r="M29" s="86"/>
      <c r="N29" s="86"/>
      <c r="O29" s="86"/>
      <c r="P29" s="86"/>
      <c r="Q29" s="86"/>
      <c r="R29" s="86"/>
    </row>
    <row r="30" spans="1:18" x14ac:dyDescent="0.3">
      <c r="A30" s="50">
        <v>3</v>
      </c>
      <c r="B30" s="126" t="s">
        <v>925</v>
      </c>
      <c r="C30" s="86"/>
      <c r="D30" s="86"/>
      <c r="E30" s="86"/>
      <c r="F30" s="86"/>
      <c r="G30" s="86"/>
      <c r="H30" s="86"/>
      <c r="I30" s="86"/>
      <c r="J30" s="86"/>
      <c r="K30" s="86"/>
      <c r="L30" s="86"/>
      <c r="M30" s="86"/>
      <c r="N30" s="86"/>
      <c r="O30" s="86"/>
      <c r="P30" s="86"/>
      <c r="Q30" s="86"/>
      <c r="R30" s="86"/>
    </row>
    <row r="31" spans="1:18" x14ac:dyDescent="0.3">
      <c r="A31" s="50">
        <v>4</v>
      </c>
      <c r="B31" s="128" t="s">
        <v>926</v>
      </c>
      <c r="C31" s="86"/>
      <c r="D31" s="86"/>
      <c r="E31" s="86"/>
      <c r="F31" s="86"/>
      <c r="G31" s="86"/>
      <c r="H31" s="86"/>
      <c r="I31" s="86"/>
      <c r="J31" s="86"/>
      <c r="K31" s="86"/>
      <c r="L31" s="86"/>
      <c r="M31" s="86"/>
      <c r="N31" s="86"/>
      <c r="O31" s="86"/>
      <c r="P31" s="86"/>
      <c r="Q31" s="86"/>
      <c r="R31" s="86"/>
    </row>
    <row r="32" spans="1:18" x14ac:dyDescent="0.3">
      <c r="A32" s="50">
        <v>5</v>
      </c>
      <c r="B32" s="126" t="s">
        <v>927</v>
      </c>
      <c r="C32" s="86"/>
      <c r="D32" s="86"/>
      <c r="E32" s="86"/>
      <c r="F32" s="86"/>
      <c r="G32" s="86"/>
      <c r="H32" s="86"/>
      <c r="I32" s="86"/>
      <c r="J32" s="86"/>
      <c r="K32" s="86"/>
      <c r="L32" s="86"/>
      <c r="M32" s="86"/>
      <c r="N32" s="86"/>
      <c r="O32" s="86"/>
      <c r="P32" s="86"/>
      <c r="Q32" s="86"/>
      <c r="R32" s="86"/>
    </row>
    <row r="33" spans="1:19" x14ac:dyDescent="0.3">
      <c r="A33" s="50">
        <v>6</v>
      </c>
      <c r="B33" s="128" t="s">
        <v>928</v>
      </c>
      <c r="C33" s="86"/>
      <c r="D33" s="86"/>
      <c r="E33" s="86"/>
      <c r="F33" s="86"/>
      <c r="G33" s="86"/>
      <c r="H33" s="86"/>
      <c r="I33" s="86"/>
      <c r="J33" s="86"/>
      <c r="K33" s="86"/>
      <c r="L33" s="86"/>
      <c r="M33" s="86"/>
      <c r="N33" s="86"/>
      <c r="O33" s="86"/>
      <c r="P33" s="86"/>
      <c r="Q33" s="86"/>
      <c r="R33" s="86"/>
    </row>
    <row r="34" spans="1:19" x14ac:dyDescent="0.3">
      <c r="A34" s="50">
        <v>7</v>
      </c>
      <c r="B34" s="126" t="s">
        <v>929</v>
      </c>
      <c r="C34" s="86"/>
      <c r="D34" s="86"/>
      <c r="E34" s="86"/>
      <c r="F34" s="86"/>
      <c r="G34" s="86"/>
      <c r="H34" s="86"/>
      <c r="I34" s="86"/>
      <c r="J34" s="86"/>
      <c r="K34" s="86"/>
      <c r="L34" s="86"/>
      <c r="M34" s="86"/>
      <c r="N34" s="86"/>
      <c r="O34" s="86"/>
      <c r="P34" s="86"/>
      <c r="Q34" s="86"/>
      <c r="R34" s="86"/>
    </row>
    <row r="35" spans="1:19" x14ac:dyDescent="0.3">
      <c r="A35" s="50">
        <v>8</v>
      </c>
      <c r="B35" s="128" t="s">
        <v>930</v>
      </c>
      <c r="C35" s="86"/>
      <c r="D35" s="86"/>
      <c r="E35" s="86"/>
      <c r="F35" s="86"/>
      <c r="G35" s="86"/>
      <c r="H35" s="86"/>
      <c r="I35" s="86"/>
      <c r="J35" s="86"/>
      <c r="K35" s="86"/>
      <c r="L35" s="86"/>
      <c r="M35" s="86"/>
      <c r="N35" s="86"/>
      <c r="O35" s="86"/>
      <c r="P35" s="86"/>
      <c r="Q35" s="86"/>
      <c r="R35" s="86"/>
    </row>
    <row r="36" spans="1:19" x14ac:dyDescent="0.3">
      <c r="A36" s="50">
        <v>9</v>
      </c>
      <c r="B36" s="126" t="s">
        <v>931</v>
      </c>
      <c r="C36" s="86"/>
      <c r="D36" s="86"/>
      <c r="E36" s="86"/>
      <c r="F36" s="86"/>
      <c r="G36" s="86"/>
      <c r="H36" s="86"/>
      <c r="I36" s="86"/>
      <c r="J36" s="86"/>
      <c r="K36" s="86"/>
      <c r="L36" s="86"/>
      <c r="M36" s="86"/>
      <c r="N36" s="86"/>
      <c r="O36" s="86"/>
      <c r="P36" s="86"/>
      <c r="Q36" s="86"/>
      <c r="R36" s="86"/>
    </row>
    <row r="37" spans="1:19" x14ac:dyDescent="0.3">
      <c r="A37" s="50">
        <v>10</v>
      </c>
      <c r="B37" s="128" t="s">
        <v>932</v>
      </c>
      <c r="C37" s="86"/>
      <c r="D37" s="86"/>
      <c r="E37" s="86"/>
      <c r="F37" s="86"/>
      <c r="G37" s="86"/>
      <c r="H37" s="86"/>
      <c r="I37" s="86"/>
      <c r="J37" s="86"/>
      <c r="K37" s="86"/>
      <c r="L37" s="86"/>
      <c r="M37" s="86"/>
      <c r="N37" s="86"/>
      <c r="O37" s="86"/>
      <c r="P37" s="86"/>
      <c r="Q37" s="86"/>
      <c r="R37" s="86"/>
    </row>
    <row r="39" spans="1:19" ht="22.05" customHeight="1" x14ac:dyDescent="0.3">
      <c r="A39" s="71" t="s">
        <v>933</v>
      </c>
      <c r="B39" s="72"/>
      <c r="C39" s="72"/>
      <c r="D39" s="72"/>
      <c r="E39" s="72"/>
      <c r="F39" s="72"/>
      <c r="G39" s="72"/>
      <c r="H39" s="72"/>
      <c r="I39" s="72"/>
      <c r="J39" s="72"/>
      <c r="K39" s="72"/>
      <c r="L39" s="72"/>
      <c r="M39" s="72"/>
      <c r="N39" s="72"/>
      <c r="O39" s="72"/>
      <c r="P39" s="72"/>
      <c r="Q39" s="72"/>
      <c r="R39" s="72"/>
    </row>
    <row r="40" spans="1:19" x14ac:dyDescent="0.3">
      <c r="A40" s="12" t="s">
        <v>934</v>
      </c>
      <c r="B40" s="12" t="s">
        <v>112</v>
      </c>
      <c r="C40" s="12" t="s">
        <v>935</v>
      </c>
      <c r="D40" s="12" t="s">
        <v>91</v>
      </c>
      <c r="E40" s="12" t="s">
        <v>66</v>
      </c>
      <c r="F40" s="12" t="s">
        <v>70</v>
      </c>
      <c r="G40" s="12" t="s">
        <v>936</v>
      </c>
      <c r="H40" s="12" t="s">
        <v>92</v>
      </c>
      <c r="I40" s="12" t="s">
        <v>937</v>
      </c>
      <c r="J40" s="12" t="s">
        <v>938</v>
      </c>
      <c r="K40" s="12" t="s">
        <v>939</v>
      </c>
      <c r="L40" s="12" t="s">
        <v>940</v>
      </c>
      <c r="M40" s="12" t="s">
        <v>941</v>
      </c>
      <c r="N40" s="12" t="s">
        <v>942</v>
      </c>
      <c r="O40" s="12" t="s">
        <v>943</v>
      </c>
      <c r="P40" s="12" t="s">
        <v>944</v>
      </c>
    </row>
    <row r="41" spans="1:19" ht="48" customHeight="1" x14ac:dyDescent="0.3">
      <c r="A41" s="7">
        <v>1</v>
      </c>
      <c r="B41" s="51" t="str">
        <f>IF($S41="","",IF(INDEX('Master Tracker'!$A$6:$A$400,$S41)="","",INDEX('Master Tracker'!$A$6:$A$400,$S41)))</f>
        <v>P1-01</v>
      </c>
      <c r="C41" s="52" t="str">
        <f>IF($S41="","",IF(INDEX('Master Tracker'!$C$6:$C$400,$S41)="","",INDEX('Master Tracker'!$C$6:$C$400,$S41)))</f>
        <v>Staging Setup</v>
      </c>
      <c r="D41" s="52" t="str">
        <f>IF($S41="","",IF(INDEX('Master Tracker'!$D$6:$D$400,$S41)="","",INDEX('Master Tracker'!$D$6:$D$400,$S41)))</f>
        <v>Staging environment readiness audit</v>
      </c>
      <c r="E41" s="7" t="str">
        <f>IF($S41="","",IF(INDEX('Master Tracker'!$F$6:$F$400,$S41)="","",INDEX('Master Tracker'!$F$6:$F$400,$S41)))</f>
        <v>P0</v>
      </c>
      <c r="F41" s="7" t="str">
        <f>IF($S41="","",IF(INDEX('Master Tracker'!$G$6:$G$400,$S41)="","",INDEX('Master Tracker'!$G$6:$G$400,$S41)))</f>
        <v>Completed</v>
      </c>
      <c r="G41" s="19">
        <f>IF($S41="","",IF(INDEX('Master Tracker'!$H$6:$H$400,$S41)="","",INDEX('Master Tracker'!$H$6:$H$400,$S41)))</f>
        <v>46307</v>
      </c>
      <c r="H41" s="19">
        <f>IF($S41="","",IF(INDEX('Master Tracker'!$I$6:$I$400,$S41)="","",INDEX('Master Tracker'!$I$6:$I$400,$S41)))</f>
        <v>46307</v>
      </c>
      <c r="I41" s="53">
        <f>IF($S41="","",IF(INDEX('Master Tracker'!$U$6:$U$400,$S41)="","",INDEX('Master Tracker'!$U$6:$U$400,$S41)))</f>
        <v>1</v>
      </c>
      <c r="J41" s="52" t="str">
        <f>IF($S41="","",IF(INDEX('Master Tracker'!$K$6:$K$400,$S41)="","",INDEX('Master Tracker'!$K$6:$K$400,$S41)))</f>
        <v>P6-02</v>
      </c>
      <c r="K41" s="52" t="str">
        <f>IF($S41="","",IF(INDEX('Master Tracker'!$Y$6:$Y$400,$S41)="","",INDEX('Master Tracker'!$Y$6:$Y$400,$S41)))</f>
        <v>⏳ 1 open</v>
      </c>
      <c r="L41" s="52" t="str">
        <f>IF($S41="","",IF(INDEX('Master Tracker'!$M$6:$M$400,$S41)="","",INDEX('Master Tracker'!$M$6:$M$400,$S41)))</f>
        <v>wp-config.php, .htaccess</v>
      </c>
      <c r="M41" s="52" t="str">
        <f>IF($S41="","",IF(INDEX('Master Tracker'!$O$6:$O$400,$S41)="","",INDEX('Master Tracker'!$O$6:$O$400,$S41)))</f>
        <v>Staging is reachable only by the team, not indexed, debug logging active, versions documented in Notes</v>
      </c>
      <c r="N41" s="52" t="str">
        <f>IF($S41="","",IF(INDEX('Master Tracker'!$N$6:$N$400,$S41)="","",INDEX('Master Tracker'!$N$6:$N$400,$S41)))</f>
        <v>Log in via hPanel, SFTP and phpMyAdmin; confirm noindex header; send test mail is trapped</v>
      </c>
      <c r="O41" s="7" t="str">
        <f>IF($S41="","",IF(INDEX('Master Tracker'!$T$6:$T$400,$S41)="","",INDEX('Master Tracker'!$T$6:$T$400,$S41)))</f>
        <v>Not Tested</v>
      </c>
      <c r="P41" s="7" t="str">
        <f>IF($S41="","",IF(INDEX('Master Tracker'!$AC$6:$AC$400,$S41)="","",INDEX('Master Tracker'!$AC$6:$AC$400,$S41)))</f>
        <v>Done</v>
      </c>
      <c r="S41">
        <f>IFERROR(MATCH("Phase 1|"&amp;A41,'Master Tracker'!$Z$6:$Z$400,0),"")</f>
        <v>1</v>
      </c>
    </row>
    <row r="42" spans="1:19" ht="48" customHeight="1" x14ac:dyDescent="0.3">
      <c r="A42" s="7">
        <v>2</v>
      </c>
      <c r="B42" s="51" t="str">
        <f>IF($S42="","",IF(INDEX('Master Tracker'!$A$6:$A$400,$S42)="","",INDEX('Master Tracker'!$A$6:$A$400,$S42)))</f>
        <v>P1-02</v>
      </c>
      <c r="C42" s="52" t="str">
        <f>IF($S42="","",IF(INDEX('Master Tracker'!$C$6:$C$400,$S42)="","",INDEX('Master Tracker'!$C$6:$C$400,$S42)))</f>
        <v>Theme Scaffold</v>
      </c>
      <c r="D42" s="52" t="str">
        <f>IF($S42="","",IF(INDEX('Master Tracker'!$D$6:$D$400,$S42)="","",INDEX('Master Tracker'!$D$6:$D$400,$S42)))</f>
        <v>Create custom theme structure + Git repo</v>
      </c>
      <c r="E42" s="7" t="str">
        <f>IF($S42="","",IF(INDEX('Master Tracker'!$F$6:$F$400,$S42)="","",INDEX('Master Tracker'!$F$6:$F$400,$S42)))</f>
        <v>P0</v>
      </c>
      <c r="F42" s="7" t="str">
        <f>IF($S42="","",IF(INDEX('Master Tracker'!$G$6:$G$400,$S42)="","",INDEX('Master Tracker'!$G$6:$G$400,$S42)))</f>
        <v>Completed</v>
      </c>
      <c r="G42" s="19">
        <f>IF($S42="","",IF(INDEX('Master Tracker'!$H$6:$H$400,$S42)="","",INDEX('Master Tracker'!$H$6:$H$400,$S42)))</f>
        <v>46307</v>
      </c>
      <c r="H42" s="19">
        <f>IF($S42="","",IF(INDEX('Master Tracker'!$I$6:$I$400,$S42)="","",INDEX('Master Tracker'!$I$6:$I$400,$S42)))</f>
        <v>46307</v>
      </c>
      <c r="I42" s="53">
        <f>IF($S42="","",IF(INDEX('Master Tracker'!$U$6:$U$400,$S42)="","",INDEX('Master Tracker'!$U$6:$U$400,$S42)))</f>
        <v>1</v>
      </c>
      <c r="J42" s="52" t="str">
        <f>IF($S42="","",IF(INDEX('Master Tracker'!$K$6:$K$400,$S42)="","",INDEX('Master Tracker'!$K$6:$K$400,$S42)))</f>
        <v>P1-01</v>
      </c>
      <c r="K42" s="52" t="str">
        <f>IF($S42="","",IF(INDEX('Master Tracker'!$Y$6:$Y$400,$S42)="","",INDEX('Master Tracker'!$Y$6:$Y$400,$S42)))</f>
        <v>✓ Ready</v>
      </c>
      <c r="L42" s="52" t="str">
        <f>IF($S42="","",IF(INDEX('Master Tracker'!$M$6:$M$400,$S42)="","",INDEX('Master Tracker'!$M$6:$M$400,$S42)))</f>
        <v>style.css, functions.php, inc/, template-parts/, assets/</v>
      </c>
      <c r="M42" s="52" t="str">
        <f>IF($S42="","",IF(INDEX('Master Tracker'!$O$6:$O$400,$S42)="","",INDEX('Master Tracker'!$O$6:$O$400,$S42)))</f>
        <v>Folder structure in place, theme activates cleanly on staging, repository holds initial commit</v>
      </c>
      <c r="N42" s="52" t="str">
        <f>IF($S42="","",IF(INDEX('Master Tracker'!$N$6:$N$400,$S42)="","",INDEX('Master Tracker'!$N$6:$N$400,$S42)))</f>
        <v>Theme listed in Appearance &gt; Themes; activates with no PHP notices; first commit pushed</v>
      </c>
      <c r="O42" s="7" t="str">
        <f>IF($S42="","",IF(INDEX('Master Tracker'!$T$6:$T$400,$S42)="","",INDEX('Master Tracker'!$T$6:$T$400,$S42)))</f>
        <v>Not Tested</v>
      </c>
      <c r="P42" s="7" t="str">
        <f>IF($S42="","",IF(INDEX('Master Tracker'!$AC$6:$AC$400,$S42)="","",INDEX('Master Tracker'!$AC$6:$AC$400,$S42)))</f>
        <v>Done</v>
      </c>
      <c r="S42">
        <f>IFERROR(MATCH("Phase 1|"&amp;A42,'Master Tracker'!$Z$6:$Z$400,0),"")</f>
        <v>2</v>
      </c>
    </row>
    <row r="43" spans="1:19" ht="48" customHeight="1" x14ac:dyDescent="0.3">
      <c r="A43" s="7">
        <v>3</v>
      </c>
      <c r="B43" s="51" t="str">
        <f>IF($S43="","",IF(INDEX('Master Tracker'!$A$6:$A$400,$S43)="","",INDEX('Master Tracker'!$A$6:$A$400,$S43)))</f>
        <v>P1-03</v>
      </c>
      <c r="C43" s="52" t="str">
        <f>IF($S43="","",IF(INDEX('Master Tracker'!$C$6:$C$400,$S43)="","",INDEX('Master Tracker'!$C$6:$C$400,$S43)))</f>
        <v>Theme Initialization</v>
      </c>
      <c r="D43" s="52" t="str">
        <f>IF($S43="","",IF(INDEX('Master Tracker'!$D$6:$D$400,$S43)="","",INDEX('Master Tracker'!$D$6:$D$400,$S43)))</f>
        <v>Theme setup: supports, menus, image sizes</v>
      </c>
      <c r="E43" s="7" t="str">
        <f>IF($S43="","",IF(INDEX('Master Tracker'!$F$6:$F$400,$S43)="","",INDEX('Master Tracker'!$F$6:$F$400,$S43)))</f>
        <v>P0</v>
      </c>
      <c r="F43" s="7" t="str">
        <f>IF($S43="","",IF(INDEX('Master Tracker'!$G$6:$G$400,$S43)="","",INDEX('Master Tracker'!$G$6:$G$400,$S43)))</f>
        <v>Not Started</v>
      </c>
      <c r="G43" s="19">
        <f>IF($S43="","",IF(INDEX('Master Tracker'!$H$6:$H$400,$S43)="","",INDEX('Master Tracker'!$H$6:$H$400,$S43)))</f>
        <v>46307</v>
      </c>
      <c r="H43" s="19">
        <f>IF($S43="","",IF(INDEX('Master Tracker'!$I$6:$I$400,$S43)="","",INDEX('Master Tracker'!$I$6:$I$400,$S43)))</f>
        <v>46307</v>
      </c>
      <c r="I43" s="53">
        <f>IF($S43="","",IF(INDEX('Master Tracker'!$U$6:$U$400,$S43)="","",INDEX('Master Tracker'!$U$6:$U$400,$S43)))</f>
        <v>0</v>
      </c>
      <c r="J43" s="52" t="str">
        <f>IF($S43="","",IF(INDEX('Master Tracker'!$K$6:$K$400,$S43)="","",INDEX('Master Tracker'!$K$6:$K$400,$S43)))</f>
        <v>P1-02</v>
      </c>
      <c r="K43" s="52" t="str">
        <f>IF($S43="","",IF(INDEX('Master Tracker'!$Y$6:$Y$400,$S43)="","",INDEX('Master Tracker'!$Y$6:$Y$400,$S43)))</f>
        <v>✓ Ready</v>
      </c>
      <c r="L43" s="52" t="str">
        <f>IF($S43="","",IF(INDEX('Master Tracker'!$M$6:$M$400,$S43)="","",INDEX('Master Tracker'!$M$6:$M$400,$S43)))</f>
        <v>inc/setup.php, functions.php</v>
      </c>
      <c r="M43" s="52" t="str">
        <f>IF($S43="","",IF(INDEX('Master Tracker'!$O$6:$O$400,$S43)="","",INDEX('Master Tracker'!$O$6:$O$400,$S43)))</f>
        <v>All supports, menus and image sizes registered; no duplicate title tags</v>
      </c>
      <c r="N43" s="52" t="str">
        <f>IF($S43="","",IF(INDEX('Master Tracker'!$N$6:$N$400,$S43)="","",INDEX('Master Tracker'!$N$6:$N$400,$S43)))</f>
        <v>Menus appear in Appearance &gt; Menus; new upload generates all image sizes; single &lt;title&gt; tag</v>
      </c>
      <c r="O43" s="7" t="str">
        <f>IF($S43="","",IF(INDEX('Master Tracker'!$T$6:$T$400,$S43)="","",INDEX('Master Tracker'!$T$6:$T$400,$S43)))</f>
        <v>Not Tested</v>
      </c>
      <c r="P43" s="7" t="str">
        <f ca="1">IF($S43="","",IF(INDEX('Master Tracker'!$AC$6:$AC$400,$S43)="","",INDEX('Master Tracker'!$AC$6:$AC$400,$S43)))</f>
        <v>Due soon</v>
      </c>
      <c r="S43">
        <f>IFERROR(MATCH("Phase 1|"&amp;A43,'Master Tracker'!$Z$6:$Z$400,0),"")</f>
        <v>3</v>
      </c>
    </row>
    <row r="44" spans="1:19" ht="48" customHeight="1" x14ac:dyDescent="0.3">
      <c r="A44" s="7">
        <v>4</v>
      </c>
      <c r="B44" s="51" t="str">
        <f>IF($S44="","",IF(INDEX('Master Tracker'!$A$6:$A$400,$S44)="","",INDEX('Master Tracker'!$A$6:$A$400,$S44)))</f>
        <v>P1-04</v>
      </c>
      <c r="C44" s="52" t="str">
        <f>IF($S44="","",IF(INDEX('Master Tracker'!$C$6:$C$400,$S44)="","",INDEX('Master Tracker'!$C$6:$C$400,$S44)))</f>
        <v>Asset Pipeline</v>
      </c>
      <c r="D44" s="52" t="str">
        <f>IF($S44="","",IF(INDEX('Master Tracker'!$D$6:$D$400,$S44)="","",INDEX('Master Tracker'!$D$6:$D$400,$S44)))</f>
        <v>Asset enqueue, versioning &amp; conditional loading</v>
      </c>
      <c r="E44" s="7" t="str">
        <f>IF($S44="","",IF(INDEX('Master Tracker'!$F$6:$F$400,$S44)="","",INDEX('Master Tracker'!$F$6:$F$400,$S44)))</f>
        <v>P0</v>
      </c>
      <c r="F44" s="7" t="str">
        <f>IF($S44="","",IF(INDEX('Master Tracker'!$G$6:$G$400,$S44)="","",INDEX('Master Tracker'!$G$6:$G$400,$S44)))</f>
        <v>Not Started</v>
      </c>
      <c r="G44" s="19">
        <f>IF($S44="","",IF(INDEX('Master Tracker'!$H$6:$H$400,$S44)="","",INDEX('Master Tracker'!$H$6:$H$400,$S44)))</f>
        <v>46307</v>
      </c>
      <c r="H44" s="19">
        <f>IF($S44="","",IF(INDEX('Master Tracker'!$I$6:$I$400,$S44)="","",INDEX('Master Tracker'!$I$6:$I$400,$S44)))</f>
        <v>46307</v>
      </c>
      <c r="I44" s="53">
        <f>IF($S44="","",IF(INDEX('Master Tracker'!$U$6:$U$400,$S44)="","",INDEX('Master Tracker'!$U$6:$U$400,$S44)))</f>
        <v>0</v>
      </c>
      <c r="J44" s="52" t="str">
        <f>IF($S44="","",IF(INDEX('Master Tracker'!$K$6:$K$400,$S44)="","",INDEX('Master Tracker'!$K$6:$K$400,$S44)))</f>
        <v>P1-02</v>
      </c>
      <c r="K44" s="52" t="str">
        <f>IF($S44="","",IF(INDEX('Master Tracker'!$Y$6:$Y$400,$S44)="","",INDEX('Master Tracker'!$Y$6:$Y$400,$S44)))</f>
        <v>✓ Ready</v>
      </c>
      <c r="L44" s="52" t="str">
        <f>IF($S44="","",IF(INDEX('Master Tracker'!$M$6:$M$400,$S44)="","",INDEX('Master Tracker'!$M$6:$M$400,$S44)))</f>
        <v>inc/enqueue.php, assets/css/*, assets/js/*</v>
      </c>
      <c r="M44" s="52" t="str">
        <f>IF($S44="","",IF(INDEX('Master Tracker'!$O$6:$O$400,$S44)="","",INDEX('Master Tracker'!$O$6:$O$400,$S44)))</f>
        <v>All assets versioned and loaded only where needed; zero console errors</v>
      </c>
      <c r="N44" s="52" t="str">
        <f>IF($S44="","",IF(INDEX('Master Tracker'!$N$6:$N$400,$S44)="","",INDEX('Master Tracker'!$N$6:$N$400,$S44)))</f>
        <v>View source: versioned URLs, deferred scripts; Network tab shows no 404s and no jQuery on homepage</v>
      </c>
      <c r="O44" s="7" t="str">
        <f>IF($S44="","",IF(INDEX('Master Tracker'!$T$6:$T$400,$S44)="","",INDEX('Master Tracker'!$T$6:$T$400,$S44)))</f>
        <v>Not Tested</v>
      </c>
      <c r="P44" s="7" t="str">
        <f ca="1">IF($S44="","",IF(INDEX('Master Tracker'!$AC$6:$AC$400,$S44)="","",INDEX('Master Tracker'!$AC$6:$AC$400,$S44)))</f>
        <v>Due soon</v>
      </c>
      <c r="S44">
        <f>IFERROR(MATCH("Phase 1|"&amp;A44,'Master Tracker'!$Z$6:$Z$400,0),"")</f>
        <v>4</v>
      </c>
    </row>
    <row r="45" spans="1:19" ht="48" customHeight="1" x14ac:dyDescent="0.3">
      <c r="A45" s="7">
        <v>5</v>
      </c>
      <c r="B45" s="51" t="str">
        <f>IF($S45="","",IF(INDEX('Master Tracker'!$A$6:$A$400,$S45)="","",INDEX('Master Tracker'!$A$6:$A$400,$S45)))</f>
        <v>P1-05</v>
      </c>
      <c r="C45" s="52" t="str">
        <f>IF($S45="","",IF(INDEX('Master Tracker'!$C$6:$C$400,$S45)="","",INDEX('Master Tracker'!$C$6:$C$400,$S45)))</f>
        <v>PHP Templates</v>
      </c>
      <c r="D45" s="52" t="str">
        <f>IF($S45="","",IF(INDEX('Master Tracker'!$D$6:$D$400,$S45)="","",INDEX('Master Tracker'!$D$6:$D$400,$S45)))</f>
        <v>Base template hierarchy</v>
      </c>
      <c r="E45" s="7" t="str">
        <f>IF($S45="","",IF(INDEX('Master Tracker'!$F$6:$F$400,$S45)="","",INDEX('Master Tracker'!$F$6:$F$400,$S45)))</f>
        <v>P0</v>
      </c>
      <c r="F45" s="7" t="str">
        <f>IF($S45="","",IF(INDEX('Master Tracker'!$G$6:$G$400,$S45)="","",INDEX('Master Tracker'!$G$6:$G$400,$S45)))</f>
        <v>Not Started</v>
      </c>
      <c r="G45" s="19">
        <f>IF($S45="","",IF(INDEX('Master Tracker'!$H$6:$H$400,$S45)="","",INDEX('Master Tracker'!$H$6:$H$400,$S45)))</f>
        <v>46307</v>
      </c>
      <c r="H45" s="19">
        <f>IF($S45="","",IF(INDEX('Master Tracker'!$I$6:$I$400,$S45)="","",INDEX('Master Tracker'!$I$6:$I$400,$S45)))</f>
        <v>46307</v>
      </c>
      <c r="I45" s="53">
        <f>IF($S45="","",IF(INDEX('Master Tracker'!$U$6:$U$400,$S45)="","",INDEX('Master Tracker'!$U$6:$U$400,$S45)))</f>
        <v>0</v>
      </c>
      <c r="J45" s="52" t="str">
        <f>IF($S45="","",IF(INDEX('Master Tracker'!$K$6:$K$400,$S45)="","",INDEX('Master Tracker'!$K$6:$K$400,$S45)))</f>
        <v>P1-03</v>
      </c>
      <c r="K45" s="52" t="str">
        <f>IF($S45="","",IF(INDEX('Master Tracker'!$Y$6:$Y$400,$S45)="","",INDEX('Master Tracker'!$Y$6:$Y$400,$S45)))</f>
        <v>⏳ 1 open</v>
      </c>
      <c r="L45" s="52" t="str">
        <f>IF($S45="","",IF(INDEX('Master Tracker'!$M$6:$M$400,$S45)="","",INDEX('Master Tracker'!$M$6:$M$400,$S45)))</f>
        <v>header.php, footer.php, index.php, front-page.php, single.php, page.php, archive.php, category.php, tag.php, author.php, search.php, 404.php</v>
      </c>
      <c r="M45" s="52" t="str">
        <f>IF($S45="","",IF(INDEX('Master Tracker'!$O$6:$O$400,$S45)="","",INDEX('Master Tracker'!$O$6:$O$400,$S45)))</f>
        <v>Every WordPress route resolves to a theme template with header/footer; no fallback errors</v>
      </c>
      <c r="N45" s="52" t="str">
        <f>IF($S45="","",IF(INDEX('Master Tracker'!$N$6:$N$400,$S45)="","",INDEX('Master Tracker'!$N$6:$N$400,$S45)))</f>
        <v>Visit each route type; Query Monitor confirms expected template file</v>
      </c>
      <c r="O45" s="7" t="str">
        <f>IF($S45="","",IF(INDEX('Master Tracker'!$T$6:$T$400,$S45)="","",INDEX('Master Tracker'!$T$6:$T$400,$S45)))</f>
        <v>Not Tested</v>
      </c>
      <c r="P45" s="7" t="str">
        <f ca="1">IF($S45="","",IF(INDEX('Master Tracker'!$AC$6:$AC$400,$S45)="","",INDEX('Master Tracker'!$AC$6:$AC$400,$S45)))</f>
        <v>Due soon</v>
      </c>
      <c r="S45">
        <f>IFERROR(MATCH("Phase 1|"&amp;A45,'Master Tracker'!$Z$6:$Z$400,0),"")</f>
        <v>5</v>
      </c>
    </row>
    <row r="46" spans="1:19" ht="48" customHeight="1" x14ac:dyDescent="0.3">
      <c r="A46" s="7">
        <v>6</v>
      </c>
      <c r="B46" s="51" t="str">
        <f>IF($S46="","",IF(INDEX('Master Tracker'!$A$6:$A$400,$S46)="","",INDEX('Master Tracker'!$A$6:$A$400,$S46)))</f>
        <v>P1-06</v>
      </c>
      <c r="C46" s="52" t="str">
        <f>IF($S46="","",IF(INDEX('Master Tracker'!$C$6:$C$400,$S46)="","",INDEX('Master Tracker'!$C$6:$C$400,$S46)))</f>
        <v>Components</v>
      </c>
      <c r="D46" s="52" t="str">
        <f>IF($S46="","",IF(INDEX('Master Tracker'!$D$6:$D$400,$S46)="","",INDEX('Master Tracker'!$D$6:$D$400,$S46)))</f>
        <v>Reusable template-part components</v>
      </c>
      <c r="E46" s="7" t="str">
        <f>IF($S46="","",IF(INDEX('Master Tracker'!$F$6:$F$400,$S46)="","",INDEX('Master Tracker'!$F$6:$F$400,$S46)))</f>
        <v>P0</v>
      </c>
      <c r="F46" s="7" t="str">
        <f>IF($S46="","",IF(INDEX('Master Tracker'!$G$6:$G$400,$S46)="","",INDEX('Master Tracker'!$G$6:$G$400,$S46)))</f>
        <v>Not Started</v>
      </c>
      <c r="G46" s="19">
        <f>IF($S46="","",IF(INDEX('Master Tracker'!$H$6:$H$400,$S46)="","",INDEX('Master Tracker'!$H$6:$H$400,$S46)))</f>
        <v>46307</v>
      </c>
      <c r="H46" s="19">
        <f>IF($S46="","",IF(INDEX('Master Tracker'!$I$6:$I$400,$S46)="","",INDEX('Master Tracker'!$I$6:$I$400,$S46)))</f>
        <v>46307</v>
      </c>
      <c r="I46" s="53">
        <f>IF($S46="","",IF(INDEX('Master Tracker'!$U$6:$U$400,$S46)="","",INDEX('Master Tracker'!$U$6:$U$400,$S46)))</f>
        <v>0</v>
      </c>
      <c r="J46" s="52" t="str">
        <f>IF($S46="","",IF(INDEX('Master Tracker'!$K$6:$K$400,$S46)="","",INDEX('Master Tracker'!$K$6:$K$400,$S46)))</f>
        <v>P1-05</v>
      </c>
      <c r="K46" s="52" t="str">
        <f>IF($S46="","",IF(INDEX('Master Tracker'!$Y$6:$Y$400,$S46)="","",INDEX('Master Tracker'!$Y$6:$Y$400,$S46)))</f>
        <v>⏳ 1 open</v>
      </c>
      <c r="L46" s="52" t="str">
        <f>IF($S46="","",IF(INDEX('Master Tracker'!$M$6:$M$400,$S46)="","",INDEX('Master Tracker'!$M$6:$M$400,$S46)))</f>
        <v>template-parts/components/*.php</v>
      </c>
      <c r="M46" s="52" t="str">
        <f>IF($S46="","",IF(INDEX('Master Tracker'!$O$6:$O$400,$S46)="","",INDEX('Master Tracker'!$O$6:$O$400,$S46)))</f>
        <v>Components reused by homepage and archives with no duplicated markup; all output escaped</v>
      </c>
      <c r="N46" s="52" t="str">
        <f>IF($S46="","",IF(INDEX('Master Tracker'!$N$6:$N$400,$S46)="","",INDEX('Master Tracker'!$N$6:$N$400,$S46)))</f>
        <v>Render every component on a test page with real posts; test missing image/excerpt; check escaping</v>
      </c>
      <c r="O46" s="7" t="str">
        <f>IF($S46="","",IF(INDEX('Master Tracker'!$T$6:$T$400,$S46)="","",INDEX('Master Tracker'!$T$6:$T$400,$S46)))</f>
        <v>Not Tested</v>
      </c>
      <c r="P46" s="7" t="str">
        <f ca="1">IF($S46="","",IF(INDEX('Master Tracker'!$AC$6:$AC$400,$S46)="","",INDEX('Master Tracker'!$AC$6:$AC$400,$S46)))</f>
        <v>Due soon</v>
      </c>
      <c r="S46">
        <f>IFERROR(MATCH("Phase 1|"&amp;A46,'Master Tracker'!$Z$6:$Z$400,0),"")</f>
        <v>6</v>
      </c>
    </row>
    <row r="47" spans="1:19" ht="48" customHeight="1" x14ac:dyDescent="0.3">
      <c r="A47" s="7">
        <v>7</v>
      </c>
      <c r="B47" s="51" t="str">
        <f>IF($S47="","",IF(INDEX('Master Tracker'!$A$6:$A$400,$S47)="","",INDEX('Master Tracker'!$A$6:$A$400,$S47)))</f>
        <v>P1-07</v>
      </c>
      <c r="C47" s="52" t="str">
        <f>IF($S47="","",IF(INDEX('Master Tracker'!$C$6:$C$400,$S47)="","",INDEX('Master Tracker'!$C$6:$C$400,$S47)))</f>
        <v>CSS Architecture</v>
      </c>
      <c r="D47" s="52" t="str">
        <f>IF($S47="","",IF(INDEX('Master Tracker'!$D$6:$D$400,$S47)="","",INDEX('Master Tracker'!$D$6:$D$400,$S47)))</f>
        <v>CSS architecture &amp; design tokens</v>
      </c>
      <c r="E47" s="7" t="str">
        <f>IF($S47="","",IF(INDEX('Master Tracker'!$F$6:$F$400,$S47)="","",INDEX('Master Tracker'!$F$6:$F$400,$S47)))</f>
        <v>P0</v>
      </c>
      <c r="F47" s="7" t="str">
        <f>IF($S47="","",IF(INDEX('Master Tracker'!$G$6:$G$400,$S47)="","",INDEX('Master Tracker'!$G$6:$G$400,$S47)))</f>
        <v>Not Started</v>
      </c>
      <c r="G47" s="19">
        <f>IF($S47="","",IF(INDEX('Master Tracker'!$H$6:$H$400,$S47)="","",INDEX('Master Tracker'!$H$6:$H$400,$S47)))</f>
        <v>46307</v>
      </c>
      <c r="H47" s="19">
        <f>IF($S47="","",IF(INDEX('Master Tracker'!$I$6:$I$400,$S47)="","",INDEX('Master Tracker'!$I$6:$I$400,$S47)))</f>
        <v>46308</v>
      </c>
      <c r="I47" s="53">
        <f>IF($S47="","",IF(INDEX('Master Tracker'!$U$6:$U$400,$S47)="","",INDEX('Master Tracker'!$U$6:$U$400,$S47)))</f>
        <v>0</v>
      </c>
      <c r="J47" s="52" t="str">
        <f>IF($S47="","",IF(INDEX('Master Tracker'!$K$6:$K$400,$S47)="","",INDEX('Master Tracker'!$K$6:$K$400,$S47)))</f>
        <v>P1-04</v>
      </c>
      <c r="K47" s="52" t="str">
        <f>IF($S47="","",IF(INDEX('Master Tracker'!$Y$6:$Y$400,$S47)="","",INDEX('Master Tracker'!$Y$6:$Y$400,$S47)))</f>
        <v>⏳ 1 open</v>
      </c>
      <c r="L47" s="52" t="str">
        <f>IF($S47="","",IF(INDEX('Master Tracker'!$M$6:$M$400,$S47)="","",INDEX('Master Tracker'!$M$6:$M$400,$S47)))</f>
        <v>assets/css/tokens.css, base.css, layout.css, components.css, utilities.css</v>
      </c>
      <c r="M47" s="52" t="str">
        <f>IF($S47="","",IF(INDEX('Master Tracker'!$O$6:$O$400,$S47)="","",INDEX('Master Tracker'!$O$6:$O$400,$S47)))</f>
        <v>Single token source; consistent styling; total CSS within agreed budget (target &lt; 100 KB uncompressed)</v>
      </c>
      <c r="N47" s="52" t="str">
        <f>IF($S47="","",IF(INDEX('Master Tracker'!$N$6:$N$400,$S47)="","",INDEX('Master Tracker'!$N$6:$N$400,$S47)))</f>
        <v>Inspect computed styles use tokens; RTL correct without separate override file; CSS size checked</v>
      </c>
      <c r="O47" s="7" t="str">
        <f>IF($S47="","",IF(INDEX('Master Tracker'!$T$6:$T$400,$S47)="","",INDEX('Master Tracker'!$T$6:$T$400,$S47)))</f>
        <v>Not Tested</v>
      </c>
      <c r="P47" s="7" t="str">
        <f ca="1">IF($S47="","",IF(INDEX('Master Tracker'!$AC$6:$AC$400,$S47)="","",INDEX('Master Tracker'!$AC$6:$AC$400,$S47)))</f>
        <v>Due soon</v>
      </c>
      <c r="S47">
        <f>IFERROR(MATCH("Phase 1|"&amp;A47,'Master Tracker'!$Z$6:$Z$400,0),"")</f>
        <v>7</v>
      </c>
    </row>
    <row r="48" spans="1:19" ht="48" customHeight="1" x14ac:dyDescent="0.3">
      <c r="A48" s="7">
        <v>8</v>
      </c>
      <c r="B48" s="51" t="str">
        <f>IF($S48="","",IF(INDEX('Master Tracker'!$A$6:$A$400,$S48)="","",INDEX('Master Tracker'!$A$6:$A$400,$S48)))</f>
        <v>P1-08</v>
      </c>
      <c r="C48" s="52" t="str">
        <f>IF($S48="","",IF(INDEX('Master Tracker'!$C$6:$C$400,$S48)="","",INDEX('Master Tracker'!$C$6:$C$400,$S48)))</f>
        <v>Vanilla JS</v>
      </c>
      <c r="D48" s="52" t="str">
        <f>IF($S48="","",IF(INDEX('Master Tracker'!$D$6:$D$400,$S48)="","",INDEX('Master Tracker'!$D$6:$D$400,$S48)))</f>
        <v>Vanilla JS module architecture</v>
      </c>
      <c r="E48" s="7" t="str">
        <f>IF($S48="","",IF(INDEX('Master Tracker'!$F$6:$F$400,$S48)="","",INDEX('Master Tracker'!$F$6:$F$400,$S48)))</f>
        <v>P0</v>
      </c>
      <c r="F48" s="7" t="str">
        <f>IF($S48="","",IF(INDEX('Master Tracker'!$G$6:$G$400,$S48)="","",INDEX('Master Tracker'!$G$6:$G$400,$S48)))</f>
        <v>Not Started</v>
      </c>
      <c r="G48" s="19">
        <f>IF($S48="","",IF(INDEX('Master Tracker'!$H$6:$H$400,$S48)="","",INDEX('Master Tracker'!$H$6:$H$400,$S48)))</f>
        <v>46308</v>
      </c>
      <c r="H48" s="19">
        <f>IF($S48="","",IF(INDEX('Master Tracker'!$I$6:$I$400,$S48)="","",INDEX('Master Tracker'!$I$6:$I$400,$S48)))</f>
        <v>46308</v>
      </c>
      <c r="I48" s="53">
        <f>IF($S48="","",IF(INDEX('Master Tracker'!$U$6:$U$400,$S48)="","",INDEX('Master Tracker'!$U$6:$U$400,$S48)))</f>
        <v>0</v>
      </c>
      <c r="J48" s="52" t="str">
        <f>IF($S48="","",IF(INDEX('Master Tracker'!$K$6:$K$400,$S48)="","",INDEX('Master Tracker'!$K$6:$K$400,$S48)))</f>
        <v>P1-04</v>
      </c>
      <c r="K48" s="52" t="str">
        <f>IF($S48="","",IF(INDEX('Master Tracker'!$Y$6:$Y$400,$S48)="","",INDEX('Master Tracker'!$Y$6:$Y$400,$S48)))</f>
        <v>⏳ 1 open</v>
      </c>
      <c r="L48" s="52" t="str">
        <f>IF($S48="","",IF(INDEX('Master Tracker'!$M$6:$M$400,$S48)="","",INDEX('Master Tracker'!$M$6:$M$400,$S48)))</f>
        <v>assets/js/main.js, assets/js/modules/*.js</v>
      </c>
      <c r="M48" s="52" t="str">
        <f>IF($S48="","",IF(INDEX('Master Tracker'!$O$6:$O$400,$S48)="","",INDEX('Master Tracker'!$O$6:$O$400,$S48)))</f>
        <v>All interactions implemented in Vanilla JS; zero console errors; scripts deferred</v>
      </c>
      <c r="N48" s="52" t="str">
        <f>IF($S48="","",IF(INDEX('Master Tracker'!$N$6:$N$400,$S48)="","",INDEX('Master Tracker'!$N$6:$N$400,$S48)))</f>
        <v>Console clean on Chrome &amp; Safari; page usable with JS disabled</v>
      </c>
      <c r="O48" s="7" t="str">
        <f>IF($S48="","",IF(INDEX('Master Tracker'!$T$6:$T$400,$S48)="","",INDEX('Master Tracker'!$T$6:$T$400,$S48)))</f>
        <v>Not Tested</v>
      </c>
      <c r="P48" s="7" t="str">
        <f ca="1">IF($S48="","",IF(INDEX('Master Tracker'!$AC$6:$AC$400,$S48)="","",INDEX('Master Tracker'!$AC$6:$AC$400,$S48)))</f>
        <v>Due soon</v>
      </c>
      <c r="S48">
        <f>IFERROR(MATCH("Phase 1|"&amp;A48,'Master Tracker'!$Z$6:$Z$400,0),"")</f>
        <v>8</v>
      </c>
    </row>
    <row r="49" spans="1:19" ht="48" customHeight="1" x14ac:dyDescent="0.3">
      <c r="A49" s="7">
        <v>9</v>
      </c>
      <c r="B49" s="51" t="str">
        <f>IF($S49="","",IF(INDEX('Master Tracker'!$A$6:$A$400,$S49)="","",INDEX('Master Tracker'!$A$6:$A$400,$S49)))</f>
        <v>P1-09</v>
      </c>
      <c r="C49" s="52" t="str">
        <f>IF($S49="","",IF(INDEX('Master Tracker'!$C$6:$C$400,$S49)="","",INDEX('Master Tracker'!$C$6:$C$400,$S49)))</f>
        <v>RTL Typography</v>
      </c>
      <c r="D49" s="52" t="str">
        <f>IF($S49="","",IF(INDEX('Master Tracker'!$D$6:$D$400,$S49)="","",INDEX('Master Tracker'!$D$6:$D$400,$S49)))</f>
        <v>RTL layout &amp; Arabic typography</v>
      </c>
      <c r="E49" s="7" t="str">
        <f>IF($S49="","",IF(INDEX('Master Tracker'!$F$6:$F$400,$S49)="","",INDEX('Master Tracker'!$F$6:$F$400,$S49)))</f>
        <v>P0</v>
      </c>
      <c r="F49" s="7" t="str">
        <f>IF($S49="","",IF(INDEX('Master Tracker'!$G$6:$G$400,$S49)="","",INDEX('Master Tracker'!$G$6:$G$400,$S49)))</f>
        <v>Not Started</v>
      </c>
      <c r="G49" s="19">
        <f>IF($S49="","",IF(INDEX('Master Tracker'!$H$6:$H$400,$S49)="","",INDEX('Master Tracker'!$H$6:$H$400,$S49)))</f>
        <v>46308</v>
      </c>
      <c r="H49" s="19">
        <f>IF($S49="","",IF(INDEX('Master Tracker'!$I$6:$I$400,$S49)="","",INDEX('Master Tracker'!$I$6:$I$400,$S49)))</f>
        <v>46308</v>
      </c>
      <c r="I49" s="53">
        <f>IF($S49="","",IF(INDEX('Master Tracker'!$U$6:$U$400,$S49)="","",INDEX('Master Tracker'!$U$6:$U$400,$S49)))</f>
        <v>0</v>
      </c>
      <c r="J49" s="52" t="str">
        <f>IF($S49="","",IF(INDEX('Master Tracker'!$K$6:$K$400,$S49)="","",INDEX('Master Tracker'!$K$6:$K$400,$S49)))</f>
        <v>P1-07</v>
      </c>
      <c r="K49" s="52" t="str">
        <f>IF($S49="","",IF(INDEX('Master Tracker'!$Y$6:$Y$400,$S49)="","",INDEX('Master Tracker'!$Y$6:$Y$400,$S49)))</f>
        <v>⏳ 1 open</v>
      </c>
      <c r="L49" s="52" t="str">
        <f>IF($S49="","",IF(INDEX('Master Tracker'!$M$6:$M$400,$S49)="","",INDEX('Master Tracker'!$M$6:$M$400,$S49)))</f>
        <v>assets/fonts/*, assets/css/base.css, header.php</v>
      </c>
      <c r="M49" s="52" t="str">
        <f>IF($S49="","",IF(INDEX('Master Tracker'!$O$6:$O$400,$S49)="","",INDEX('Master Tracker'!$O$6:$O$400,$S49)))</f>
        <v>Correct RTL direction site-wide; fonts self-hosted; no layout shift from font swap</v>
      </c>
      <c r="N49" s="52" t="str">
        <f>IF($S49="","",IF(INDEX('Master Tracker'!$N$6:$N$400,$S49)="","",INDEX('Master Tracker'!$N$6:$N$400,$S49)))</f>
        <v>Headlines/body render in Arabic font on iOS, Android, desktop; no invisible text flash; mixed strings align</v>
      </c>
      <c r="O49" s="7" t="str">
        <f>IF($S49="","",IF(INDEX('Master Tracker'!$T$6:$T$400,$S49)="","",INDEX('Master Tracker'!$T$6:$T$400,$S49)))</f>
        <v>Not Tested</v>
      </c>
      <c r="P49" s="7" t="str">
        <f ca="1">IF($S49="","",IF(INDEX('Master Tracker'!$AC$6:$AC$400,$S49)="","",INDEX('Master Tracker'!$AC$6:$AC$400,$S49)))</f>
        <v>Due soon</v>
      </c>
      <c r="S49">
        <f>IFERROR(MATCH("Phase 1|"&amp;A49,'Master Tracker'!$Z$6:$Z$400,0),"")</f>
        <v>9</v>
      </c>
    </row>
    <row r="50" spans="1:19" ht="48" customHeight="1" x14ac:dyDescent="0.3">
      <c r="A50" s="7">
        <v>10</v>
      </c>
      <c r="B50" s="51" t="str">
        <f>IF($S50="","",IF(INDEX('Master Tracker'!$A$6:$A$400,$S50)="","",INDEX('Master Tracker'!$A$6:$A$400,$S50)))</f>
        <v>P1-10</v>
      </c>
      <c r="C50" s="52" t="str">
        <f>IF($S50="","",IF(INDEX('Master Tracker'!$C$6:$C$400,$S50)="","",INDEX('Master Tracker'!$C$6:$C$400,$S50)))</f>
        <v>Responsive Design</v>
      </c>
      <c r="D50" s="52" t="str">
        <f>IF($S50="","",IF(INDEX('Master Tracker'!$D$6:$D$400,$S50)="","",INDEX('Master Tracker'!$D$6:$D$400,$S50)))</f>
        <v>Responsive grid &amp; breakpoints</v>
      </c>
      <c r="E50" s="7" t="str">
        <f>IF($S50="","",IF(INDEX('Master Tracker'!$F$6:$F$400,$S50)="","",INDEX('Master Tracker'!$F$6:$F$400,$S50)))</f>
        <v>P0</v>
      </c>
      <c r="F50" s="7" t="str">
        <f>IF($S50="","",IF(INDEX('Master Tracker'!$G$6:$G$400,$S50)="","",INDEX('Master Tracker'!$G$6:$G$400,$S50)))</f>
        <v>Not Started</v>
      </c>
      <c r="G50" s="19">
        <f>IF($S50="","",IF(INDEX('Master Tracker'!$H$6:$H$400,$S50)="","",INDEX('Master Tracker'!$H$6:$H$400,$S50)))</f>
        <v>46308</v>
      </c>
      <c r="H50" s="19">
        <f>IF($S50="","",IF(INDEX('Master Tracker'!$I$6:$I$400,$S50)="","",INDEX('Master Tracker'!$I$6:$I$400,$S50)))</f>
        <v>46308</v>
      </c>
      <c r="I50" s="53">
        <f>IF($S50="","",IF(INDEX('Master Tracker'!$U$6:$U$400,$S50)="","",INDEX('Master Tracker'!$U$6:$U$400,$S50)))</f>
        <v>0</v>
      </c>
      <c r="J50" s="52" t="str">
        <f>IF($S50="","",IF(INDEX('Master Tracker'!$K$6:$K$400,$S50)="","",INDEX('Master Tracker'!$K$6:$K$400,$S50)))</f>
        <v>P1-07</v>
      </c>
      <c r="K50" s="52" t="str">
        <f>IF($S50="","",IF(INDEX('Master Tracker'!$Y$6:$Y$400,$S50)="","",INDEX('Master Tracker'!$Y$6:$Y$400,$S50)))</f>
        <v>⏳ 1 open</v>
      </c>
      <c r="L50" s="52" t="str">
        <f>IF($S50="","",IF(INDEX('Master Tracker'!$M$6:$M$400,$S50)="","",INDEX('Master Tracker'!$M$6:$M$400,$S50)))</f>
        <v>assets/css/layout.css</v>
      </c>
      <c r="M50" s="52" t="str">
        <f>IF($S50="","",IF(INDEX('Master Tracker'!$O$6:$O$400,$S50)="","",INDEX('Master Tracker'!$O$6:$O$400,$S50)))</f>
        <v>All layouts usable at 360 px; no overflow; correctly sized images</v>
      </c>
      <c r="N50" s="52" t="str">
        <f>IF($S50="","",IF(INDEX('Master Tracker'!$N$6:$N$400,$S50)="","",INDEX('Master Tracker'!$N$6:$N$400,$S50)))</f>
        <v>Test 360, 414, 768, 1024, 1440 px widths; no horizontal scroll</v>
      </c>
      <c r="O50" s="7" t="str">
        <f>IF($S50="","",IF(INDEX('Master Tracker'!$T$6:$T$400,$S50)="","",INDEX('Master Tracker'!$T$6:$T$400,$S50)))</f>
        <v>Not Tested</v>
      </c>
      <c r="P50" s="7" t="str">
        <f ca="1">IF($S50="","",IF(INDEX('Master Tracker'!$AC$6:$AC$400,$S50)="","",INDEX('Master Tracker'!$AC$6:$AC$400,$S50)))</f>
        <v>Due soon</v>
      </c>
      <c r="S50">
        <f>IFERROR(MATCH("Phase 1|"&amp;A50,'Master Tracker'!$Z$6:$Z$400,0),"")</f>
        <v>10</v>
      </c>
    </row>
    <row r="51" spans="1:19" ht="48" customHeight="1" x14ac:dyDescent="0.3">
      <c r="A51" s="7">
        <v>11</v>
      </c>
      <c r="B51" s="51" t="str">
        <f>IF($S51="","",IF(INDEX('Master Tracker'!$A$6:$A$400,$S51)="","",INDEX('Master Tracker'!$A$6:$A$400,$S51)))</f>
        <v>P1-11</v>
      </c>
      <c r="C51" s="52" t="str">
        <f>IF($S51="","",IF(INDEX('Master Tracker'!$C$6:$C$400,$S51)="","",INDEX('Master Tracker'!$C$6:$C$400,$S51)))</f>
        <v>Header &amp; Navigation</v>
      </c>
      <c r="D51" s="52" t="str">
        <f>IF($S51="","",IF(INDEX('Master Tracker'!$D$6:$D$400,$S51)="","",INDEX('Master Tracker'!$D$6:$D$400,$S51)))</f>
        <v>Header, navigation, mobile drawer &amp; search</v>
      </c>
      <c r="E51" s="7" t="str">
        <f>IF($S51="","",IF(INDEX('Master Tracker'!$F$6:$F$400,$S51)="","",INDEX('Master Tracker'!$F$6:$F$400,$S51)))</f>
        <v>P0</v>
      </c>
      <c r="F51" s="7" t="str">
        <f>IF($S51="","",IF(INDEX('Master Tracker'!$G$6:$G$400,$S51)="","",INDEX('Master Tracker'!$G$6:$G$400,$S51)))</f>
        <v>Not Started</v>
      </c>
      <c r="G51" s="19">
        <f>IF($S51="","",IF(INDEX('Master Tracker'!$H$6:$H$400,$S51)="","",INDEX('Master Tracker'!$H$6:$H$400,$S51)))</f>
        <v>46308</v>
      </c>
      <c r="H51" s="19">
        <f>IF($S51="","",IF(INDEX('Master Tracker'!$I$6:$I$400,$S51)="","",INDEX('Master Tracker'!$I$6:$I$400,$S51)))</f>
        <v>46309</v>
      </c>
      <c r="I51" s="53">
        <f>IF($S51="","",IF(INDEX('Master Tracker'!$U$6:$U$400,$S51)="","",INDEX('Master Tracker'!$U$6:$U$400,$S51)))</f>
        <v>0</v>
      </c>
      <c r="J51" s="52" t="str">
        <f>IF($S51="","",IF(INDEX('Master Tracker'!$K$6:$K$400,$S51)="","",INDEX('Master Tracker'!$K$6:$K$400,$S51)))</f>
        <v>P1-06, P1-08, P1-15</v>
      </c>
      <c r="K51" s="52" t="str">
        <f>IF($S51="","",IF(INDEX('Master Tracker'!$Y$6:$Y$400,$S51)="","",INDEX('Master Tracker'!$Y$6:$Y$400,$S51)))</f>
        <v>⏳ 3 open</v>
      </c>
      <c r="L51" s="52" t="str">
        <f>IF($S51="","",IF(INDEX('Master Tracker'!$M$6:$M$400,$S51)="","",INDEX('Master Tracker'!$M$6:$M$400,$S51)))</f>
        <v>header.php, template-parts/header/*.php, assets/js/modules/nav.js</v>
      </c>
      <c r="M51" s="52" t="str">
        <f>IF($S51="","",IF(INDEX('Master Tracker'!$O$6:$O$400,$S51)="","",INDEX('Master Tracker'!$O$6:$O$400,$S51)))</f>
        <v>Navigation works on touch and keyboard; fully managed from WordPress menus</v>
      </c>
      <c r="N51" s="52" t="str">
        <f>IF($S51="","",IF(INDEX('Master Tracker'!$N$6:$N$400,$S51)="","",INDEX('Master Tracker'!$N$6:$N$400,$S51)))</f>
        <v>Drawer opens/closes, Esc closes, focus trapped; search submits; menu edited in WP admin updates header</v>
      </c>
      <c r="O51" s="7" t="str">
        <f>IF($S51="","",IF(INDEX('Master Tracker'!$T$6:$T$400,$S51)="","",INDEX('Master Tracker'!$T$6:$T$400,$S51)))</f>
        <v>Not Tested</v>
      </c>
      <c r="P51" s="7" t="str">
        <f ca="1">IF($S51="","",IF(INDEX('Master Tracker'!$AC$6:$AC$400,$S51)="","",INDEX('Master Tracker'!$AC$6:$AC$400,$S51)))</f>
        <v>On track</v>
      </c>
      <c r="S51">
        <f>IFERROR(MATCH("Phase 1|"&amp;A51,'Master Tracker'!$Z$6:$Z$400,0),"")</f>
        <v>11</v>
      </c>
    </row>
    <row r="52" spans="1:19" ht="48" customHeight="1" x14ac:dyDescent="0.3">
      <c r="A52" s="7">
        <v>12</v>
      </c>
      <c r="B52" s="51" t="str">
        <f>IF($S52="","",IF(INDEX('Master Tracker'!$A$6:$A$400,$S52)="","",INDEX('Master Tracker'!$A$6:$A$400,$S52)))</f>
        <v>P1-12</v>
      </c>
      <c r="C52" s="52" t="str">
        <f>IF($S52="","",IF(INDEX('Master Tracker'!$C$6:$C$400,$S52)="","",INDEX('Master Tracker'!$C$6:$C$400,$S52)))</f>
        <v>Footer</v>
      </c>
      <c r="D52" s="52" t="str">
        <f>IF($S52="","",IF(INDEX('Master Tracker'!$D$6:$D$400,$S52)="","",INDEX('Master Tracker'!$D$6:$D$400,$S52)))</f>
        <v>Footer with editable menus &amp; social links</v>
      </c>
      <c r="E52" s="7" t="str">
        <f>IF($S52="","",IF(INDEX('Master Tracker'!$F$6:$F$400,$S52)="","",INDEX('Master Tracker'!$F$6:$F$400,$S52)))</f>
        <v>P1</v>
      </c>
      <c r="F52" s="7" t="str">
        <f>IF($S52="","",IF(INDEX('Master Tracker'!$G$6:$G$400,$S52)="","",INDEX('Master Tracker'!$G$6:$G$400,$S52)))</f>
        <v>Not Started</v>
      </c>
      <c r="G52" s="19">
        <f>IF($S52="","",IF(INDEX('Master Tracker'!$H$6:$H$400,$S52)="","",INDEX('Master Tracker'!$H$6:$H$400,$S52)))</f>
        <v>46309</v>
      </c>
      <c r="H52" s="19">
        <f>IF($S52="","",IF(INDEX('Master Tracker'!$I$6:$I$400,$S52)="","",INDEX('Master Tracker'!$I$6:$I$400,$S52)))</f>
        <v>46309</v>
      </c>
      <c r="I52" s="53">
        <f>IF($S52="","",IF(INDEX('Master Tracker'!$U$6:$U$400,$S52)="","",INDEX('Master Tracker'!$U$6:$U$400,$S52)))</f>
        <v>0</v>
      </c>
      <c r="J52" s="52" t="str">
        <f>IF($S52="","",IF(INDEX('Master Tracker'!$K$6:$K$400,$S52)="","",INDEX('Master Tracker'!$K$6:$K$400,$S52)))</f>
        <v>P1-06</v>
      </c>
      <c r="K52" s="52" t="str">
        <f>IF($S52="","",IF(INDEX('Master Tracker'!$Y$6:$Y$400,$S52)="","",INDEX('Master Tracker'!$Y$6:$Y$400,$S52)))</f>
        <v>⏳ 1 open</v>
      </c>
      <c r="L52" s="52" t="str">
        <f>IF($S52="","",IF(INDEX('Master Tracker'!$M$6:$M$400,$S52)="","",INDEX('Master Tracker'!$M$6:$M$400,$S52)))</f>
        <v>footer.php, template-parts/footer/*.php</v>
      </c>
      <c r="M52" s="52" t="str">
        <f>IF($S52="","",IF(INDEX('Master Tracker'!$O$6:$O$400,$S52)="","",INDEX('Master Tracker'!$O$6:$O$400,$S52)))</f>
        <v>Footer content editable without code</v>
      </c>
      <c r="N52" s="52" t="str">
        <f>IF($S52="","",IF(INDEX('Master Tracker'!$N$6:$N$400,$S52)="","",INDEX('Master Tracker'!$N$6:$N$400,$S52)))</f>
        <v>All links resolve; social URLs editable in Customizer</v>
      </c>
      <c r="O52" s="7" t="str">
        <f>IF($S52="","",IF(INDEX('Master Tracker'!$T$6:$T$400,$S52)="","",INDEX('Master Tracker'!$T$6:$T$400,$S52)))</f>
        <v>Not Tested</v>
      </c>
      <c r="P52" s="7" t="str">
        <f ca="1">IF($S52="","",IF(INDEX('Master Tracker'!$AC$6:$AC$400,$S52)="","",INDEX('Master Tracker'!$AC$6:$AC$400,$S52)))</f>
        <v>On track</v>
      </c>
      <c r="S52">
        <f>IFERROR(MATCH("Phase 1|"&amp;A52,'Master Tracker'!$Z$6:$Z$400,0),"")</f>
        <v>12</v>
      </c>
    </row>
    <row r="53" spans="1:19" ht="48" customHeight="1" x14ac:dyDescent="0.3">
      <c r="A53" s="7">
        <v>13</v>
      </c>
      <c r="B53" s="51" t="str">
        <f>IF($S53="","",IF(INDEX('Master Tracker'!$A$6:$A$400,$S53)="","",INDEX('Master Tracker'!$A$6:$A$400,$S53)))</f>
        <v>P1-13</v>
      </c>
      <c r="C53" s="52" t="str">
        <f>IF($S53="","",IF(INDEX('Master Tracker'!$C$6:$C$400,$S53)="","",INDEX('Master Tracker'!$C$6:$C$400,$S53)))</f>
        <v>WordPress Integration</v>
      </c>
      <c r="D53" s="52" t="str">
        <f>IF($S53="","",IF(INDEX('Master Tracker'!$D$6:$D$400,$S53)="","",INDEX('Master Tracker'!$D$6:$D$400,$S53)))</f>
        <v>Core WordPress integration &amp; editor styles</v>
      </c>
      <c r="E53" s="7" t="str">
        <f>IF($S53="","",IF(INDEX('Master Tracker'!$F$6:$F$400,$S53)="","",INDEX('Master Tracker'!$F$6:$F$400,$S53)))</f>
        <v>P0</v>
      </c>
      <c r="F53" s="7" t="str">
        <f>IF($S53="","",IF(INDEX('Master Tracker'!$G$6:$G$400,$S53)="","",INDEX('Master Tracker'!$G$6:$G$400,$S53)))</f>
        <v>Not Started</v>
      </c>
      <c r="G53" s="19">
        <f>IF($S53="","",IF(INDEX('Master Tracker'!$H$6:$H$400,$S53)="","",INDEX('Master Tracker'!$H$6:$H$400,$S53)))</f>
        <v>46309</v>
      </c>
      <c r="H53" s="19">
        <f>IF($S53="","",IF(INDEX('Master Tracker'!$I$6:$I$400,$S53)="","",INDEX('Master Tracker'!$I$6:$I$400,$S53)))</f>
        <v>46309</v>
      </c>
      <c r="I53" s="53">
        <f>IF($S53="","",IF(INDEX('Master Tracker'!$U$6:$U$400,$S53)="","",INDEX('Master Tracker'!$U$6:$U$400,$S53)))</f>
        <v>0</v>
      </c>
      <c r="J53" s="52" t="str">
        <f>IF($S53="","",IF(INDEX('Master Tracker'!$K$6:$K$400,$S53)="","",INDEX('Master Tracker'!$K$6:$K$400,$S53)))</f>
        <v>P1-05</v>
      </c>
      <c r="K53" s="52" t="str">
        <f>IF($S53="","",IF(INDEX('Master Tracker'!$Y$6:$Y$400,$S53)="","",INDEX('Master Tracker'!$Y$6:$Y$400,$S53)))</f>
        <v>⏳ 1 open</v>
      </c>
      <c r="L53" s="52" t="str">
        <f>IF($S53="","",IF(INDEX('Master Tracker'!$M$6:$M$400,$S53)="","",INDEX('Master Tracker'!$M$6:$M$400,$S53)))</f>
        <v>functions.php, inc/widgets.php, assets/css/editor-style.css</v>
      </c>
      <c r="M53" s="52" t="str">
        <f>IF($S53="","",IF(INDEX('Master Tracker'!$O$6:$O$400,$S53)="","",INDEX('Master Tracker'!$O$6:$O$400,$S53)))</f>
        <v>Theme compatible with WordPress core and active plugins; no missing hooks</v>
      </c>
      <c r="N53" s="52" t="str">
        <f>IF($S53="","",IF(INDEX('Master Tracker'!$N$6:$N$400,$S53)="","",INDEX('Master Tracker'!$N$6:$N$400,$S53)))</f>
        <v>SEO and LiteSpeed plugins inject head tags; widgets render; editor preview matches front end</v>
      </c>
      <c r="O53" s="7" t="str">
        <f>IF($S53="","",IF(INDEX('Master Tracker'!$T$6:$T$400,$S53)="","",INDEX('Master Tracker'!$T$6:$T$400,$S53)))</f>
        <v>Not Tested</v>
      </c>
      <c r="P53" s="7" t="str">
        <f ca="1">IF($S53="","",IF(INDEX('Master Tracker'!$AC$6:$AC$400,$S53)="","",INDEX('Master Tracker'!$AC$6:$AC$400,$S53)))</f>
        <v>On track</v>
      </c>
      <c r="S53">
        <f>IFERROR(MATCH("Phase 1|"&amp;A53,'Master Tracker'!$Z$6:$Z$400,0),"")</f>
        <v>13</v>
      </c>
    </row>
    <row r="54" spans="1:19" ht="48" customHeight="1" x14ac:dyDescent="0.3">
      <c r="A54" s="7">
        <v>14</v>
      </c>
      <c r="B54" s="51" t="str">
        <f>IF($S54="","",IF(INDEX('Master Tracker'!$A$6:$A$400,$S54)="","",INDEX('Master Tracker'!$A$6:$A$400,$S54)))</f>
        <v>P1-14</v>
      </c>
      <c r="C54" s="52" t="str">
        <f>IF($S54="","",IF(INDEX('Master Tracker'!$C$6:$C$400,$S54)="","",INDEX('Master Tracker'!$C$6:$C$400,$S54)))</f>
        <v>Query Caching</v>
      </c>
      <c r="D54" s="52" t="str">
        <f>IF($S54="","",IF(INDEX('Master Tracker'!$D$6:$D$400,$S54)="","",INDEX('Master Tracker'!$D$6:$D$400,$S54)))</f>
        <v>Query caching layer with auto-invalidation</v>
      </c>
      <c r="E54" s="7" t="str">
        <f>IF($S54="","",IF(INDEX('Master Tracker'!$F$6:$F$400,$S54)="","",INDEX('Master Tracker'!$F$6:$F$400,$S54)))</f>
        <v>P0</v>
      </c>
      <c r="F54" s="7" t="str">
        <f>IF($S54="","",IF(INDEX('Master Tracker'!$G$6:$G$400,$S54)="","",INDEX('Master Tracker'!$G$6:$G$400,$S54)))</f>
        <v>Not Started</v>
      </c>
      <c r="G54" s="19">
        <f>IF($S54="","",IF(INDEX('Master Tracker'!$H$6:$H$400,$S54)="","",INDEX('Master Tracker'!$H$6:$H$400,$S54)))</f>
        <v>46309</v>
      </c>
      <c r="H54" s="19">
        <f>IF($S54="","",IF(INDEX('Master Tracker'!$I$6:$I$400,$S54)="","",INDEX('Master Tracker'!$I$6:$I$400,$S54)))</f>
        <v>46309</v>
      </c>
      <c r="I54" s="53">
        <f>IF($S54="","",IF(INDEX('Master Tracker'!$U$6:$U$400,$S54)="","",INDEX('Master Tracker'!$U$6:$U$400,$S54)))</f>
        <v>0</v>
      </c>
      <c r="J54" s="52" t="str">
        <f>IF($S54="","",IF(INDEX('Master Tracker'!$K$6:$K$400,$S54)="","",INDEX('Master Tracker'!$K$6:$K$400,$S54)))</f>
        <v>P1-03</v>
      </c>
      <c r="K54" s="52" t="str">
        <f>IF($S54="","",IF(INDEX('Master Tracker'!$Y$6:$Y$400,$S54)="","",INDEX('Master Tracker'!$Y$6:$Y$400,$S54)))</f>
        <v>⏳ 1 open</v>
      </c>
      <c r="L54" s="52" t="str">
        <f>IF($S54="","",IF(INDEX('Master Tracker'!$M$6:$M$400,$S54)="","",INDEX('Master Tracker'!$M$6:$M$400,$S54)))</f>
        <v>inc/cache.php</v>
      </c>
      <c r="M54" s="52" t="str">
        <f>IF($S54="","",IF(INDEX('Master Tracker'!$O$6:$O$400,$S54)="","",INDEX('Master Tracker'!$O$6:$O$400,$S54)))</f>
        <v>Homepage warm-cache DB queries within target (≤ 40); no stale content after publish</v>
      </c>
      <c r="N54" s="52" t="str">
        <f>IF($S54="","",IF(INDEX('Master Tracker'!$N$6:$N$400,$S54)="","",INDEX('Master Tracker'!$N$6:$N$400,$S54)))</f>
        <v>Query Monitor shows reduced queries on warm load; publishing a post refreshes affected sections immediately</v>
      </c>
      <c r="O54" s="7" t="str">
        <f>IF($S54="","",IF(INDEX('Master Tracker'!$T$6:$T$400,$S54)="","",INDEX('Master Tracker'!$T$6:$T$400,$S54)))</f>
        <v>Not Tested</v>
      </c>
      <c r="P54" s="7" t="str">
        <f ca="1">IF($S54="","",IF(INDEX('Master Tracker'!$AC$6:$AC$400,$S54)="","",INDEX('Master Tracker'!$AC$6:$AC$400,$S54)))</f>
        <v>On track</v>
      </c>
      <c r="S54">
        <f>IFERROR(MATCH("Phase 1|"&amp;A54,'Master Tracker'!$Z$6:$Z$400,0),"")</f>
        <v>14</v>
      </c>
    </row>
    <row r="55" spans="1:19" ht="48" customHeight="1" x14ac:dyDescent="0.3">
      <c r="A55" s="7">
        <v>15</v>
      </c>
      <c r="B55" s="51" t="str">
        <f>IF($S55="","",IF(INDEX('Master Tracker'!$A$6:$A$400,$S55)="","",INDEX('Master Tracker'!$A$6:$A$400,$S55)))</f>
        <v>P1-15</v>
      </c>
      <c r="C55" s="52" t="str">
        <f>IF($S55="","",IF(INDEX('Master Tracker'!$C$6:$C$400,$S55)="","",INDEX('Master Tracker'!$C$6:$C$400,$S55)))</f>
        <v>Date Helpers</v>
      </c>
      <c r="D55" s="52" t="str">
        <f>IF($S55="","",IF(INDEX('Master Tracker'!$D$6:$D$400,$S55)="","",INDEX('Master Tracker'!$D$6:$D$400,$S55)))</f>
        <v>Arabic date, relative time &amp; reading-time helpers</v>
      </c>
      <c r="E55" s="7" t="str">
        <f>IF($S55="","",IF(INDEX('Master Tracker'!$F$6:$F$400,$S55)="","",INDEX('Master Tracker'!$F$6:$F$400,$S55)))</f>
        <v>P1</v>
      </c>
      <c r="F55" s="7" t="str">
        <f>IF($S55="","",IF(INDEX('Master Tracker'!$G$6:$G$400,$S55)="","",INDEX('Master Tracker'!$G$6:$G$400,$S55)))</f>
        <v>Not Started</v>
      </c>
      <c r="G55" s="19">
        <f>IF($S55="","",IF(INDEX('Master Tracker'!$H$6:$H$400,$S55)="","",INDEX('Master Tracker'!$H$6:$H$400,$S55)))</f>
        <v>46309</v>
      </c>
      <c r="H55" s="19">
        <f>IF($S55="","",IF(INDEX('Master Tracker'!$I$6:$I$400,$S55)="","",INDEX('Master Tracker'!$I$6:$I$400,$S55)))</f>
        <v>46309</v>
      </c>
      <c r="I55" s="53">
        <f>IF($S55="","",IF(INDEX('Master Tracker'!$U$6:$U$400,$S55)="","",INDEX('Master Tracker'!$U$6:$U$400,$S55)))</f>
        <v>0</v>
      </c>
      <c r="J55" s="52" t="str">
        <f>IF($S55="","",IF(INDEX('Master Tracker'!$K$6:$K$400,$S55)="","",INDEX('Master Tracker'!$K$6:$K$400,$S55)))</f>
        <v>P1-03</v>
      </c>
      <c r="K55" s="52" t="str">
        <f>IF($S55="","",IF(INDEX('Master Tracker'!$Y$6:$Y$400,$S55)="","",INDEX('Master Tracker'!$Y$6:$Y$400,$S55)))</f>
        <v>⏳ 1 open</v>
      </c>
      <c r="L55" s="52" t="str">
        <f>IF($S55="","",IF(INDEX('Master Tracker'!$M$6:$M$400,$S55)="","",INDEX('Master Tracker'!$M$6:$M$400,$S55)))</f>
        <v>inc/helpers-date.php</v>
      </c>
      <c r="M55" s="52" t="str">
        <f>IF($S55="","",IF(INDEX('Master Tracker'!$O$6:$O$400,$S55)="","",INDEX('Master Tracker'!$O$6:$O$400,$S55)))</f>
        <v>All templates use helpers; dates correct in site timezone</v>
      </c>
      <c r="N55" s="52" t="str">
        <f>IF($S55="","",IF(INDEX('Master Tracker'!$N$6:$N$400,$S55)="","",INDEX('Master Tracker'!$N$6:$N$400,$S55)))</f>
        <v>Check outputs for today, yesterday, last month and last year in site timezone</v>
      </c>
      <c r="O55" s="7" t="str">
        <f>IF($S55="","",IF(INDEX('Master Tracker'!$T$6:$T$400,$S55)="","",INDEX('Master Tracker'!$T$6:$T$400,$S55)))</f>
        <v>Not Tested</v>
      </c>
      <c r="P55" s="7" t="str">
        <f ca="1">IF($S55="","",IF(INDEX('Master Tracker'!$AC$6:$AC$400,$S55)="","",INDEX('Master Tracker'!$AC$6:$AC$400,$S55)))</f>
        <v>On track</v>
      </c>
      <c r="S55">
        <f>IFERROR(MATCH("Phase 1|"&amp;A55,'Master Tracker'!$Z$6:$Z$400,0),"")</f>
        <v>15</v>
      </c>
    </row>
    <row r="56" spans="1:19" ht="48" customHeight="1" x14ac:dyDescent="0.3">
      <c r="A56" s="7">
        <v>16</v>
      </c>
      <c r="B56" s="51" t="str">
        <f>IF($S56="","",IF(INDEX('Master Tracker'!$A$6:$A$400,$S56)="","",INDEX('Master Tracker'!$A$6:$A$400,$S56)))</f>
        <v>P1-16</v>
      </c>
      <c r="C56" s="52" t="str">
        <f>IF($S56="","",IF(INDEX('Master Tracker'!$C$6:$C$400,$S56)="","",INDEX('Master Tracker'!$C$6:$C$400,$S56)))</f>
        <v>Media</v>
      </c>
      <c r="D56" s="52" t="str">
        <f>IF($S56="","",IF(INDEX('Master Tracker'!$D$6:$D$400,$S56)="","",INDEX('Master Tracker'!$D$6:$D$400,$S56)))</f>
        <v>Image handling, lazy-load &amp; fallbacks</v>
      </c>
      <c r="E56" s="7" t="str">
        <f>IF($S56="","",IF(INDEX('Master Tracker'!$F$6:$F$400,$S56)="","",INDEX('Master Tracker'!$F$6:$F$400,$S56)))</f>
        <v>P1</v>
      </c>
      <c r="F56" s="7" t="str">
        <f>IF($S56="","",IF(INDEX('Master Tracker'!$G$6:$G$400,$S56)="","",INDEX('Master Tracker'!$G$6:$G$400,$S56)))</f>
        <v>Not Started</v>
      </c>
      <c r="G56" s="19">
        <f>IF($S56="","",IF(INDEX('Master Tracker'!$H$6:$H$400,$S56)="","",INDEX('Master Tracker'!$H$6:$H$400,$S56)))</f>
        <v>46309</v>
      </c>
      <c r="H56" s="19">
        <f>IF($S56="","",IF(INDEX('Master Tracker'!$I$6:$I$400,$S56)="","",INDEX('Master Tracker'!$I$6:$I$400,$S56)))</f>
        <v>46309</v>
      </c>
      <c r="I56" s="53">
        <f>IF($S56="","",IF(INDEX('Master Tracker'!$U$6:$U$400,$S56)="","",INDEX('Master Tracker'!$U$6:$U$400,$S56)))</f>
        <v>0</v>
      </c>
      <c r="J56" s="52" t="str">
        <f>IF($S56="","",IF(INDEX('Master Tracker'!$K$6:$K$400,$S56)="","",INDEX('Master Tracker'!$K$6:$K$400,$S56)))</f>
        <v>P1-06</v>
      </c>
      <c r="K56" s="52" t="str">
        <f>IF($S56="","",IF(INDEX('Master Tracker'!$Y$6:$Y$400,$S56)="","",INDEX('Master Tracker'!$Y$6:$Y$400,$S56)))</f>
        <v>⏳ 1 open</v>
      </c>
      <c r="L56" s="52" t="str">
        <f>IF($S56="","",IF(INDEX('Master Tracker'!$M$6:$M$400,$S56)="","",INDEX('Master Tracker'!$M$6:$M$400,$S56)))</f>
        <v>inc/media.php, template-parts/components/*</v>
      </c>
      <c r="M56" s="52" t="str">
        <f>IF($S56="","",IF(INDEX('Master Tracker'!$O$6:$O$400,$S56)="","",INDEX('Master Tracker'!$O$6:$O$400,$S56)))</f>
        <v>Every card shows an image or fallback; CLS &lt; 0.1 on archives</v>
      </c>
      <c r="N56" s="52" t="str">
        <f>IF($S56="","",IF(INDEX('Master Tracker'!$N$6:$N$400,$S56)="","",INDEX('Master Tracker'!$N$6:$N$400,$S56)))</f>
        <v>Legacy post without featured image shows fallback; no layout shift on card grids</v>
      </c>
      <c r="O56" s="7" t="str">
        <f>IF($S56="","",IF(INDEX('Master Tracker'!$T$6:$T$400,$S56)="","",INDEX('Master Tracker'!$T$6:$T$400,$S56)))</f>
        <v>Not Tested</v>
      </c>
      <c r="P56" s="7" t="str">
        <f ca="1">IF($S56="","",IF(INDEX('Master Tracker'!$AC$6:$AC$400,$S56)="","",INDEX('Master Tracker'!$AC$6:$AC$400,$S56)))</f>
        <v>On track</v>
      </c>
      <c r="S56">
        <f>IFERROR(MATCH("Phase 1|"&amp;A56,'Master Tracker'!$Z$6:$Z$400,0),"")</f>
        <v>16</v>
      </c>
    </row>
    <row r="57" spans="1:19" ht="48" customHeight="1" x14ac:dyDescent="0.3">
      <c r="A57" s="7">
        <v>17</v>
      </c>
      <c r="B57" s="51" t="str">
        <f>IF($S57="","",IF(INDEX('Master Tracker'!$A$6:$A$400,$S57)="","",INDEX('Master Tracker'!$A$6:$A$400,$S57)))</f>
        <v>P1-17</v>
      </c>
      <c r="C57" s="52" t="str">
        <f>IF($S57="","",IF(INDEX('Master Tracker'!$C$6:$C$400,$S57)="","",INDEX('Master Tracker'!$C$6:$C$400,$S57)))</f>
        <v>Phase QA</v>
      </c>
      <c r="D57" s="52" t="str">
        <f>IF($S57="","",IF(INDEX('Master Tracker'!$D$6:$D$400,$S57)="","",INDEX('Master Tracker'!$D$6:$D$400,$S57)))</f>
        <v>Phase 1 verification &amp; tag v0.1</v>
      </c>
      <c r="E57" s="7" t="str">
        <f>IF($S57="","",IF(INDEX('Master Tracker'!$F$6:$F$400,$S57)="","",INDEX('Master Tracker'!$F$6:$F$400,$S57)))</f>
        <v>P0</v>
      </c>
      <c r="F57" s="7" t="str">
        <f>IF($S57="","",IF(INDEX('Master Tracker'!$G$6:$G$400,$S57)="","",INDEX('Master Tracker'!$G$6:$G$400,$S57)))</f>
        <v>Not Started</v>
      </c>
      <c r="G57" s="19">
        <f>IF($S57="","",IF(INDEX('Master Tracker'!$H$6:$H$400,$S57)="","",INDEX('Master Tracker'!$H$6:$H$400,$S57)))</f>
        <v>46309</v>
      </c>
      <c r="H57" s="19">
        <f>IF($S57="","",IF(INDEX('Master Tracker'!$I$6:$I$400,$S57)="","",INDEX('Master Tracker'!$I$6:$I$400,$S57)))</f>
        <v>46309</v>
      </c>
      <c r="I57" s="53">
        <f>IF($S57="","",IF(INDEX('Master Tracker'!$U$6:$U$400,$S57)="","",INDEX('Master Tracker'!$U$6:$U$400,$S57)))</f>
        <v>0</v>
      </c>
      <c r="J57" s="52" t="str">
        <f>IF($S57="","",IF(INDEX('Master Tracker'!$K$6:$K$400,$S57)="","",INDEX('Master Tracker'!$K$6:$K$400,$S57)))</f>
        <v>P1-11, P1-13, P1-14, P1-16</v>
      </c>
      <c r="K57" s="52" t="str">
        <f>IF($S57="","",IF(INDEX('Master Tracker'!$Y$6:$Y$400,$S57)="","",INDEX('Master Tracker'!$Y$6:$Y$400,$S57)))</f>
        <v>⏳ 4 open</v>
      </c>
      <c r="L57" s="52" t="str">
        <f>IF($S57="","",IF(INDEX('Master Tracker'!$M$6:$M$400,$S57)="","",INDEX('Master Tracker'!$M$6:$M$400,$S57)))</f>
        <v>debug.log</v>
      </c>
      <c r="M57" s="52" t="str">
        <f>IF($S57="","",IF(INDEX('Master Tracker'!$O$6:$O$400,$S57)="","",INDEX('Master Tracker'!$O$6:$O$400,$S57)))</f>
        <v>Foundation signed off; Phase 2 can start</v>
      </c>
      <c r="N57" s="52" t="str">
        <f>IF($S57="","",IF(INDEX('Master Tracker'!$N$6:$N$400,$S57)="","",INDEX('Master Tracker'!$N$6:$N$400,$S57)))</f>
        <v>debug.log has no theme notices; all templates load</v>
      </c>
      <c r="O57" s="7" t="str">
        <f>IF($S57="","",IF(INDEX('Master Tracker'!$T$6:$T$400,$S57)="","",INDEX('Master Tracker'!$T$6:$T$400,$S57)))</f>
        <v>Not Tested</v>
      </c>
      <c r="P57" s="7" t="str">
        <f ca="1">IF($S57="","",IF(INDEX('Master Tracker'!$AC$6:$AC$400,$S57)="","",INDEX('Master Tracker'!$AC$6:$AC$400,$S57)))</f>
        <v>On track</v>
      </c>
      <c r="S57">
        <f>IFERROR(MATCH("Phase 1|"&amp;A57,'Master Tracker'!$Z$6:$Z$400,0),"")</f>
        <v>17</v>
      </c>
    </row>
    <row r="58" spans="1:19" ht="15" customHeight="1" x14ac:dyDescent="0.3">
      <c r="A58" s="7">
        <v>18</v>
      </c>
      <c r="B58" s="51" t="str">
        <f>IF($S58="","",IF(INDEX('Master Tracker'!$A$6:$A$400,$S58)="","",INDEX('Master Tracker'!$A$6:$A$400,$S58)))</f>
        <v/>
      </c>
      <c r="C58" s="52" t="str">
        <f>IF($S58="","",IF(INDEX('Master Tracker'!$C$6:$C$400,$S58)="","",INDEX('Master Tracker'!$C$6:$C$400,$S58)))</f>
        <v/>
      </c>
      <c r="D58" s="52" t="str">
        <f>IF($S58="","",IF(INDEX('Master Tracker'!$D$6:$D$400,$S58)="","",INDEX('Master Tracker'!$D$6:$D$400,$S58)))</f>
        <v/>
      </c>
      <c r="E58" s="7" t="str">
        <f>IF($S58="","",IF(INDEX('Master Tracker'!$F$6:$F$400,$S58)="","",INDEX('Master Tracker'!$F$6:$F$400,$S58)))</f>
        <v/>
      </c>
      <c r="F58" s="7" t="str">
        <f>IF($S58="","",IF(INDEX('Master Tracker'!$G$6:$G$400,$S58)="","",INDEX('Master Tracker'!$G$6:$G$400,$S58)))</f>
        <v/>
      </c>
      <c r="G58" s="19" t="str">
        <f>IF($S58="","",IF(INDEX('Master Tracker'!$H$6:$H$400,$S58)="","",INDEX('Master Tracker'!$H$6:$H$400,$S58)))</f>
        <v/>
      </c>
      <c r="H58" s="19" t="str">
        <f>IF($S58="","",IF(INDEX('Master Tracker'!$I$6:$I$400,$S58)="","",INDEX('Master Tracker'!$I$6:$I$400,$S58)))</f>
        <v/>
      </c>
      <c r="I58" s="53" t="str">
        <f>IF($S58="","",IF(INDEX('Master Tracker'!$U$6:$U$400,$S58)="","",INDEX('Master Tracker'!$U$6:$U$400,$S58)))</f>
        <v/>
      </c>
      <c r="J58" s="52" t="str">
        <f>IF($S58="","",IF(INDEX('Master Tracker'!$K$6:$K$400,$S58)="","",INDEX('Master Tracker'!$K$6:$K$400,$S58)))</f>
        <v/>
      </c>
      <c r="K58" s="52" t="str">
        <f>IF($S58="","",IF(INDEX('Master Tracker'!$Y$6:$Y$400,$S58)="","",INDEX('Master Tracker'!$Y$6:$Y$400,$S58)))</f>
        <v/>
      </c>
      <c r="L58" s="52" t="str">
        <f>IF($S58="","",IF(INDEX('Master Tracker'!$M$6:$M$400,$S58)="","",INDEX('Master Tracker'!$M$6:$M$400,$S58)))</f>
        <v/>
      </c>
      <c r="M58" s="52" t="str">
        <f>IF($S58="","",IF(INDEX('Master Tracker'!$O$6:$O$400,$S58)="","",INDEX('Master Tracker'!$O$6:$O$400,$S58)))</f>
        <v/>
      </c>
      <c r="N58" s="52" t="str">
        <f>IF($S58="","",IF(INDEX('Master Tracker'!$N$6:$N$400,$S58)="","",INDEX('Master Tracker'!$N$6:$N$400,$S58)))</f>
        <v/>
      </c>
      <c r="O58" s="7" t="str">
        <f>IF($S58="","",IF(INDEX('Master Tracker'!$T$6:$T$400,$S58)="","",INDEX('Master Tracker'!$T$6:$T$400,$S58)))</f>
        <v/>
      </c>
      <c r="P58" s="7" t="str">
        <f>IF($S58="","",IF(INDEX('Master Tracker'!$AC$6:$AC$400,$S58)="","",INDEX('Master Tracker'!$AC$6:$AC$400,$S58)))</f>
        <v/>
      </c>
      <c r="S58" t="str">
        <f>IFERROR(MATCH("Phase 1|"&amp;A58,'Master Tracker'!$Z$6:$Z$400,0),"")</f>
        <v/>
      </c>
    </row>
    <row r="59" spans="1:19" ht="15" customHeight="1" x14ac:dyDescent="0.3">
      <c r="A59" s="7">
        <v>19</v>
      </c>
      <c r="B59" s="51" t="str">
        <f>IF($S59="","",IF(INDEX('Master Tracker'!$A$6:$A$400,$S59)="","",INDEX('Master Tracker'!$A$6:$A$400,$S59)))</f>
        <v/>
      </c>
      <c r="C59" s="52" t="str">
        <f>IF($S59="","",IF(INDEX('Master Tracker'!$C$6:$C$400,$S59)="","",INDEX('Master Tracker'!$C$6:$C$400,$S59)))</f>
        <v/>
      </c>
      <c r="D59" s="52" t="str">
        <f>IF($S59="","",IF(INDEX('Master Tracker'!$D$6:$D$400,$S59)="","",INDEX('Master Tracker'!$D$6:$D$400,$S59)))</f>
        <v/>
      </c>
      <c r="E59" s="7" t="str">
        <f>IF($S59="","",IF(INDEX('Master Tracker'!$F$6:$F$400,$S59)="","",INDEX('Master Tracker'!$F$6:$F$400,$S59)))</f>
        <v/>
      </c>
      <c r="F59" s="7" t="str">
        <f>IF($S59="","",IF(INDEX('Master Tracker'!$G$6:$G$400,$S59)="","",INDEX('Master Tracker'!$G$6:$G$400,$S59)))</f>
        <v/>
      </c>
      <c r="G59" s="19" t="str">
        <f>IF($S59="","",IF(INDEX('Master Tracker'!$H$6:$H$400,$S59)="","",INDEX('Master Tracker'!$H$6:$H$400,$S59)))</f>
        <v/>
      </c>
      <c r="H59" s="19" t="str">
        <f>IF($S59="","",IF(INDEX('Master Tracker'!$I$6:$I$400,$S59)="","",INDEX('Master Tracker'!$I$6:$I$400,$S59)))</f>
        <v/>
      </c>
      <c r="I59" s="53" t="str">
        <f>IF($S59="","",IF(INDEX('Master Tracker'!$U$6:$U$400,$S59)="","",INDEX('Master Tracker'!$U$6:$U$400,$S59)))</f>
        <v/>
      </c>
      <c r="J59" s="52" t="str">
        <f>IF($S59="","",IF(INDEX('Master Tracker'!$K$6:$K$400,$S59)="","",INDEX('Master Tracker'!$K$6:$K$400,$S59)))</f>
        <v/>
      </c>
      <c r="K59" s="52" t="str">
        <f>IF($S59="","",IF(INDEX('Master Tracker'!$Y$6:$Y$400,$S59)="","",INDEX('Master Tracker'!$Y$6:$Y$400,$S59)))</f>
        <v/>
      </c>
      <c r="L59" s="52" t="str">
        <f>IF($S59="","",IF(INDEX('Master Tracker'!$M$6:$M$400,$S59)="","",INDEX('Master Tracker'!$M$6:$M$400,$S59)))</f>
        <v/>
      </c>
      <c r="M59" s="52" t="str">
        <f>IF($S59="","",IF(INDEX('Master Tracker'!$O$6:$O$400,$S59)="","",INDEX('Master Tracker'!$O$6:$O$400,$S59)))</f>
        <v/>
      </c>
      <c r="N59" s="52" t="str">
        <f>IF($S59="","",IF(INDEX('Master Tracker'!$N$6:$N$400,$S59)="","",INDEX('Master Tracker'!$N$6:$N$400,$S59)))</f>
        <v/>
      </c>
      <c r="O59" s="7" t="str">
        <f>IF($S59="","",IF(INDEX('Master Tracker'!$T$6:$T$400,$S59)="","",INDEX('Master Tracker'!$T$6:$T$400,$S59)))</f>
        <v/>
      </c>
      <c r="P59" s="7" t="str">
        <f>IF($S59="","",IF(INDEX('Master Tracker'!$AC$6:$AC$400,$S59)="","",INDEX('Master Tracker'!$AC$6:$AC$400,$S59)))</f>
        <v/>
      </c>
      <c r="S59" t="str">
        <f>IFERROR(MATCH("Phase 1|"&amp;A59,'Master Tracker'!$Z$6:$Z$400,0),"")</f>
        <v/>
      </c>
    </row>
    <row r="60" spans="1:19" ht="15" customHeight="1" x14ac:dyDescent="0.3">
      <c r="A60" s="7">
        <v>20</v>
      </c>
      <c r="B60" s="51" t="str">
        <f>IF($S60="","",IF(INDEX('Master Tracker'!$A$6:$A$400,$S60)="","",INDEX('Master Tracker'!$A$6:$A$400,$S60)))</f>
        <v/>
      </c>
      <c r="C60" s="52" t="str">
        <f>IF($S60="","",IF(INDEX('Master Tracker'!$C$6:$C$400,$S60)="","",INDEX('Master Tracker'!$C$6:$C$400,$S60)))</f>
        <v/>
      </c>
      <c r="D60" s="52" t="str">
        <f>IF($S60="","",IF(INDEX('Master Tracker'!$D$6:$D$400,$S60)="","",INDEX('Master Tracker'!$D$6:$D$400,$S60)))</f>
        <v/>
      </c>
      <c r="E60" s="7" t="str">
        <f>IF($S60="","",IF(INDEX('Master Tracker'!$F$6:$F$400,$S60)="","",INDEX('Master Tracker'!$F$6:$F$400,$S60)))</f>
        <v/>
      </c>
      <c r="F60" s="7" t="str">
        <f>IF($S60="","",IF(INDEX('Master Tracker'!$G$6:$G$400,$S60)="","",INDEX('Master Tracker'!$G$6:$G$400,$S60)))</f>
        <v/>
      </c>
      <c r="G60" s="19" t="str">
        <f>IF($S60="","",IF(INDEX('Master Tracker'!$H$6:$H$400,$S60)="","",INDEX('Master Tracker'!$H$6:$H$400,$S60)))</f>
        <v/>
      </c>
      <c r="H60" s="19" t="str">
        <f>IF($S60="","",IF(INDEX('Master Tracker'!$I$6:$I$400,$S60)="","",INDEX('Master Tracker'!$I$6:$I$400,$S60)))</f>
        <v/>
      </c>
      <c r="I60" s="53" t="str">
        <f>IF($S60="","",IF(INDEX('Master Tracker'!$U$6:$U$400,$S60)="","",INDEX('Master Tracker'!$U$6:$U$400,$S60)))</f>
        <v/>
      </c>
      <c r="J60" s="52" t="str">
        <f>IF($S60="","",IF(INDEX('Master Tracker'!$K$6:$K$400,$S60)="","",INDEX('Master Tracker'!$K$6:$K$400,$S60)))</f>
        <v/>
      </c>
      <c r="K60" s="52" t="str">
        <f>IF($S60="","",IF(INDEX('Master Tracker'!$Y$6:$Y$400,$S60)="","",INDEX('Master Tracker'!$Y$6:$Y$400,$S60)))</f>
        <v/>
      </c>
      <c r="L60" s="52" t="str">
        <f>IF($S60="","",IF(INDEX('Master Tracker'!$M$6:$M$400,$S60)="","",INDEX('Master Tracker'!$M$6:$M$400,$S60)))</f>
        <v/>
      </c>
      <c r="M60" s="52" t="str">
        <f>IF($S60="","",IF(INDEX('Master Tracker'!$O$6:$O$400,$S60)="","",INDEX('Master Tracker'!$O$6:$O$400,$S60)))</f>
        <v/>
      </c>
      <c r="N60" s="52" t="str">
        <f>IF($S60="","",IF(INDEX('Master Tracker'!$N$6:$N$400,$S60)="","",INDEX('Master Tracker'!$N$6:$N$400,$S60)))</f>
        <v/>
      </c>
      <c r="O60" s="7" t="str">
        <f>IF($S60="","",IF(INDEX('Master Tracker'!$T$6:$T$400,$S60)="","",INDEX('Master Tracker'!$T$6:$T$400,$S60)))</f>
        <v/>
      </c>
      <c r="P60" s="7" t="str">
        <f>IF($S60="","",IF(INDEX('Master Tracker'!$AC$6:$AC$400,$S60)="","",INDEX('Master Tracker'!$AC$6:$AC$400,$S60)))</f>
        <v/>
      </c>
      <c r="S60" t="str">
        <f>IFERROR(MATCH("Phase 1|"&amp;A60,'Master Tracker'!$Z$6:$Z$400,0),"")</f>
        <v/>
      </c>
    </row>
    <row r="61" spans="1:19" ht="15" customHeight="1" x14ac:dyDescent="0.3">
      <c r="A61" s="7">
        <v>21</v>
      </c>
      <c r="B61" s="51" t="str">
        <f>IF($S61="","",IF(INDEX('Master Tracker'!$A$6:$A$400,$S61)="","",INDEX('Master Tracker'!$A$6:$A$400,$S61)))</f>
        <v/>
      </c>
      <c r="C61" s="52" t="str">
        <f>IF($S61="","",IF(INDEX('Master Tracker'!$C$6:$C$400,$S61)="","",INDEX('Master Tracker'!$C$6:$C$400,$S61)))</f>
        <v/>
      </c>
      <c r="D61" s="52" t="str">
        <f>IF($S61="","",IF(INDEX('Master Tracker'!$D$6:$D$400,$S61)="","",INDEX('Master Tracker'!$D$6:$D$400,$S61)))</f>
        <v/>
      </c>
      <c r="E61" s="7" t="str">
        <f>IF($S61="","",IF(INDEX('Master Tracker'!$F$6:$F$400,$S61)="","",INDEX('Master Tracker'!$F$6:$F$400,$S61)))</f>
        <v/>
      </c>
      <c r="F61" s="7" t="str">
        <f>IF($S61="","",IF(INDEX('Master Tracker'!$G$6:$G$400,$S61)="","",INDEX('Master Tracker'!$G$6:$G$400,$S61)))</f>
        <v/>
      </c>
      <c r="G61" s="19" t="str">
        <f>IF($S61="","",IF(INDEX('Master Tracker'!$H$6:$H$400,$S61)="","",INDEX('Master Tracker'!$H$6:$H$400,$S61)))</f>
        <v/>
      </c>
      <c r="H61" s="19" t="str">
        <f>IF($S61="","",IF(INDEX('Master Tracker'!$I$6:$I$400,$S61)="","",INDEX('Master Tracker'!$I$6:$I$400,$S61)))</f>
        <v/>
      </c>
      <c r="I61" s="53" t="str">
        <f>IF($S61="","",IF(INDEX('Master Tracker'!$U$6:$U$400,$S61)="","",INDEX('Master Tracker'!$U$6:$U$400,$S61)))</f>
        <v/>
      </c>
      <c r="J61" s="52" t="str">
        <f>IF($S61="","",IF(INDEX('Master Tracker'!$K$6:$K$400,$S61)="","",INDEX('Master Tracker'!$K$6:$K$400,$S61)))</f>
        <v/>
      </c>
      <c r="K61" s="52" t="str">
        <f>IF($S61="","",IF(INDEX('Master Tracker'!$Y$6:$Y$400,$S61)="","",INDEX('Master Tracker'!$Y$6:$Y$400,$S61)))</f>
        <v/>
      </c>
      <c r="L61" s="52" t="str">
        <f>IF($S61="","",IF(INDEX('Master Tracker'!$M$6:$M$400,$S61)="","",INDEX('Master Tracker'!$M$6:$M$400,$S61)))</f>
        <v/>
      </c>
      <c r="M61" s="52" t="str">
        <f>IF($S61="","",IF(INDEX('Master Tracker'!$O$6:$O$400,$S61)="","",INDEX('Master Tracker'!$O$6:$O$400,$S61)))</f>
        <v/>
      </c>
      <c r="N61" s="52" t="str">
        <f>IF($S61="","",IF(INDEX('Master Tracker'!$N$6:$N$400,$S61)="","",INDEX('Master Tracker'!$N$6:$N$400,$S61)))</f>
        <v/>
      </c>
      <c r="O61" s="7" t="str">
        <f>IF($S61="","",IF(INDEX('Master Tracker'!$T$6:$T$400,$S61)="","",INDEX('Master Tracker'!$T$6:$T$400,$S61)))</f>
        <v/>
      </c>
      <c r="P61" s="7" t="str">
        <f>IF($S61="","",IF(INDEX('Master Tracker'!$AC$6:$AC$400,$S61)="","",INDEX('Master Tracker'!$AC$6:$AC$400,$S61)))</f>
        <v/>
      </c>
      <c r="S61" t="str">
        <f>IFERROR(MATCH("Phase 1|"&amp;A61,'Master Tracker'!$Z$6:$Z$400,0),"")</f>
        <v/>
      </c>
    </row>
    <row r="62" spans="1:19" ht="15" customHeight="1" x14ac:dyDescent="0.3">
      <c r="A62" s="7">
        <v>22</v>
      </c>
      <c r="B62" s="51" t="str">
        <f>IF($S62="","",IF(INDEX('Master Tracker'!$A$6:$A$400,$S62)="","",INDEX('Master Tracker'!$A$6:$A$400,$S62)))</f>
        <v/>
      </c>
      <c r="C62" s="52" t="str">
        <f>IF($S62="","",IF(INDEX('Master Tracker'!$C$6:$C$400,$S62)="","",INDEX('Master Tracker'!$C$6:$C$400,$S62)))</f>
        <v/>
      </c>
      <c r="D62" s="52" t="str">
        <f>IF($S62="","",IF(INDEX('Master Tracker'!$D$6:$D$400,$S62)="","",INDEX('Master Tracker'!$D$6:$D$400,$S62)))</f>
        <v/>
      </c>
      <c r="E62" s="7" t="str">
        <f>IF($S62="","",IF(INDEX('Master Tracker'!$F$6:$F$400,$S62)="","",INDEX('Master Tracker'!$F$6:$F$400,$S62)))</f>
        <v/>
      </c>
      <c r="F62" s="7" t="str">
        <f>IF($S62="","",IF(INDEX('Master Tracker'!$G$6:$G$400,$S62)="","",INDEX('Master Tracker'!$G$6:$G$400,$S62)))</f>
        <v/>
      </c>
      <c r="G62" s="19" t="str">
        <f>IF($S62="","",IF(INDEX('Master Tracker'!$H$6:$H$400,$S62)="","",INDEX('Master Tracker'!$H$6:$H$400,$S62)))</f>
        <v/>
      </c>
      <c r="H62" s="19" t="str">
        <f>IF($S62="","",IF(INDEX('Master Tracker'!$I$6:$I$400,$S62)="","",INDEX('Master Tracker'!$I$6:$I$400,$S62)))</f>
        <v/>
      </c>
      <c r="I62" s="53" t="str">
        <f>IF($S62="","",IF(INDEX('Master Tracker'!$U$6:$U$400,$S62)="","",INDEX('Master Tracker'!$U$6:$U$400,$S62)))</f>
        <v/>
      </c>
      <c r="J62" s="52" t="str">
        <f>IF($S62="","",IF(INDEX('Master Tracker'!$K$6:$K$400,$S62)="","",INDEX('Master Tracker'!$K$6:$K$400,$S62)))</f>
        <v/>
      </c>
      <c r="K62" s="52" t="str">
        <f>IF($S62="","",IF(INDEX('Master Tracker'!$Y$6:$Y$400,$S62)="","",INDEX('Master Tracker'!$Y$6:$Y$400,$S62)))</f>
        <v/>
      </c>
      <c r="L62" s="52" t="str">
        <f>IF($S62="","",IF(INDEX('Master Tracker'!$M$6:$M$400,$S62)="","",INDEX('Master Tracker'!$M$6:$M$400,$S62)))</f>
        <v/>
      </c>
      <c r="M62" s="52" t="str">
        <f>IF($S62="","",IF(INDEX('Master Tracker'!$O$6:$O$400,$S62)="","",INDEX('Master Tracker'!$O$6:$O$400,$S62)))</f>
        <v/>
      </c>
      <c r="N62" s="52" t="str">
        <f>IF($S62="","",IF(INDEX('Master Tracker'!$N$6:$N$400,$S62)="","",INDEX('Master Tracker'!$N$6:$N$400,$S62)))</f>
        <v/>
      </c>
      <c r="O62" s="7" t="str">
        <f>IF($S62="","",IF(INDEX('Master Tracker'!$T$6:$T$400,$S62)="","",INDEX('Master Tracker'!$T$6:$T$400,$S62)))</f>
        <v/>
      </c>
      <c r="P62" s="7" t="str">
        <f>IF($S62="","",IF(INDEX('Master Tracker'!$AC$6:$AC$400,$S62)="","",INDEX('Master Tracker'!$AC$6:$AC$400,$S62)))</f>
        <v/>
      </c>
      <c r="S62" t="str">
        <f>IFERROR(MATCH("Phase 1|"&amp;A62,'Master Tracker'!$Z$6:$Z$400,0),"")</f>
        <v/>
      </c>
    </row>
    <row r="63" spans="1:19" ht="15" customHeight="1" x14ac:dyDescent="0.3">
      <c r="A63" s="7">
        <v>23</v>
      </c>
      <c r="B63" s="51" t="str">
        <f>IF($S63="","",IF(INDEX('Master Tracker'!$A$6:$A$400,$S63)="","",INDEX('Master Tracker'!$A$6:$A$400,$S63)))</f>
        <v/>
      </c>
      <c r="C63" s="52" t="str">
        <f>IF($S63="","",IF(INDEX('Master Tracker'!$C$6:$C$400,$S63)="","",INDEX('Master Tracker'!$C$6:$C$400,$S63)))</f>
        <v/>
      </c>
      <c r="D63" s="52" t="str">
        <f>IF($S63="","",IF(INDEX('Master Tracker'!$D$6:$D$400,$S63)="","",INDEX('Master Tracker'!$D$6:$D$400,$S63)))</f>
        <v/>
      </c>
      <c r="E63" s="7" t="str">
        <f>IF($S63="","",IF(INDEX('Master Tracker'!$F$6:$F$400,$S63)="","",INDEX('Master Tracker'!$F$6:$F$400,$S63)))</f>
        <v/>
      </c>
      <c r="F63" s="7" t="str">
        <f>IF($S63="","",IF(INDEX('Master Tracker'!$G$6:$G$400,$S63)="","",INDEX('Master Tracker'!$G$6:$G$400,$S63)))</f>
        <v/>
      </c>
      <c r="G63" s="19" t="str">
        <f>IF($S63="","",IF(INDEX('Master Tracker'!$H$6:$H$400,$S63)="","",INDEX('Master Tracker'!$H$6:$H$400,$S63)))</f>
        <v/>
      </c>
      <c r="H63" s="19" t="str">
        <f>IF($S63="","",IF(INDEX('Master Tracker'!$I$6:$I$400,$S63)="","",INDEX('Master Tracker'!$I$6:$I$400,$S63)))</f>
        <v/>
      </c>
      <c r="I63" s="53" t="str">
        <f>IF($S63="","",IF(INDEX('Master Tracker'!$U$6:$U$400,$S63)="","",INDEX('Master Tracker'!$U$6:$U$400,$S63)))</f>
        <v/>
      </c>
      <c r="J63" s="52" t="str">
        <f>IF($S63="","",IF(INDEX('Master Tracker'!$K$6:$K$400,$S63)="","",INDEX('Master Tracker'!$K$6:$K$400,$S63)))</f>
        <v/>
      </c>
      <c r="K63" s="52" t="str">
        <f>IF($S63="","",IF(INDEX('Master Tracker'!$Y$6:$Y$400,$S63)="","",INDEX('Master Tracker'!$Y$6:$Y$400,$S63)))</f>
        <v/>
      </c>
      <c r="L63" s="52" t="str">
        <f>IF($S63="","",IF(INDEX('Master Tracker'!$M$6:$M$400,$S63)="","",INDEX('Master Tracker'!$M$6:$M$400,$S63)))</f>
        <v/>
      </c>
      <c r="M63" s="52" t="str">
        <f>IF($S63="","",IF(INDEX('Master Tracker'!$O$6:$O$400,$S63)="","",INDEX('Master Tracker'!$O$6:$O$400,$S63)))</f>
        <v/>
      </c>
      <c r="N63" s="52" t="str">
        <f>IF($S63="","",IF(INDEX('Master Tracker'!$N$6:$N$400,$S63)="","",INDEX('Master Tracker'!$N$6:$N$400,$S63)))</f>
        <v/>
      </c>
      <c r="O63" s="7" t="str">
        <f>IF($S63="","",IF(INDEX('Master Tracker'!$T$6:$T$400,$S63)="","",INDEX('Master Tracker'!$T$6:$T$400,$S63)))</f>
        <v/>
      </c>
      <c r="P63" s="7" t="str">
        <f>IF($S63="","",IF(INDEX('Master Tracker'!$AC$6:$AC$400,$S63)="","",INDEX('Master Tracker'!$AC$6:$AC$400,$S63)))</f>
        <v/>
      </c>
      <c r="S63" t="str">
        <f>IFERROR(MATCH("Phase 1|"&amp;A63,'Master Tracker'!$Z$6:$Z$400,0),"")</f>
        <v/>
      </c>
    </row>
    <row r="64" spans="1:19" ht="15" customHeight="1" x14ac:dyDescent="0.3">
      <c r="A64" s="7">
        <v>24</v>
      </c>
      <c r="B64" s="51" t="str">
        <f>IF($S64="","",IF(INDEX('Master Tracker'!$A$6:$A$400,$S64)="","",INDEX('Master Tracker'!$A$6:$A$400,$S64)))</f>
        <v/>
      </c>
      <c r="C64" s="52" t="str">
        <f>IF($S64="","",IF(INDEX('Master Tracker'!$C$6:$C$400,$S64)="","",INDEX('Master Tracker'!$C$6:$C$400,$S64)))</f>
        <v/>
      </c>
      <c r="D64" s="52" t="str">
        <f>IF($S64="","",IF(INDEX('Master Tracker'!$D$6:$D$400,$S64)="","",INDEX('Master Tracker'!$D$6:$D$400,$S64)))</f>
        <v/>
      </c>
      <c r="E64" s="7" t="str">
        <f>IF($S64="","",IF(INDEX('Master Tracker'!$F$6:$F$400,$S64)="","",INDEX('Master Tracker'!$F$6:$F$400,$S64)))</f>
        <v/>
      </c>
      <c r="F64" s="7" t="str">
        <f>IF($S64="","",IF(INDEX('Master Tracker'!$G$6:$G$400,$S64)="","",INDEX('Master Tracker'!$G$6:$G$400,$S64)))</f>
        <v/>
      </c>
      <c r="G64" s="19" t="str">
        <f>IF($S64="","",IF(INDEX('Master Tracker'!$H$6:$H$400,$S64)="","",INDEX('Master Tracker'!$H$6:$H$400,$S64)))</f>
        <v/>
      </c>
      <c r="H64" s="19" t="str">
        <f>IF($S64="","",IF(INDEX('Master Tracker'!$I$6:$I$400,$S64)="","",INDEX('Master Tracker'!$I$6:$I$400,$S64)))</f>
        <v/>
      </c>
      <c r="I64" s="53" t="str">
        <f>IF($S64="","",IF(INDEX('Master Tracker'!$U$6:$U$400,$S64)="","",INDEX('Master Tracker'!$U$6:$U$400,$S64)))</f>
        <v/>
      </c>
      <c r="J64" s="52" t="str">
        <f>IF($S64="","",IF(INDEX('Master Tracker'!$K$6:$K$400,$S64)="","",INDEX('Master Tracker'!$K$6:$K$400,$S64)))</f>
        <v/>
      </c>
      <c r="K64" s="52" t="str">
        <f>IF($S64="","",IF(INDEX('Master Tracker'!$Y$6:$Y$400,$S64)="","",INDEX('Master Tracker'!$Y$6:$Y$400,$S64)))</f>
        <v/>
      </c>
      <c r="L64" s="52" t="str">
        <f>IF($S64="","",IF(INDEX('Master Tracker'!$M$6:$M$400,$S64)="","",INDEX('Master Tracker'!$M$6:$M$400,$S64)))</f>
        <v/>
      </c>
      <c r="M64" s="52" t="str">
        <f>IF($S64="","",IF(INDEX('Master Tracker'!$O$6:$O$400,$S64)="","",INDEX('Master Tracker'!$O$6:$O$400,$S64)))</f>
        <v/>
      </c>
      <c r="N64" s="52" t="str">
        <f>IF($S64="","",IF(INDEX('Master Tracker'!$N$6:$N$400,$S64)="","",INDEX('Master Tracker'!$N$6:$N$400,$S64)))</f>
        <v/>
      </c>
      <c r="O64" s="7" t="str">
        <f>IF($S64="","",IF(INDEX('Master Tracker'!$T$6:$T$400,$S64)="","",INDEX('Master Tracker'!$T$6:$T$400,$S64)))</f>
        <v/>
      </c>
      <c r="P64" s="7" t="str">
        <f>IF($S64="","",IF(INDEX('Master Tracker'!$AC$6:$AC$400,$S64)="","",INDEX('Master Tracker'!$AC$6:$AC$400,$S64)))</f>
        <v/>
      </c>
      <c r="S64" t="str">
        <f>IFERROR(MATCH("Phase 1|"&amp;A64,'Master Tracker'!$Z$6:$Z$400,0),"")</f>
        <v/>
      </c>
    </row>
    <row r="65" spans="1:19" ht="15" customHeight="1" x14ac:dyDescent="0.3">
      <c r="A65" s="7">
        <v>25</v>
      </c>
      <c r="B65" s="51" t="str">
        <f>IF($S65="","",IF(INDEX('Master Tracker'!$A$6:$A$400,$S65)="","",INDEX('Master Tracker'!$A$6:$A$400,$S65)))</f>
        <v/>
      </c>
      <c r="C65" s="52" t="str">
        <f>IF($S65="","",IF(INDEX('Master Tracker'!$C$6:$C$400,$S65)="","",INDEX('Master Tracker'!$C$6:$C$400,$S65)))</f>
        <v/>
      </c>
      <c r="D65" s="52" t="str">
        <f>IF($S65="","",IF(INDEX('Master Tracker'!$D$6:$D$400,$S65)="","",INDEX('Master Tracker'!$D$6:$D$400,$S65)))</f>
        <v/>
      </c>
      <c r="E65" s="7" t="str">
        <f>IF($S65="","",IF(INDEX('Master Tracker'!$F$6:$F$400,$S65)="","",INDEX('Master Tracker'!$F$6:$F$400,$S65)))</f>
        <v/>
      </c>
      <c r="F65" s="7" t="str">
        <f>IF($S65="","",IF(INDEX('Master Tracker'!$G$6:$G$400,$S65)="","",INDEX('Master Tracker'!$G$6:$G$400,$S65)))</f>
        <v/>
      </c>
      <c r="G65" s="19" t="str">
        <f>IF($S65="","",IF(INDEX('Master Tracker'!$H$6:$H$400,$S65)="","",INDEX('Master Tracker'!$H$6:$H$400,$S65)))</f>
        <v/>
      </c>
      <c r="H65" s="19" t="str">
        <f>IF($S65="","",IF(INDEX('Master Tracker'!$I$6:$I$400,$S65)="","",INDEX('Master Tracker'!$I$6:$I$400,$S65)))</f>
        <v/>
      </c>
      <c r="I65" s="53" t="str">
        <f>IF($S65="","",IF(INDEX('Master Tracker'!$U$6:$U$400,$S65)="","",INDEX('Master Tracker'!$U$6:$U$400,$S65)))</f>
        <v/>
      </c>
      <c r="J65" s="52" t="str">
        <f>IF($S65="","",IF(INDEX('Master Tracker'!$K$6:$K$400,$S65)="","",INDEX('Master Tracker'!$K$6:$K$400,$S65)))</f>
        <v/>
      </c>
      <c r="K65" s="52" t="str">
        <f>IF($S65="","",IF(INDEX('Master Tracker'!$Y$6:$Y$400,$S65)="","",INDEX('Master Tracker'!$Y$6:$Y$400,$S65)))</f>
        <v/>
      </c>
      <c r="L65" s="52" t="str">
        <f>IF($S65="","",IF(INDEX('Master Tracker'!$M$6:$M$400,$S65)="","",INDEX('Master Tracker'!$M$6:$M$400,$S65)))</f>
        <v/>
      </c>
      <c r="M65" s="52" t="str">
        <f>IF($S65="","",IF(INDEX('Master Tracker'!$O$6:$O$400,$S65)="","",INDEX('Master Tracker'!$O$6:$O$400,$S65)))</f>
        <v/>
      </c>
      <c r="N65" s="52" t="str">
        <f>IF($S65="","",IF(INDEX('Master Tracker'!$N$6:$N$400,$S65)="","",INDEX('Master Tracker'!$N$6:$N$400,$S65)))</f>
        <v/>
      </c>
      <c r="O65" s="7" t="str">
        <f>IF($S65="","",IF(INDEX('Master Tracker'!$T$6:$T$400,$S65)="","",INDEX('Master Tracker'!$T$6:$T$400,$S65)))</f>
        <v/>
      </c>
      <c r="P65" s="7" t="str">
        <f>IF($S65="","",IF(INDEX('Master Tracker'!$AC$6:$AC$400,$S65)="","",INDEX('Master Tracker'!$AC$6:$AC$400,$S65)))</f>
        <v/>
      </c>
      <c r="S65" t="str">
        <f>IFERROR(MATCH("Phase 1|"&amp;A65,'Master Tracker'!$Z$6:$Z$400,0),"")</f>
        <v/>
      </c>
    </row>
  </sheetData>
  <mergeCells count="56">
    <mergeCell ref="A1:R1"/>
    <mergeCell ref="J13:R13"/>
    <mergeCell ref="A19:H19"/>
    <mergeCell ref="B33:R33"/>
    <mergeCell ref="P6:R6"/>
    <mergeCell ref="B37:R37"/>
    <mergeCell ref="A22:H22"/>
    <mergeCell ref="A17:H17"/>
    <mergeCell ref="A39:R39"/>
    <mergeCell ref="J14:R14"/>
    <mergeCell ref="B30:R30"/>
    <mergeCell ref="A20:H20"/>
    <mergeCell ref="J19:R19"/>
    <mergeCell ref="B36:R36"/>
    <mergeCell ref="A2:R2"/>
    <mergeCell ref="A25:H25"/>
    <mergeCell ref="A16:H16"/>
    <mergeCell ref="J25:R25"/>
    <mergeCell ref="J22:R22"/>
    <mergeCell ref="J21:R21"/>
    <mergeCell ref="A12:H12"/>
    <mergeCell ref="J12:R12"/>
    <mergeCell ref="A18:H18"/>
    <mergeCell ref="E6:F6"/>
    <mergeCell ref="A21:H21"/>
    <mergeCell ref="P5:R5"/>
    <mergeCell ref="J18:R18"/>
    <mergeCell ref="A10:R10"/>
    <mergeCell ref="J23:R23"/>
    <mergeCell ref="A14:H14"/>
    <mergeCell ref="B35:R35"/>
    <mergeCell ref="A24:H24"/>
    <mergeCell ref="E5:F5"/>
    <mergeCell ref="A3:C3"/>
    <mergeCell ref="A27:R27"/>
    <mergeCell ref="B31:R31"/>
    <mergeCell ref="J20:R20"/>
    <mergeCell ref="J16:R16"/>
    <mergeCell ref="H6:I6"/>
    <mergeCell ref="A5:C5"/>
    <mergeCell ref="J6:K6"/>
    <mergeCell ref="B29:R29"/>
    <mergeCell ref="B34:R34"/>
    <mergeCell ref="B28:R28"/>
    <mergeCell ref="A9:R9"/>
    <mergeCell ref="J17:R17"/>
    <mergeCell ref="B32:R32"/>
    <mergeCell ref="J24:R24"/>
    <mergeCell ref="A7:R7"/>
    <mergeCell ref="A15:H15"/>
    <mergeCell ref="J5:K5"/>
    <mergeCell ref="J15:R15"/>
    <mergeCell ref="A23:H23"/>
    <mergeCell ref="A6:C6"/>
    <mergeCell ref="H5:I5"/>
    <mergeCell ref="A13:H13"/>
  </mergeCells>
  <conditionalFormatting sqref="F41:F65">
    <cfRule type="expression" dxfId="148" priority="5">
      <formula>$F41="Completed"</formula>
    </cfRule>
    <cfRule type="expression" dxfId="147" priority="6">
      <formula>$F41="In Progress"</formula>
    </cfRule>
    <cfRule type="expression" dxfId="146" priority="7">
      <formula>$F41="Testing"</formula>
    </cfRule>
    <cfRule type="expression" dxfId="145" priority="8">
      <formula>$F41="In Review"</formula>
    </cfRule>
    <cfRule type="expression" dxfId="144" priority="9">
      <formula>$F41="Blocked"</formula>
    </cfRule>
    <cfRule type="expression" dxfId="143" priority="10">
      <formula>$F41="Not Started"</formula>
    </cfRule>
  </conditionalFormatting>
  <conditionalFormatting sqref="I41:I65">
    <cfRule type="dataBar" priority="11">
      <dataBar>
        <cfvo type="num" val="0"/>
        <cfvo type="num" val="1"/>
        <color rgb="FF10B981"/>
      </dataBar>
    </cfRule>
  </conditionalFormatting>
  <conditionalFormatting sqref="O41:O65">
    <cfRule type="expression" dxfId="142" priority="19">
      <formula>$O41="Pass"</formula>
    </cfRule>
    <cfRule type="expression" dxfId="141" priority="20">
      <formula>$O41="Fail"</formula>
    </cfRule>
    <cfRule type="expression" dxfId="140" priority="21">
      <formula>$O41="Partial"</formula>
    </cfRule>
  </conditionalFormatting>
  <conditionalFormatting sqref="P6">
    <cfRule type="expression" dxfId="139" priority="1">
      <formula>$P$6="Complete"</formula>
    </cfRule>
    <cfRule type="expression" dxfId="138" priority="2">
      <formula>$P$6="On Track"</formula>
    </cfRule>
    <cfRule type="expression" dxfId="137" priority="3">
      <formula>$P$6="Behind"</formula>
    </cfRule>
    <cfRule type="expression" dxfId="136" priority="4">
      <formula>$P$6="Blocked"</formula>
    </cfRule>
  </conditionalFormatting>
  <conditionalFormatting sqref="P41:P65">
    <cfRule type="expression" dxfId="135" priority="12">
      <formula>$P41="Overdue"</formula>
    </cfRule>
    <cfRule type="expression" dxfId="134" priority="13">
      <formula>$P41="Blocked"</formula>
    </cfRule>
    <cfRule type="expression" dxfId="133" priority="14">
      <formula>$P41="Due soon"</formula>
    </cfRule>
    <cfRule type="expression" dxfId="132" priority="15">
      <formula>$P41="Done"</formula>
    </cfRule>
    <cfRule type="expression" dxfId="131" priority="16">
      <formula>$P41="Dependency open"</formula>
    </cfRule>
    <cfRule type="expression" dxfId="130" priority="17">
      <formula>$P41="External req."</formula>
    </cfRule>
    <cfRule type="expression" dxfId="129" priority="18">
      <formula>$P41="On track"</formula>
    </cfRule>
  </conditionalFormatting>
  <hyperlinks>
    <hyperlink ref="A3" location="'Executive Dashboard'!A1" display="← Dashboard" xr:uid="{00000000-0004-0000-0200-000000000000}"/>
    <hyperlink ref="D3" location="'Master Tracker'!A1" display="Open Master Tracker →" xr:uid="{00000000-0004-0000-0200-000001000000}"/>
    <hyperlink ref="F3" r:id="rId1" xr:uid="{00000000-0004-0000-0200-000002000000}"/>
  </hyperlinks>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34155"/>
    <pageSetUpPr fitToPage="1"/>
  </sheetPr>
  <dimension ref="A1:S70"/>
  <sheetViews>
    <sheetView showGridLines="0" zoomScale="90" workbookViewId="0">
      <pane ySplit="3" topLeftCell="A39" activePane="bottomLeft" state="frozen"/>
      <selection pane="bottomLeft" sqref="A1:R1"/>
    </sheetView>
  </sheetViews>
  <sheetFormatPr defaultRowHeight="14.4" x14ac:dyDescent="0.3"/>
  <cols>
    <col min="1" max="1" width="5" customWidth="1"/>
    <col min="2" max="2" width="9" customWidth="1"/>
    <col min="3" max="3" width="15" customWidth="1"/>
    <col min="4" max="4" width="32" customWidth="1"/>
    <col min="5" max="5" width="8" customWidth="1"/>
    <col min="6" max="6" width="12" customWidth="1"/>
    <col min="7" max="9" width="10" customWidth="1"/>
    <col min="10" max="10" width="16" customWidth="1"/>
    <col min="11" max="11" width="12" customWidth="1"/>
    <col min="12" max="12" width="30" customWidth="1"/>
    <col min="13" max="14" width="38" customWidth="1"/>
    <col min="15" max="15" width="10" customWidth="1"/>
    <col min="16" max="16" width="13" customWidth="1"/>
    <col min="17" max="18" width="12" customWidth="1"/>
    <col min="19" max="19" width="4" hidden="1" customWidth="1"/>
  </cols>
  <sheetData>
    <row r="1" spans="1:18" ht="34.049999999999997" customHeight="1" x14ac:dyDescent="0.3">
      <c r="A1" s="111" t="s">
        <v>945</v>
      </c>
      <c r="B1" s="112"/>
      <c r="C1" s="112"/>
      <c r="D1" s="112"/>
      <c r="E1" s="112"/>
      <c r="F1" s="112"/>
      <c r="G1" s="112"/>
      <c r="H1" s="112"/>
      <c r="I1" s="112"/>
      <c r="J1" s="112"/>
      <c r="K1" s="112"/>
      <c r="L1" s="112"/>
      <c r="M1" s="112"/>
      <c r="N1" s="112"/>
      <c r="O1" s="112"/>
      <c r="P1" s="112"/>
      <c r="Q1" s="112"/>
      <c r="R1" s="112"/>
    </row>
    <row r="2" spans="1:18" ht="19.95" customHeight="1" x14ac:dyDescent="0.3">
      <c r="A2" s="79" t="s">
        <v>946</v>
      </c>
      <c r="B2" s="80"/>
      <c r="C2" s="80"/>
      <c r="D2" s="80"/>
      <c r="E2" s="80"/>
      <c r="F2" s="80"/>
      <c r="G2" s="80"/>
      <c r="H2" s="80"/>
      <c r="I2" s="80"/>
      <c r="J2" s="80"/>
      <c r="K2" s="80"/>
      <c r="L2" s="80"/>
      <c r="M2" s="80"/>
      <c r="N2" s="80"/>
      <c r="O2" s="80"/>
      <c r="P2" s="80"/>
      <c r="Q2" s="80"/>
      <c r="R2" s="80"/>
    </row>
    <row r="3" spans="1:18" x14ac:dyDescent="0.3">
      <c r="A3" s="131" t="s">
        <v>109</v>
      </c>
      <c r="B3" s="86"/>
      <c r="C3" s="86"/>
      <c r="D3" s="33" t="s">
        <v>889</v>
      </c>
      <c r="F3" s="3" t="s">
        <v>110</v>
      </c>
    </row>
    <row r="5" spans="1:18" x14ac:dyDescent="0.3">
      <c r="A5" s="129" t="s">
        <v>890</v>
      </c>
      <c r="B5" s="130"/>
      <c r="C5" s="130"/>
      <c r="D5" s="46" t="s">
        <v>891</v>
      </c>
      <c r="E5" s="129" t="s">
        <v>892</v>
      </c>
      <c r="F5" s="130"/>
      <c r="G5" s="46" t="s">
        <v>893</v>
      </c>
      <c r="H5" s="129" t="s">
        <v>35</v>
      </c>
      <c r="I5" s="130"/>
      <c r="J5" s="129" t="s">
        <v>38</v>
      </c>
      <c r="K5" s="130"/>
      <c r="L5" s="46" t="s">
        <v>39</v>
      </c>
      <c r="M5" s="46" t="s">
        <v>894</v>
      </c>
      <c r="N5" s="46" t="s">
        <v>40</v>
      </c>
      <c r="O5" s="46" t="s">
        <v>895</v>
      </c>
      <c r="P5" s="134" t="s">
        <v>896</v>
      </c>
      <c r="Q5" s="86"/>
      <c r="R5" s="86"/>
    </row>
    <row r="6" spans="1:18" ht="31.95" customHeight="1" x14ac:dyDescent="0.3">
      <c r="A6" s="136">
        <f>IFERROR(SUMPRODUCT(('Master Tracker'!$B$6:$B$400="Phase 2")*'Master Tracker'!$U$6:$U$400)/COUNTIFS('Master Tracker'!$B$6:$B$400,"Phase 2",'Master Tracker'!$A$6:$A$400,"?*"),0)</f>
        <v>0</v>
      </c>
      <c r="B6" s="133"/>
      <c r="C6" s="133"/>
      <c r="D6" s="47">
        <f ca="1">IFERROR(SUMPRODUCT(('Master Tracker'!$B$6:$B$400="Phase 2")*'Master Tracker'!$V$6:$V$400)/COUNTIFS('Master Tracker'!$B$6:$B$400,"Phase 2",'Master Tracker'!$A$6:$A$400,"?*"),0)</f>
        <v>0</v>
      </c>
      <c r="E6" s="132">
        <f>COUNTIFS('Master Tracker'!$B$6:$B$400,"Phase 2",'Master Tracker'!$A$6:$A$400,"?*")</f>
        <v>24</v>
      </c>
      <c r="F6" s="133"/>
      <c r="G6" s="48">
        <f>COUNTIFS('Master Tracker'!$B$6:$B$400,"Phase 2",'Master Tracker'!$G$6:$G$400,"Completed")</f>
        <v>0</v>
      </c>
      <c r="H6" s="132">
        <f>COUNTIFS('Master Tracker'!$B$6:$B$400,"Phase 2",'Master Tracker'!$G$6:$G$400,"In Progress")</f>
        <v>0</v>
      </c>
      <c r="I6" s="133"/>
      <c r="J6" s="132">
        <f>COUNTIFS('Master Tracker'!$B$6:$B$400,"Phase 2",'Master Tracker'!$G$6:$G$400,"Blocked")</f>
        <v>0</v>
      </c>
      <c r="K6" s="133"/>
      <c r="L6" s="48">
        <f ca="1">COUNTIFS('Master Tracker'!$B$6:$B$400,"Phase 2",'Master Tracker'!$X$6:$X$400,"OVERDUE")</f>
        <v>0</v>
      </c>
      <c r="M6" s="48">
        <f>COUNTIFS('Master Tracker'!$B$6:$B$400,"Phase 2",'Master Tracker'!$G$6:$G$400,"In Review")+COUNTIFS('Master Tracker'!$B$6:$B$400,"Phase 2",'Master Tracker'!$G$6:$G$400,"Testing")</f>
        <v>0</v>
      </c>
      <c r="N6" s="48">
        <f>COUNTIFS('Master Tracker'!$B$6:$B$400,"Phase 2",'Master Tracker'!$F$6:$F$400,"P0",'Master Tracker'!$G$6:$G$400,"&lt;&gt;Completed",'Master Tracker'!$A$6:$A$400,"?*")</f>
        <v>11</v>
      </c>
      <c r="O6" s="49">
        <f>_xlfn.MAXIFS('Master Tracker'!$I$6:$I$400,'Master Tracker'!$B$6:$B$400,"Phase 2")</f>
        <v>46312</v>
      </c>
      <c r="P6" s="137" t="str">
        <f ca="1">IF(E6=0,"—",IF(G6=E6,"Complete",IF(J6&gt;0,"Blocked",IF(L6&gt;0,"Behind",IF(A6+0.1&lt;D6,"Behind",IF(A6&gt;0,"On Track","Not Started"))))))</f>
        <v>Not Started</v>
      </c>
      <c r="Q6" s="86"/>
      <c r="R6" s="86"/>
    </row>
    <row r="7" spans="1:18" ht="22.05" customHeight="1" x14ac:dyDescent="0.3">
      <c r="A7" s="127" t="str">
        <f ca="1">"Progress  "&amp;REPT("█",ROUND(A6*50,0))&amp;REPT("░",50-ROUND(A6*50,0))&amp;"  "&amp;TEXT(A6,"0%")&amp;"  (planned "&amp;TEXT(D6,"0%")&amp;")"</f>
        <v>Progress  ░░░░░░░░░░░░░░░░░░░░░░░░░░░░░░░░░░░░░░░░░░░░░░░░░░  0%  (planned 0%)</v>
      </c>
      <c r="B7" s="86"/>
      <c r="C7" s="86"/>
      <c r="D7" s="86"/>
      <c r="E7" s="86"/>
      <c r="F7" s="86"/>
      <c r="G7" s="86"/>
      <c r="H7" s="86"/>
      <c r="I7" s="86"/>
      <c r="J7" s="86"/>
      <c r="K7" s="86"/>
      <c r="L7" s="86"/>
      <c r="M7" s="86"/>
      <c r="N7" s="86"/>
      <c r="O7" s="86"/>
      <c r="P7" s="86"/>
      <c r="Q7" s="86"/>
      <c r="R7" s="86"/>
    </row>
    <row r="9" spans="1:18" ht="22.05" customHeight="1" x14ac:dyDescent="0.3">
      <c r="A9" s="71" t="s">
        <v>897</v>
      </c>
      <c r="B9" s="72"/>
      <c r="C9" s="72"/>
      <c r="D9" s="72"/>
      <c r="E9" s="72"/>
      <c r="F9" s="72"/>
      <c r="G9" s="72"/>
      <c r="H9" s="72"/>
      <c r="I9" s="72"/>
      <c r="J9" s="72"/>
      <c r="K9" s="72"/>
      <c r="L9" s="72"/>
      <c r="M9" s="72"/>
      <c r="N9" s="72"/>
      <c r="O9" s="72"/>
      <c r="P9" s="72"/>
      <c r="Q9" s="72"/>
      <c r="R9" s="72"/>
    </row>
    <row r="10" spans="1:18" ht="46.05" customHeight="1" x14ac:dyDescent="0.3">
      <c r="A10" s="135" t="s">
        <v>947</v>
      </c>
      <c r="B10" s="86"/>
      <c r="C10" s="86"/>
      <c r="D10" s="86"/>
      <c r="E10" s="86"/>
      <c r="F10" s="86"/>
      <c r="G10" s="86"/>
      <c r="H10" s="86"/>
      <c r="I10" s="86"/>
      <c r="J10" s="86"/>
      <c r="K10" s="86"/>
      <c r="L10" s="86"/>
      <c r="M10" s="86"/>
      <c r="N10" s="86"/>
      <c r="O10" s="86"/>
      <c r="P10" s="86"/>
      <c r="Q10" s="86"/>
      <c r="R10" s="86"/>
    </row>
    <row r="12" spans="1:18" ht="22.05" customHeight="1" x14ac:dyDescent="0.3">
      <c r="A12" s="71" t="s">
        <v>899</v>
      </c>
      <c r="B12" s="72"/>
      <c r="C12" s="72"/>
      <c r="D12" s="72"/>
      <c r="E12" s="72"/>
      <c r="F12" s="72"/>
      <c r="G12" s="72"/>
      <c r="H12" s="72"/>
      <c r="J12" s="71" t="s">
        <v>900</v>
      </c>
      <c r="K12" s="72"/>
      <c r="L12" s="72"/>
      <c r="M12" s="72"/>
      <c r="N12" s="72"/>
      <c r="O12" s="72"/>
      <c r="P12" s="72"/>
      <c r="Q12" s="72"/>
      <c r="R12" s="72"/>
    </row>
    <row r="13" spans="1:18" x14ac:dyDescent="0.3">
      <c r="A13" s="128" t="s">
        <v>948</v>
      </c>
      <c r="B13" s="86"/>
      <c r="C13" s="86"/>
      <c r="D13" s="86"/>
      <c r="E13" s="86"/>
      <c r="F13" s="86"/>
      <c r="G13" s="86"/>
      <c r="H13" s="86"/>
      <c r="J13" s="128" t="s">
        <v>949</v>
      </c>
      <c r="K13" s="86"/>
      <c r="L13" s="86"/>
      <c r="M13" s="86"/>
      <c r="N13" s="86"/>
      <c r="O13" s="86"/>
      <c r="P13" s="86"/>
      <c r="Q13" s="86"/>
      <c r="R13" s="86"/>
    </row>
    <row r="14" spans="1:18" x14ac:dyDescent="0.3">
      <c r="A14" s="126" t="s">
        <v>950</v>
      </c>
      <c r="B14" s="86"/>
      <c r="C14" s="86"/>
      <c r="D14" s="86"/>
      <c r="E14" s="86"/>
      <c r="F14" s="86"/>
      <c r="G14" s="86"/>
      <c r="H14" s="86"/>
      <c r="J14" s="126" t="s">
        <v>951</v>
      </c>
      <c r="K14" s="86"/>
      <c r="L14" s="86"/>
      <c r="M14" s="86"/>
      <c r="N14" s="86"/>
      <c r="O14" s="86"/>
      <c r="P14" s="86"/>
      <c r="Q14" s="86"/>
      <c r="R14" s="86"/>
    </row>
    <row r="15" spans="1:18" x14ac:dyDescent="0.3">
      <c r="A15" s="128" t="s">
        <v>952</v>
      </c>
      <c r="B15" s="86"/>
      <c r="C15" s="86"/>
      <c r="D15" s="86"/>
      <c r="E15" s="86"/>
      <c r="F15" s="86"/>
      <c r="G15" s="86"/>
      <c r="H15" s="86"/>
      <c r="J15" s="128" t="s">
        <v>953</v>
      </c>
      <c r="K15" s="86"/>
      <c r="L15" s="86"/>
      <c r="M15" s="86"/>
      <c r="N15" s="86"/>
      <c r="O15" s="86"/>
      <c r="P15" s="86"/>
      <c r="Q15" s="86"/>
      <c r="R15" s="86"/>
    </row>
    <row r="16" spans="1:18" x14ac:dyDescent="0.3">
      <c r="A16" s="126" t="s">
        <v>954</v>
      </c>
      <c r="B16" s="86"/>
      <c r="C16" s="86"/>
      <c r="D16" s="86"/>
      <c r="E16" s="86"/>
      <c r="F16" s="86"/>
      <c r="G16" s="86"/>
      <c r="H16" s="86"/>
      <c r="J16" s="126" t="s">
        <v>955</v>
      </c>
      <c r="K16" s="86"/>
      <c r="L16" s="86"/>
      <c r="M16" s="86"/>
      <c r="N16" s="86"/>
      <c r="O16" s="86"/>
      <c r="P16" s="86"/>
      <c r="Q16" s="86"/>
      <c r="R16" s="86"/>
    </row>
    <row r="17" spans="1:18" x14ac:dyDescent="0.3">
      <c r="A17" s="128" t="s">
        <v>956</v>
      </c>
      <c r="B17" s="86"/>
      <c r="C17" s="86"/>
      <c r="D17" s="86"/>
      <c r="E17" s="86"/>
      <c r="F17" s="86"/>
      <c r="G17" s="86"/>
      <c r="H17" s="86"/>
      <c r="J17" s="128" t="s">
        <v>957</v>
      </c>
      <c r="K17" s="86"/>
      <c r="L17" s="86"/>
      <c r="M17" s="86"/>
      <c r="N17" s="86"/>
      <c r="O17" s="86"/>
      <c r="P17" s="86"/>
      <c r="Q17" s="86"/>
      <c r="R17" s="86"/>
    </row>
    <row r="18" spans="1:18" x14ac:dyDescent="0.3">
      <c r="A18" s="126" t="s">
        <v>958</v>
      </c>
      <c r="B18" s="86"/>
      <c r="C18" s="86"/>
      <c r="D18" s="86"/>
      <c r="E18" s="86"/>
      <c r="F18" s="86"/>
      <c r="G18" s="86"/>
      <c r="H18" s="86"/>
      <c r="J18" s="126" t="s">
        <v>959</v>
      </c>
      <c r="K18" s="86"/>
      <c r="L18" s="86"/>
      <c r="M18" s="86"/>
      <c r="N18" s="86"/>
      <c r="O18" s="86"/>
      <c r="P18" s="86"/>
      <c r="Q18" s="86"/>
      <c r="R18" s="86"/>
    </row>
    <row r="19" spans="1:18" x14ac:dyDescent="0.3">
      <c r="A19" s="128" t="s">
        <v>960</v>
      </c>
      <c r="B19" s="86"/>
      <c r="C19" s="86"/>
      <c r="D19" s="86"/>
      <c r="E19" s="86"/>
      <c r="F19" s="86"/>
      <c r="G19" s="86"/>
      <c r="H19" s="86"/>
      <c r="J19" s="128" t="s">
        <v>961</v>
      </c>
      <c r="K19" s="86"/>
      <c r="L19" s="86"/>
      <c r="M19" s="86"/>
      <c r="N19" s="86"/>
      <c r="O19" s="86"/>
      <c r="P19" s="86"/>
      <c r="Q19" s="86"/>
      <c r="R19" s="86"/>
    </row>
    <row r="20" spans="1:18" x14ac:dyDescent="0.3">
      <c r="A20" s="126" t="s">
        <v>962</v>
      </c>
      <c r="B20" s="86"/>
      <c r="C20" s="86"/>
      <c r="D20" s="86"/>
      <c r="E20" s="86"/>
      <c r="F20" s="86"/>
      <c r="G20" s="86"/>
      <c r="H20" s="86"/>
      <c r="J20" s="126" t="s">
        <v>963</v>
      </c>
      <c r="K20" s="86"/>
      <c r="L20" s="86"/>
      <c r="M20" s="86"/>
      <c r="N20" s="86"/>
      <c r="O20" s="86"/>
      <c r="P20" s="86"/>
      <c r="Q20" s="86"/>
      <c r="R20" s="86"/>
    </row>
    <row r="21" spans="1:18" x14ac:dyDescent="0.3">
      <c r="A21" s="128"/>
      <c r="B21" s="86"/>
      <c r="C21" s="86"/>
      <c r="D21" s="86"/>
      <c r="E21" s="86"/>
      <c r="F21" s="86"/>
      <c r="G21" s="86"/>
      <c r="H21" s="86"/>
      <c r="J21" s="128" t="s">
        <v>964</v>
      </c>
      <c r="K21" s="86"/>
      <c r="L21" s="86"/>
      <c r="M21" s="86"/>
      <c r="N21" s="86"/>
      <c r="O21" s="86"/>
      <c r="P21" s="86"/>
      <c r="Q21" s="86"/>
      <c r="R21" s="86"/>
    </row>
    <row r="22" spans="1:18" x14ac:dyDescent="0.3">
      <c r="A22" s="126"/>
      <c r="B22" s="86"/>
      <c r="C22" s="86"/>
      <c r="D22" s="86"/>
      <c r="E22" s="86"/>
      <c r="F22" s="86"/>
      <c r="G22" s="86"/>
      <c r="H22" s="86"/>
      <c r="J22" s="126" t="s">
        <v>965</v>
      </c>
      <c r="K22" s="86"/>
      <c r="L22" s="86"/>
      <c r="M22" s="86"/>
      <c r="N22" s="86"/>
      <c r="O22" s="86"/>
      <c r="P22" s="86"/>
      <c r="Q22" s="86"/>
      <c r="R22" s="86"/>
    </row>
    <row r="23" spans="1:18" x14ac:dyDescent="0.3">
      <c r="A23" s="128"/>
      <c r="B23" s="86"/>
      <c r="C23" s="86"/>
      <c r="D23" s="86"/>
      <c r="E23" s="86"/>
      <c r="F23" s="86"/>
      <c r="G23" s="86"/>
      <c r="H23" s="86"/>
      <c r="J23" s="128" t="s">
        <v>966</v>
      </c>
      <c r="K23" s="86"/>
      <c r="L23" s="86"/>
      <c r="M23" s="86"/>
      <c r="N23" s="86"/>
      <c r="O23" s="86"/>
      <c r="P23" s="86"/>
      <c r="Q23" s="86"/>
      <c r="R23" s="86"/>
    </row>
    <row r="25" spans="1:18" ht="22.05" customHeight="1" x14ac:dyDescent="0.3">
      <c r="A25" s="71" t="s">
        <v>922</v>
      </c>
      <c r="B25" s="72"/>
      <c r="C25" s="72"/>
      <c r="D25" s="72"/>
      <c r="E25" s="72"/>
      <c r="F25" s="72"/>
      <c r="G25" s="72"/>
      <c r="H25" s="72"/>
      <c r="I25" s="72"/>
      <c r="J25" s="72"/>
      <c r="K25" s="72"/>
      <c r="L25" s="72"/>
      <c r="M25" s="72"/>
      <c r="N25" s="72"/>
      <c r="O25" s="72"/>
      <c r="P25" s="72"/>
      <c r="Q25" s="72"/>
      <c r="R25" s="72"/>
    </row>
    <row r="26" spans="1:18" x14ac:dyDescent="0.3">
      <c r="A26" s="50">
        <v>1</v>
      </c>
      <c r="B26" s="126" t="s">
        <v>967</v>
      </c>
      <c r="C26" s="86"/>
      <c r="D26" s="86"/>
      <c r="E26" s="86"/>
      <c r="F26" s="86"/>
      <c r="G26" s="86"/>
      <c r="H26" s="86"/>
      <c r="I26" s="86"/>
      <c r="J26" s="86"/>
      <c r="K26" s="86"/>
      <c r="L26" s="86"/>
      <c r="M26" s="86"/>
      <c r="N26" s="86"/>
      <c r="O26" s="86"/>
      <c r="P26" s="86"/>
      <c r="Q26" s="86"/>
      <c r="R26" s="86"/>
    </row>
    <row r="27" spans="1:18" x14ac:dyDescent="0.3">
      <c r="A27" s="50">
        <v>2</v>
      </c>
      <c r="B27" s="128" t="s">
        <v>968</v>
      </c>
      <c r="C27" s="86"/>
      <c r="D27" s="86"/>
      <c r="E27" s="86"/>
      <c r="F27" s="86"/>
      <c r="G27" s="86"/>
      <c r="H27" s="86"/>
      <c r="I27" s="86"/>
      <c r="J27" s="86"/>
      <c r="K27" s="86"/>
      <c r="L27" s="86"/>
      <c r="M27" s="86"/>
      <c r="N27" s="86"/>
      <c r="O27" s="86"/>
      <c r="P27" s="86"/>
      <c r="Q27" s="86"/>
      <c r="R27" s="86"/>
    </row>
    <row r="28" spans="1:18" x14ac:dyDescent="0.3">
      <c r="A28" s="50">
        <v>3</v>
      </c>
      <c r="B28" s="126" t="s">
        <v>969</v>
      </c>
      <c r="C28" s="86"/>
      <c r="D28" s="86"/>
      <c r="E28" s="86"/>
      <c r="F28" s="86"/>
      <c r="G28" s="86"/>
      <c r="H28" s="86"/>
      <c r="I28" s="86"/>
      <c r="J28" s="86"/>
      <c r="K28" s="86"/>
      <c r="L28" s="86"/>
      <c r="M28" s="86"/>
      <c r="N28" s="86"/>
      <c r="O28" s="86"/>
      <c r="P28" s="86"/>
      <c r="Q28" s="86"/>
      <c r="R28" s="86"/>
    </row>
    <row r="29" spans="1:18" x14ac:dyDescent="0.3">
      <c r="A29" s="50">
        <v>4</v>
      </c>
      <c r="B29" s="128" t="s">
        <v>970</v>
      </c>
      <c r="C29" s="86"/>
      <c r="D29" s="86"/>
      <c r="E29" s="86"/>
      <c r="F29" s="86"/>
      <c r="G29" s="86"/>
      <c r="H29" s="86"/>
      <c r="I29" s="86"/>
      <c r="J29" s="86"/>
      <c r="K29" s="86"/>
      <c r="L29" s="86"/>
      <c r="M29" s="86"/>
      <c r="N29" s="86"/>
      <c r="O29" s="86"/>
      <c r="P29" s="86"/>
      <c r="Q29" s="86"/>
      <c r="R29" s="86"/>
    </row>
    <row r="30" spans="1:18" x14ac:dyDescent="0.3">
      <c r="A30" s="50">
        <v>5</v>
      </c>
      <c r="B30" s="126" t="s">
        <v>971</v>
      </c>
      <c r="C30" s="86"/>
      <c r="D30" s="86"/>
      <c r="E30" s="86"/>
      <c r="F30" s="86"/>
      <c r="G30" s="86"/>
      <c r="H30" s="86"/>
      <c r="I30" s="86"/>
      <c r="J30" s="86"/>
      <c r="K30" s="86"/>
      <c r="L30" s="86"/>
      <c r="M30" s="86"/>
      <c r="N30" s="86"/>
      <c r="O30" s="86"/>
      <c r="P30" s="86"/>
      <c r="Q30" s="86"/>
      <c r="R30" s="86"/>
    </row>
    <row r="31" spans="1:18" x14ac:dyDescent="0.3">
      <c r="A31" s="50">
        <v>6</v>
      </c>
      <c r="B31" s="128" t="s">
        <v>972</v>
      </c>
      <c r="C31" s="86"/>
      <c r="D31" s="86"/>
      <c r="E31" s="86"/>
      <c r="F31" s="86"/>
      <c r="G31" s="86"/>
      <c r="H31" s="86"/>
      <c r="I31" s="86"/>
      <c r="J31" s="86"/>
      <c r="K31" s="86"/>
      <c r="L31" s="86"/>
      <c r="M31" s="86"/>
      <c r="N31" s="86"/>
      <c r="O31" s="86"/>
      <c r="P31" s="86"/>
      <c r="Q31" s="86"/>
      <c r="R31" s="86"/>
    </row>
    <row r="32" spans="1:18" x14ac:dyDescent="0.3">
      <c r="A32" s="50">
        <v>7</v>
      </c>
      <c r="B32" s="126" t="s">
        <v>973</v>
      </c>
      <c r="C32" s="86"/>
      <c r="D32" s="86"/>
      <c r="E32" s="86"/>
      <c r="F32" s="86"/>
      <c r="G32" s="86"/>
      <c r="H32" s="86"/>
      <c r="I32" s="86"/>
      <c r="J32" s="86"/>
      <c r="K32" s="86"/>
      <c r="L32" s="86"/>
      <c r="M32" s="86"/>
      <c r="N32" s="86"/>
      <c r="O32" s="86"/>
      <c r="P32" s="86"/>
      <c r="Q32" s="86"/>
      <c r="R32" s="86"/>
    </row>
    <row r="33" spans="1:19" x14ac:dyDescent="0.3">
      <c r="A33" s="50">
        <v>8</v>
      </c>
      <c r="B33" s="128" t="s">
        <v>974</v>
      </c>
      <c r="C33" s="86"/>
      <c r="D33" s="86"/>
      <c r="E33" s="86"/>
      <c r="F33" s="86"/>
      <c r="G33" s="86"/>
      <c r="H33" s="86"/>
      <c r="I33" s="86"/>
      <c r="J33" s="86"/>
      <c r="K33" s="86"/>
      <c r="L33" s="86"/>
      <c r="M33" s="86"/>
      <c r="N33" s="86"/>
      <c r="O33" s="86"/>
      <c r="P33" s="86"/>
      <c r="Q33" s="86"/>
      <c r="R33" s="86"/>
    </row>
    <row r="34" spans="1:19" x14ac:dyDescent="0.3">
      <c r="A34" s="50">
        <v>9</v>
      </c>
      <c r="B34" s="126" t="s">
        <v>975</v>
      </c>
      <c r="C34" s="86"/>
      <c r="D34" s="86"/>
      <c r="E34" s="86"/>
      <c r="F34" s="86"/>
      <c r="G34" s="86"/>
      <c r="H34" s="86"/>
      <c r="I34" s="86"/>
      <c r="J34" s="86"/>
      <c r="K34" s="86"/>
      <c r="L34" s="86"/>
      <c r="M34" s="86"/>
      <c r="N34" s="86"/>
      <c r="O34" s="86"/>
      <c r="P34" s="86"/>
      <c r="Q34" s="86"/>
      <c r="R34" s="86"/>
    </row>
    <row r="35" spans="1:19" x14ac:dyDescent="0.3">
      <c r="A35" s="50">
        <v>10</v>
      </c>
      <c r="B35" s="128" t="s">
        <v>976</v>
      </c>
      <c r="C35" s="86"/>
      <c r="D35" s="86"/>
      <c r="E35" s="86"/>
      <c r="F35" s="86"/>
      <c r="G35" s="86"/>
      <c r="H35" s="86"/>
      <c r="I35" s="86"/>
      <c r="J35" s="86"/>
      <c r="K35" s="86"/>
      <c r="L35" s="86"/>
      <c r="M35" s="86"/>
      <c r="N35" s="86"/>
      <c r="O35" s="86"/>
      <c r="P35" s="86"/>
      <c r="Q35" s="86"/>
      <c r="R35" s="86"/>
    </row>
    <row r="37" spans="1:19" ht="22.05" customHeight="1" x14ac:dyDescent="0.3">
      <c r="A37" s="71" t="s">
        <v>933</v>
      </c>
      <c r="B37" s="72"/>
      <c r="C37" s="72"/>
      <c r="D37" s="72"/>
      <c r="E37" s="72"/>
      <c r="F37" s="72"/>
      <c r="G37" s="72"/>
      <c r="H37" s="72"/>
      <c r="I37" s="72"/>
      <c r="J37" s="72"/>
      <c r="K37" s="72"/>
      <c r="L37" s="72"/>
      <c r="M37" s="72"/>
      <c r="N37" s="72"/>
      <c r="O37" s="72"/>
      <c r="P37" s="72"/>
      <c r="Q37" s="72"/>
      <c r="R37" s="72"/>
    </row>
    <row r="38" spans="1:19" x14ac:dyDescent="0.3">
      <c r="A38" s="12" t="s">
        <v>934</v>
      </c>
      <c r="B38" s="12" t="s">
        <v>112</v>
      </c>
      <c r="C38" s="12" t="s">
        <v>935</v>
      </c>
      <c r="D38" s="12" t="s">
        <v>91</v>
      </c>
      <c r="E38" s="12" t="s">
        <v>66</v>
      </c>
      <c r="F38" s="12" t="s">
        <v>70</v>
      </c>
      <c r="G38" s="12" t="s">
        <v>936</v>
      </c>
      <c r="H38" s="12" t="s">
        <v>92</v>
      </c>
      <c r="I38" s="12" t="s">
        <v>937</v>
      </c>
      <c r="J38" s="12" t="s">
        <v>938</v>
      </c>
      <c r="K38" s="12" t="s">
        <v>939</v>
      </c>
      <c r="L38" s="12" t="s">
        <v>940</v>
      </c>
      <c r="M38" s="12" t="s">
        <v>941</v>
      </c>
      <c r="N38" s="12" t="s">
        <v>942</v>
      </c>
      <c r="O38" s="12" t="s">
        <v>943</v>
      </c>
      <c r="P38" s="12" t="s">
        <v>944</v>
      </c>
    </row>
    <row r="39" spans="1:19" ht="48" customHeight="1" x14ac:dyDescent="0.3">
      <c r="A39" s="7">
        <v>1</v>
      </c>
      <c r="B39" s="51" t="str">
        <f>IF($S39="","",IF(INDEX('Master Tracker'!$A$6:$A$400,$S39)="","",INDEX('Master Tracker'!$A$6:$A$400,$S39)))</f>
        <v>P2-01</v>
      </c>
      <c r="C39" s="52" t="str">
        <f>IF($S39="","",IF(INDEX('Master Tracker'!$C$6:$C$400,$S39)="","",INDEX('Master Tracker'!$C$6:$C$400,$S39)))</f>
        <v>Section Manager</v>
      </c>
      <c r="D39" s="52" t="str">
        <f>IF($S39="","",IF(INDEX('Master Tracker'!$D$6:$D$400,$S39)="","",INDEX('Master Tracker'!$D$6:$D$400,$S39)))</f>
        <v>Section Manager engine &amp; schema</v>
      </c>
      <c r="E39" s="7" t="str">
        <f>IF($S39="","",IF(INDEX('Master Tracker'!$F$6:$F$400,$S39)="","",INDEX('Master Tracker'!$F$6:$F$400,$S39)))</f>
        <v>P0</v>
      </c>
      <c r="F39" s="7" t="str">
        <f>IF($S39="","",IF(INDEX('Master Tracker'!$G$6:$G$400,$S39)="","",INDEX('Master Tracker'!$G$6:$G$400,$S39)))</f>
        <v>Not Started</v>
      </c>
      <c r="G39" s="19">
        <f>IF($S39="","",IF(INDEX('Master Tracker'!$H$6:$H$400,$S39)="","",INDEX('Master Tracker'!$H$6:$H$400,$S39)))</f>
        <v>46310</v>
      </c>
      <c r="H39" s="19">
        <f>IF($S39="","",IF(INDEX('Master Tracker'!$I$6:$I$400,$S39)="","",INDEX('Master Tracker'!$I$6:$I$400,$S39)))</f>
        <v>46310</v>
      </c>
      <c r="I39" s="53">
        <f>IF($S39="","",IF(INDEX('Master Tracker'!$U$6:$U$400,$S39)="","",INDEX('Master Tracker'!$U$6:$U$400,$S39)))</f>
        <v>0</v>
      </c>
      <c r="J39" s="52" t="str">
        <f>IF($S39="","",IF(INDEX('Master Tracker'!$K$6:$K$400,$S39)="","",INDEX('Master Tracker'!$K$6:$K$400,$S39)))</f>
        <v>P1-06, P1-14</v>
      </c>
      <c r="K39" s="52" t="str">
        <f>IF($S39="","",IF(INDEX('Master Tracker'!$Y$6:$Y$400,$S39)="","",INDEX('Master Tracker'!$Y$6:$Y$400,$S39)))</f>
        <v>⏳ 2 open</v>
      </c>
      <c r="L39" s="52" t="str">
        <f>IF($S39="","",IF(INDEX('Master Tracker'!$M$6:$M$400,$S39)="","",INDEX('Master Tracker'!$M$6:$M$400,$S39)))</f>
        <v>inc/section-manager/registry.php, query-builder.php, render.php</v>
      </c>
      <c r="M39" s="52" t="str">
        <f>IF($S39="","",IF(INDEX('Master Tracker'!$O$6:$O$400,$S39)="","",INDEX('Master Tracker'!$O$6:$O$400,$S39)))</f>
        <v>Every homepage section is rendered from the registry; no hard-coded queries in front-page.php</v>
      </c>
      <c r="N39" s="52" t="str">
        <f>IF($S39="","",IF(INDEX('Master Tracker'!$N$6:$N$400,$S39)="","",INDEX('Master Tracker'!$N$6:$N$400,$S39)))</f>
        <v>Register a test section; change schema values; output changes accordingly</v>
      </c>
      <c r="O39" s="7" t="str">
        <f>IF($S39="","",IF(INDEX('Master Tracker'!$T$6:$T$400,$S39)="","",INDEX('Master Tracker'!$T$6:$T$400,$S39)))</f>
        <v>Not Tested</v>
      </c>
      <c r="P39" s="7" t="str">
        <f ca="1">IF($S39="","",IF(INDEX('Master Tracker'!$AC$6:$AC$400,$S39)="","",INDEX('Master Tracker'!$AC$6:$AC$400,$S39)))</f>
        <v>On track</v>
      </c>
      <c r="S39">
        <f>IFERROR(MATCH("Phase 2|"&amp;A39,'Master Tracker'!$Z$6:$Z$400,0),"")</f>
        <v>18</v>
      </c>
    </row>
    <row r="40" spans="1:19" ht="48" customHeight="1" x14ac:dyDescent="0.3">
      <c r="A40" s="7">
        <v>2</v>
      </c>
      <c r="B40" s="51" t="str">
        <f>IF($S40="","",IF(INDEX('Master Tracker'!$A$6:$A$400,$S40)="","",INDEX('Master Tracker'!$A$6:$A$400,$S40)))</f>
        <v>P2-02</v>
      </c>
      <c r="C40" s="52" t="str">
        <f>IF($S40="","",IF(INDEX('Master Tracker'!$C$6:$C$400,$S40)="","",INDEX('Master Tracker'!$C$6:$C$400,$S40)))</f>
        <v>Customizer</v>
      </c>
      <c r="D40" s="52" t="str">
        <f>IF($S40="","",IF(INDEX('Master Tracker'!$D$6:$D$400,$S40)="","",INDEX('Master Tracker'!$D$6:$D$400,$S40)))</f>
        <v>Customizer 'Homepage Sections' panel</v>
      </c>
      <c r="E40" s="7" t="str">
        <f>IF($S40="","",IF(INDEX('Master Tracker'!$F$6:$F$400,$S40)="","",INDEX('Master Tracker'!$F$6:$F$400,$S40)))</f>
        <v>P0</v>
      </c>
      <c r="F40" s="7" t="str">
        <f>IF($S40="","",IF(INDEX('Master Tracker'!$G$6:$G$400,$S40)="","",INDEX('Master Tracker'!$G$6:$G$400,$S40)))</f>
        <v>Not Started</v>
      </c>
      <c r="G40" s="19">
        <f>IF($S40="","",IF(INDEX('Master Tracker'!$H$6:$H$400,$S40)="","",INDEX('Master Tracker'!$H$6:$H$400,$S40)))</f>
        <v>46310</v>
      </c>
      <c r="H40" s="19">
        <f>IF($S40="","",IF(INDEX('Master Tracker'!$I$6:$I$400,$S40)="","",INDEX('Master Tracker'!$I$6:$I$400,$S40)))</f>
        <v>46310</v>
      </c>
      <c r="I40" s="53">
        <f>IF($S40="","",IF(INDEX('Master Tracker'!$U$6:$U$400,$S40)="","",INDEX('Master Tracker'!$U$6:$U$400,$S40)))</f>
        <v>0</v>
      </c>
      <c r="J40" s="52" t="str">
        <f>IF($S40="","",IF(INDEX('Master Tracker'!$K$6:$K$400,$S40)="","",INDEX('Master Tracker'!$K$6:$K$400,$S40)))</f>
        <v>P2-01</v>
      </c>
      <c r="K40" s="52" t="str">
        <f>IF($S40="","",IF(INDEX('Master Tracker'!$Y$6:$Y$400,$S40)="","",INDEX('Master Tracker'!$Y$6:$Y$400,$S40)))</f>
        <v>⏳ 1 open</v>
      </c>
      <c r="L40" s="52" t="str">
        <f>IF($S40="","",IF(INDEX('Master Tracker'!$M$6:$M$400,$S40)="","",INDEX('Master Tracker'!$M$6:$M$400,$S40)))</f>
        <v>inc/customizer/panel-homepage.php, assets/js/customizer-preview.js</v>
      </c>
      <c r="M40" s="52" t="str">
        <f>IF($S40="","",IF(INDEX('Master Tracker'!$O$6:$O$400,$S40)="","",INDEX('Master Tracker'!$O$6:$O$400,$S40)))</f>
        <v>All sections configurable in Customizer with live preview and sanitized values</v>
      </c>
      <c r="N40" s="52" t="str">
        <f>IF($S40="","",IF(INDEX('Master Tracker'!$N$6:$N$400,$S40)="","",INDEX('Master Tracker'!$N$6:$N$400,$S40)))</f>
        <v>Editor (non-admin) changes a section in Customizer and publishes; invalid values rejected</v>
      </c>
      <c r="O40" s="7" t="str">
        <f>IF($S40="","",IF(INDEX('Master Tracker'!$T$6:$T$400,$S40)="","",INDEX('Master Tracker'!$T$6:$T$400,$S40)))</f>
        <v>Not Tested</v>
      </c>
      <c r="P40" s="7" t="str">
        <f ca="1">IF($S40="","",IF(INDEX('Master Tracker'!$AC$6:$AC$400,$S40)="","",INDEX('Master Tracker'!$AC$6:$AC$400,$S40)))</f>
        <v>On track</v>
      </c>
      <c r="S40">
        <f>IFERROR(MATCH("Phase 2|"&amp;A40,'Master Tracker'!$Z$6:$Z$400,0),"")</f>
        <v>19</v>
      </c>
    </row>
    <row r="41" spans="1:19" ht="48" customHeight="1" x14ac:dyDescent="0.3">
      <c r="A41" s="7">
        <v>3</v>
      </c>
      <c r="B41" s="51" t="str">
        <f>IF($S41="","",IF(INDEX('Master Tracker'!$A$6:$A$400,$S41)="","",INDEX('Master Tracker'!$A$6:$A$400,$S41)))</f>
        <v>P2-03</v>
      </c>
      <c r="C41" s="52" t="str">
        <f>IF($S41="","",IF(INDEX('Master Tracker'!$C$6:$C$400,$S41)="","",INDEX('Master Tracker'!$C$6:$C$400,$S41)))</f>
        <v>Customizer Controls</v>
      </c>
      <c r="D41" s="52" t="str">
        <f>IF($S41="","",IF(INDEX('Master Tracker'!$D$6:$D$400,$S41)="","",INDEX('Master Tracker'!$D$6:$D$400,$S41)))</f>
        <v>Dynamic category / tag selection</v>
      </c>
      <c r="E41" s="7" t="str">
        <f>IF($S41="","",IF(INDEX('Master Tracker'!$F$6:$F$400,$S41)="","",INDEX('Master Tracker'!$F$6:$F$400,$S41)))</f>
        <v>P0</v>
      </c>
      <c r="F41" s="7" t="str">
        <f>IF($S41="","",IF(INDEX('Master Tracker'!$G$6:$G$400,$S41)="","",INDEX('Master Tracker'!$G$6:$G$400,$S41)))</f>
        <v>Not Started</v>
      </c>
      <c r="G41" s="19">
        <f>IF($S41="","",IF(INDEX('Master Tracker'!$H$6:$H$400,$S41)="","",INDEX('Master Tracker'!$H$6:$H$400,$S41)))</f>
        <v>46310</v>
      </c>
      <c r="H41" s="19">
        <f>IF($S41="","",IF(INDEX('Master Tracker'!$I$6:$I$400,$S41)="","",INDEX('Master Tracker'!$I$6:$I$400,$S41)))</f>
        <v>46310</v>
      </c>
      <c r="I41" s="53">
        <f>IF($S41="","",IF(INDEX('Master Tracker'!$U$6:$U$400,$S41)="","",INDEX('Master Tracker'!$U$6:$U$400,$S41)))</f>
        <v>0</v>
      </c>
      <c r="J41" s="52" t="str">
        <f>IF($S41="","",IF(INDEX('Master Tracker'!$K$6:$K$400,$S41)="","",INDEX('Master Tracker'!$K$6:$K$400,$S41)))</f>
        <v>P2-02</v>
      </c>
      <c r="K41" s="52" t="str">
        <f>IF($S41="","",IF(INDEX('Master Tracker'!$Y$6:$Y$400,$S41)="","",INDEX('Master Tracker'!$Y$6:$Y$400,$S41)))</f>
        <v>⏳ 1 open</v>
      </c>
      <c r="L41" s="52" t="str">
        <f>IF($S41="","",IF(INDEX('Master Tracker'!$M$6:$M$400,$S41)="","",INDEX('Master Tracker'!$M$6:$M$400,$S41)))</f>
        <v>inc/customizer/controls/term-select.php, assets/js/customizer-controls.js</v>
      </c>
      <c r="M41" s="52" t="str">
        <f>IF($S41="","",IF(INDEX('Master Tracker'!$O$6:$O$400,$S41)="","",INDEX('Master Tracker'!$O$6:$O$400,$S41)))</f>
        <v>Sections can be sourced from any category/tag combination by ID</v>
      </c>
      <c r="N41" s="52" t="str">
        <f>IF($S41="","",IF(INDEX('Master Tracker'!$N$6:$N$400,$S41)="","",INDEX('Master Tracker'!$N$6:$N$400,$S41)))</f>
        <v>Select 2 categories + 1 tag; rename a category; section still pulls correctly</v>
      </c>
      <c r="O41" s="7" t="str">
        <f>IF($S41="","",IF(INDEX('Master Tracker'!$T$6:$T$400,$S41)="","",INDEX('Master Tracker'!$T$6:$T$400,$S41)))</f>
        <v>Not Tested</v>
      </c>
      <c r="P41" s="7" t="str">
        <f ca="1">IF($S41="","",IF(INDEX('Master Tracker'!$AC$6:$AC$400,$S41)="","",INDEX('Master Tracker'!$AC$6:$AC$400,$S41)))</f>
        <v>On track</v>
      </c>
      <c r="S41">
        <f>IFERROR(MATCH("Phase 2|"&amp;A41,'Master Tracker'!$Z$6:$Z$400,0),"")</f>
        <v>20</v>
      </c>
    </row>
    <row r="42" spans="1:19" ht="48" customHeight="1" x14ac:dyDescent="0.3">
      <c r="A42" s="7">
        <v>4</v>
      </c>
      <c r="B42" s="51" t="str">
        <f>IF($S42="","",IF(INDEX('Master Tracker'!$A$6:$A$400,$S42)="","",INDEX('Master Tracker'!$A$6:$A$400,$S42)))</f>
        <v>P2-04</v>
      </c>
      <c r="C42" s="52" t="str">
        <f>IF($S42="","",IF(INDEX('Master Tracker'!$C$6:$C$400,$S42)="","",INDEX('Master Tracker'!$C$6:$C$400,$S42)))</f>
        <v>Customizer Controls</v>
      </c>
      <c r="D42" s="52" t="str">
        <f>IF($S42="","",IF(INDEX('Master Tracker'!$D$6:$D$400,$S42)="","",INDEX('Master Tracker'!$D$6:$D$400,$S42)))</f>
        <v>Post count, sorting &amp; offset controls</v>
      </c>
      <c r="E42" s="7" t="str">
        <f>IF($S42="","",IF(INDEX('Master Tracker'!$F$6:$F$400,$S42)="","",INDEX('Master Tracker'!$F$6:$F$400,$S42)))</f>
        <v>P0</v>
      </c>
      <c r="F42" s="7" t="str">
        <f>IF($S42="","",IF(INDEX('Master Tracker'!$G$6:$G$400,$S42)="","",INDEX('Master Tracker'!$G$6:$G$400,$S42)))</f>
        <v>Not Started</v>
      </c>
      <c r="G42" s="19">
        <f>IF($S42="","",IF(INDEX('Master Tracker'!$H$6:$H$400,$S42)="","",INDEX('Master Tracker'!$H$6:$H$400,$S42)))</f>
        <v>46310</v>
      </c>
      <c r="H42" s="19">
        <f>IF($S42="","",IF(INDEX('Master Tracker'!$I$6:$I$400,$S42)="","",INDEX('Master Tracker'!$I$6:$I$400,$S42)))</f>
        <v>46310</v>
      </c>
      <c r="I42" s="53">
        <f>IF($S42="","",IF(INDEX('Master Tracker'!$U$6:$U$400,$S42)="","",INDEX('Master Tracker'!$U$6:$U$400,$S42)))</f>
        <v>0</v>
      </c>
      <c r="J42" s="52" t="str">
        <f>IF($S42="","",IF(INDEX('Master Tracker'!$K$6:$K$400,$S42)="","",INDEX('Master Tracker'!$K$6:$K$400,$S42)))</f>
        <v>P2-03</v>
      </c>
      <c r="K42" s="52" t="str">
        <f>IF($S42="","",IF(INDEX('Master Tracker'!$Y$6:$Y$400,$S42)="","",INDEX('Master Tracker'!$Y$6:$Y$400,$S42)))</f>
        <v>⏳ 1 open</v>
      </c>
      <c r="L42" s="52" t="str">
        <f>IF($S42="","",IF(INDEX('Master Tracker'!$M$6:$M$400,$S42)="","",INDEX('Master Tracker'!$M$6:$M$400,$S42)))</f>
        <v>inc/section-manager/query-builder.php</v>
      </c>
      <c r="M42" s="52" t="str">
        <f>IF($S42="","",IF(INDEX('Master Tracker'!$O$6:$O$400,$S42)="","",INDEX('Master Tracker'!$O$6:$O$400,$S42)))</f>
        <v>Count, sorting and offset behave exactly as configured</v>
      </c>
      <c r="N42" s="52" t="str">
        <f>IF($S42="","",IF(INDEX('Master Tracker'!$N$6:$N$400,$S42)="","",INDEX('Master Tracker'!$N$6:$N$400,$S42)))</f>
        <v>Change count, order and offset; verify returned posts in Query Monitor</v>
      </c>
      <c r="O42" s="7" t="str">
        <f>IF($S42="","",IF(INDEX('Master Tracker'!$T$6:$T$400,$S42)="","",INDEX('Master Tracker'!$T$6:$T$400,$S42)))</f>
        <v>Not Tested</v>
      </c>
      <c r="P42" s="7" t="str">
        <f ca="1">IF($S42="","",IF(INDEX('Master Tracker'!$AC$6:$AC$400,$S42)="","",INDEX('Master Tracker'!$AC$6:$AC$400,$S42)))</f>
        <v>On track</v>
      </c>
      <c r="S42">
        <f>IFERROR(MATCH("Phase 2|"&amp;A42,'Master Tracker'!$Z$6:$Z$400,0),"")</f>
        <v>21</v>
      </c>
    </row>
    <row r="43" spans="1:19" ht="48" customHeight="1" x14ac:dyDescent="0.3">
      <c r="A43" s="7">
        <v>5</v>
      </c>
      <c r="B43" s="51" t="str">
        <f>IF($S43="","",IF(INDEX('Master Tracker'!$A$6:$A$400,$S43)="","",INDEX('Master Tracker'!$A$6:$A$400,$S43)))</f>
        <v>P2-05</v>
      </c>
      <c r="C43" s="52" t="str">
        <f>IF($S43="","",IF(INDEX('Master Tracker'!$C$6:$C$400,$S43)="","",INDEX('Master Tracker'!$C$6:$C$400,$S43)))</f>
        <v>Customizer Controls</v>
      </c>
      <c r="D43" s="52" t="str">
        <f>IF($S43="","",IF(INDEX('Master Tracker'!$D$6:$D$400,$S43)="","",INDEX('Master Tracker'!$D$6:$D$400,$S43)))</f>
        <v>Manual post selection (post picker)</v>
      </c>
      <c r="E43" s="7" t="str">
        <f>IF($S43="","",IF(INDEX('Master Tracker'!$F$6:$F$400,$S43)="","",INDEX('Master Tracker'!$F$6:$F$400,$S43)))</f>
        <v>P1</v>
      </c>
      <c r="F43" s="7" t="str">
        <f>IF($S43="","",IF(INDEX('Master Tracker'!$G$6:$G$400,$S43)="","",INDEX('Master Tracker'!$G$6:$G$400,$S43)))</f>
        <v>Not Started</v>
      </c>
      <c r="G43" s="19">
        <f>IF($S43="","",IF(INDEX('Master Tracker'!$H$6:$H$400,$S43)="","",INDEX('Master Tracker'!$H$6:$H$400,$S43)))</f>
        <v>46310</v>
      </c>
      <c r="H43" s="19">
        <f>IF($S43="","",IF(INDEX('Master Tracker'!$I$6:$I$400,$S43)="","",INDEX('Master Tracker'!$I$6:$I$400,$S43)))</f>
        <v>46310</v>
      </c>
      <c r="I43" s="53">
        <f>IF($S43="","",IF(INDEX('Master Tracker'!$U$6:$U$400,$S43)="","",INDEX('Master Tracker'!$U$6:$U$400,$S43)))</f>
        <v>0</v>
      </c>
      <c r="J43" s="52" t="str">
        <f>IF($S43="","",IF(INDEX('Master Tracker'!$K$6:$K$400,$S43)="","",INDEX('Master Tracker'!$K$6:$K$400,$S43)))</f>
        <v>P2-02</v>
      </c>
      <c r="K43" s="52" t="str">
        <f>IF($S43="","",IF(INDEX('Master Tracker'!$Y$6:$Y$400,$S43)="","",INDEX('Master Tracker'!$Y$6:$Y$400,$S43)))</f>
        <v>⏳ 1 open</v>
      </c>
      <c r="L43" s="52" t="str">
        <f>IF($S43="","",IF(INDEX('Master Tracker'!$M$6:$M$400,$S43)="","",INDEX('Master Tracker'!$M$6:$M$400,$S43)))</f>
        <v>inc/customizer/controls/post-picker.php, assets/js/customizer-controls.js</v>
      </c>
      <c r="M43" s="52" t="str">
        <f>IF($S43="","",IF(INDEX('Master Tracker'!$O$6:$O$400,$S43)="","",INDEX('Master Tracker'!$O$6:$O$400,$S43)))</f>
        <v>Editors can pin specific posts in a chosen order</v>
      </c>
      <c r="N43" s="52" t="str">
        <f>IF($S43="","",IF(INDEX('Master Tracker'!$N$6:$N$400,$S43)="","",INDEX('Master Tracker'!$N$6:$N$400,$S43)))</f>
        <v>Pick 4 posts, reorder, publish; homepage shows them in chosen order</v>
      </c>
      <c r="O43" s="7" t="str">
        <f>IF($S43="","",IF(INDEX('Master Tracker'!$T$6:$T$400,$S43)="","",INDEX('Master Tracker'!$T$6:$T$400,$S43)))</f>
        <v>Not Tested</v>
      </c>
      <c r="P43" s="7" t="str">
        <f ca="1">IF($S43="","",IF(INDEX('Master Tracker'!$AC$6:$AC$400,$S43)="","",INDEX('Master Tracker'!$AC$6:$AC$400,$S43)))</f>
        <v>On track</v>
      </c>
      <c r="S43">
        <f>IFERROR(MATCH("Phase 2|"&amp;A43,'Master Tracker'!$Z$6:$Z$400,0),"")</f>
        <v>22</v>
      </c>
    </row>
    <row r="44" spans="1:19" ht="48" customHeight="1" x14ac:dyDescent="0.3">
      <c r="A44" s="7">
        <v>6</v>
      </c>
      <c r="B44" s="51" t="str">
        <f>IF($S44="","",IF(INDEX('Master Tracker'!$A$6:$A$400,$S44)="","",INDEX('Master Tracker'!$A$6:$A$400,$S44)))</f>
        <v>P2-06</v>
      </c>
      <c r="C44" s="52" t="str">
        <f>IF($S44="","",IF(INDEX('Master Tracker'!$C$6:$C$400,$S44)="","",INDEX('Master Tracker'!$C$6:$C$400,$S44)))</f>
        <v>Customizer Controls</v>
      </c>
      <c r="D44" s="52" t="str">
        <f>IF($S44="","",IF(INDEX('Master Tracker'!$D$6:$D$400,$S44)="","",INDEX('Master Tracker'!$D$6:$D$400,$S44)))</f>
        <v>Layout switching per section</v>
      </c>
      <c r="E44" s="7" t="str">
        <f>IF($S44="","",IF(INDEX('Master Tracker'!$F$6:$F$400,$S44)="","",INDEX('Master Tracker'!$F$6:$F$400,$S44)))</f>
        <v>P1</v>
      </c>
      <c r="F44" s="7" t="str">
        <f>IF($S44="","",IF(INDEX('Master Tracker'!$G$6:$G$400,$S44)="","",INDEX('Master Tracker'!$G$6:$G$400,$S44)))</f>
        <v>Not Started</v>
      </c>
      <c r="G44" s="19">
        <f>IF($S44="","",IF(INDEX('Master Tracker'!$H$6:$H$400,$S44)="","",INDEX('Master Tracker'!$H$6:$H$400,$S44)))</f>
        <v>46310</v>
      </c>
      <c r="H44" s="19">
        <f>IF($S44="","",IF(INDEX('Master Tracker'!$I$6:$I$400,$S44)="","",INDEX('Master Tracker'!$I$6:$I$400,$S44)))</f>
        <v>46310</v>
      </c>
      <c r="I44" s="53">
        <f>IF($S44="","",IF(INDEX('Master Tracker'!$U$6:$U$400,$S44)="","",INDEX('Master Tracker'!$U$6:$U$400,$S44)))</f>
        <v>0</v>
      </c>
      <c r="J44" s="52" t="str">
        <f>IF($S44="","",IF(INDEX('Master Tracker'!$K$6:$K$400,$S44)="","",INDEX('Master Tracker'!$K$6:$K$400,$S44)))</f>
        <v>P2-01</v>
      </c>
      <c r="K44" s="52" t="str">
        <f>IF($S44="","",IF(INDEX('Master Tracker'!$Y$6:$Y$400,$S44)="","",INDEX('Master Tracker'!$Y$6:$Y$400,$S44)))</f>
        <v>⏳ 1 open</v>
      </c>
      <c r="L44" s="52" t="str">
        <f>IF($S44="","",IF(INDEX('Master Tracker'!$M$6:$M$400,$S44)="","",INDEX('Master Tracker'!$M$6:$M$400,$S44)))</f>
        <v>template-parts/sections/*.php</v>
      </c>
      <c r="M44" s="52" t="str">
        <f>IF($S44="","",IF(INDEX('Master Tracker'!$O$6:$O$400,$S44)="","",INDEX('Master Tracker'!$O$6:$O$400,$S44)))</f>
        <v>Each layout renders correctly and responsively</v>
      </c>
      <c r="N44" s="52" t="str">
        <f>IF($S44="","",IF(INDEX('Master Tracker'!$N$6:$N$400,$S44)="","",INDEX('Master Tracker'!$N$6:$N$400,$S44)))</f>
        <v>Switch each section through every layout at 360 px and 1440 px</v>
      </c>
      <c r="O44" s="7" t="str">
        <f>IF($S44="","",IF(INDEX('Master Tracker'!$T$6:$T$400,$S44)="","",INDEX('Master Tracker'!$T$6:$T$400,$S44)))</f>
        <v>Not Tested</v>
      </c>
      <c r="P44" s="7" t="str">
        <f ca="1">IF($S44="","",IF(INDEX('Master Tracker'!$AC$6:$AC$400,$S44)="","",INDEX('Master Tracker'!$AC$6:$AC$400,$S44)))</f>
        <v>On track</v>
      </c>
      <c r="S44">
        <f>IFERROR(MATCH("Phase 2|"&amp;A44,'Master Tracker'!$Z$6:$Z$400,0),"")</f>
        <v>23</v>
      </c>
    </row>
    <row r="45" spans="1:19" ht="48" customHeight="1" x14ac:dyDescent="0.3">
      <c r="A45" s="7">
        <v>7</v>
      </c>
      <c r="B45" s="51" t="str">
        <f>IF($S45="","",IF(INDEX('Master Tracker'!$A$6:$A$400,$S45)="","",INDEX('Master Tracker'!$A$6:$A$400,$S45)))</f>
        <v>P2-07</v>
      </c>
      <c r="C45" s="52" t="str">
        <f>IF($S45="","",IF(INDEX('Master Tracker'!$C$6:$C$400,$S45)="","",INDEX('Master Tracker'!$C$6:$C$400,$S45)))</f>
        <v>Customizer Controls</v>
      </c>
      <c r="D45" s="52" t="str">
        <f>IF($S45="","",IF(INDEX('Master Tracker'!$D$6:$D$400,$S45)="","",INDEX('Master Tracker'!$D$6:$D$400,$S45)))</f>
        <v>Section visibility, ordering &amp; de-duplication</v>
      </c>
      <c r="E45" s="7" t="str">
        <f>IF($S45="","",IF(INDEX('Master Tracker'!$F$6:$F$400,$S45)="","",INDEX('Master Tracker'!$F$6:$F$400,$S45)))</f>
        <v>P0</v>
      </c>
      <c r="F45" s="7" t="str">
        <f>IF($S45="","",IF(INDEX('Master Tracker'!$G$6:$G$400,$S45)="","",INDEX('Master Tracker'!$G$6:$G$400,$S45)))</f>
        <v>Not Started</v>
      </c>
      <c r="G45" s="19">
        <f>IF($S45="","",IF(INDEX('Master Tracker'!$H$6:$H$400,$S45)="","",INDEX('Master Tracker'!$H$6:$H$400,$S45)))</f>
        <v>46310</v>
      </c>
      <c r="H45" s="19">
        <f>IF($S45="","",IF(INDEX('Master Tracker'!$I$6:$I$400,$S45)="","",INDEX('Master Tracker'!$I$6:$I$400,$S45)))</f>
        <v>46311</v>
      </c>
      <c r="I45" s="53">
        <f>IF($S45="","",IF(INDEX('Master Tracker'!$U$6:$U$400,$S45)="","",INDEX('Master Tracker'!$U$6:$U$400,$S45)))</f>
        <v>0</v>
      </c>
      <c r="J45" s="52" t="str">
        <f>IF($S45="","",IF(INDEX('Master Tracker'!$K$6:$K$400,$S45)="","",INDEX('Master Tracker'!$K$6:$K$400,$S45)))</f>
        <v>P2-02</v>
      </c>
      <c r="K45" s="52" t="str">
        <f>IF($S45="","",IF(INDEX('Master Tracker'!$Y$6:$Y$400,$S45)="","",INDEX('Master Tracker'!$Y$6:$Y$400,$S45)))</f>
        <v>⏳ 1 open</v>
      </c>
      <c r="L45" s="52" t="str">
        <f>IF($S45="","",IF(INDEX('Master Tracker'!$M$6:$M$400,$S45)="","",INDEX('Master Tracker'!$M$6:$M$400,$S45)))</f>
        <v>inc/section-manager/render.php, inc/customizer/controls/sortable.php</v>
      </c>
      <c r="M45" s="52" t="str">
        <f>IF($S45="","",IF(INDEX('Master Tracker'!$O$6:$O$400,$S45)="","",INDEX('Master Tracker'!$O$6:$O$400,$S45)))</f>
        <v>Visibility, order and de-duplication controlled from Customizer</v>
      </c>
      <c r="N45" s="52" t="str">
        <f>IF($S45="","",IF(INDEX('Master Tracker'!$N$6:$N$400,$S45)="","",INDEX('Master Tracker'!$N$6:$N$400,$S45)))</f>
        <v>Hide a section, reorder two sections, confirm no duplicate posts across sections</v>
      </c>
      <c r="O45" s="7" t="str">
        <f>IF($S45="","",IF(INDEX('Master Tracker'!$T$6:$T$400,$S45)="","",INDEX('Master Tracker'!$T$6:$T$400,$S45)))</f>
        <v>Not Tested</v>
      </c>
      <c r="P45" s="7" t="str">
        <f ca="1">IF($S45="","",IF(INDEX('Master Tracker'!$AC$6:$AC$400,$S45)="","",INDEX('Master Tracker'!$AC$6:$AC$400,$S45)))</f>
        <v>On track</v>
      </c>
      <c r="S45">
        <f>IFERROR(MATCH("Phase 2|"&amp;A45,'Master Tracker'!$Z$6:$Z$400,0),"")</f>
        <v>24</v>
      </c>
    </row>
    <row r="46" spans="1:19" ht="48" customHeight="1" x14ac:dyDescent="0.3">
      <c r="A46" s="7">
        <v>8</v>
      </c>
      <c r="B46" s="51" t="str">
        <f>IF($S46="","",IF(INDEX('Master Tracker'!$A$6:$A$400,$S46)="","",INDEX('Master Tracker'!$A$6:$A$400,$S46)))</f>
        <v>P2-08</v>
      </c>
      <c r="C46" s="52" t="str">
        <f>IF($S46="","",IF(INDEX('Master Tracker'!$C$6:$C$400,$S46)="","",INDEX('Master Tracker'!$C$6:$C$400,$S46)))</f>
        <v>Cache Controls</v>
      </c>
      <c r="D46" s="52" t="str">
        <f>IF($S46="","",IF(INDEX('Master Tracker'!$D$6:$D$400,$S46)="","",INDEX('Master Tracker'!$D$6:$D$400,$S46)))</f>
        <v>Section cache controls + LiteSpeed purge</v>
      </c>
      <c r="E46" s="7" t="str">
        <f>IF($S46="","",IF(INDEX('Master Tracker'!$F$6:$F$400,$S46)="","",INDEX('Master Tracker'!$F$6:$F$400,$S46)))</f>
        <v>P0</v>
      </c>
      <c r="F46" s="7" t="str">
        <f>IF($S46="","",IF(INDEX('Master Tracker'!$G$6:$G$400,$S46)="","",INDEX('Master Tracker'!$G$6:$G$400,$S46)))</f>
        <v>Not Started</v>
      </c>
      <c r="G46" s="19">
        <f>IF($S46="","",IF(INDEX('Master Tracker'!$H$6:$H$400,$S46)="","",INDEX('Master Tracker'!$H$6:$H$400,$S46)))</f>
        <v>46311</v>
      </c>
      <c r="H46" s="19">
        <f>IF($S46="","",IF(INDEX('Master Tracker'!$I$6:$I$400,$S46)="","",INDEX('Master Tracker'!$I$6:$I$400,$S46)))</f>
        <v>46311</v>
      </c>
      <c r="I46" s="53">
        <f>IF($S46="","",IF(INDEX('Master Tracker'!$U$6:$U$400,$S46)="","",INDEX('Master Tracker'!$U$6:$U$400,$S46)))</f>
        <v>0</v>
      </c>
      <c r="J46" s="52" t="str">
        <f>IF($S46="","",IF(INDEX('Master Tracker'!$K$6:$K$400,$S46)="","",INDEX('Master Tracker'!$K$6:$K$400,$S46)))</f>
        <v>P1-14, P2-01</v>
      </c>
      <c r="K46" s="52" t="str">
        <f>IF($S46="","",IF(INDEX('Master Tracker'!$Y$6:$Y$400,$S46)="","",INDEX('Master Tracker'!$Y$6:$Y$400,$S46)))</f>
        <v>⏳ 2 open</v>
      </c>
      <c r="L46" s="52" t="str">
        <f>IF($S46="","",IF(INDEX('Master Tracker'!$M$6:$M$400,$S46)="","",INDEX('Master Tracker'!$M$6:$M$400,$S46)))</f>
        <v>inc/section-manager/cache.php</v>
      </c>
      <c r="M46" s="52" t="str">
        <f>IF($S46="","",IF(INDEX('Master Tracker'!$O$6:$O$400,$S46)="","",INDEX('Master Tracker'!$O$6:$O$400,$S46)))</f>
        <v>Homepage never serves stale sections after publish; manual purge available</v>
      </c>
      <c r="N46" s="52" t="str">
        <f>IF($S46="","",IF(INDEX('Master Tracker'!$N$6:$N$400,$S46)="","",INDEX('Master Tracker'!$N$6:$N$400,$S46)))</f>
        <v>Publish a post → appears on homepage after purge; purge button works only for editors+</v>
      </c>
      <c r="O46" s="7" t="str">
        <f>IF($S46="","",IF(INDEX('Master Tracker'!$T$6:$T$400,$S46)="","",INDEX('Master Tracker'!$T$6:$T$400,$S46)))</f>
        <v>Not Tested</v>
      </c>
      <c r="P46" s="7" t="str">
        <f ca="1">IF($S46="","",IF(INDEX('Master Tracker'!$AC$6:$AC$400,$S46)="","",INDEX('Master Tracker'!$AC$6:$AC$400,$S46)))</f>
        <v>On track</v>
      </c>
      <c r="S46">
        <f>IFERROR(MATCH("Phase 2|"&amp;A46,'Master Tracker'!$Z$6:$Z$400,0),"")</f>
        <v>25</v>
      </c>
    </row>
    <row r="47" spans="1:19" ht="48" customHeight="1" x14ac:dyDescent="0.3">
      <c r="A47" s="7">
        <v>9</v>
      </c>
      <c r="B47" s="51" t="str">
        <f>IF($S47="","",IF(INDEX('Master Tracker'!$A$6:$A$400,$S47)="","",INDEX('Master Tracker'!$A$6:$A$400,$S47)))</f>
        <v>P2-09</v>
      </c>
      <c r="C47" s="52" t="str">
        <f>IF($S47="","",IF(INDEX('Master Tracker'!$C$6:$C$400,$S47)="","",INDEX('Master Tracker'!$C$6:$C$400,$S47)))</f>
        <v>Homepage Sections</v>
      </c>
      <c r="D47" s="52" t="str">
        <f>IF($S47="","",IF(INDEX('Master Tracker'!$D$6:$D$400,$S47)="","",INDEX('Master Tracker'!$D$6:$D$400,$S47)))</f>
        <v>Homepage hero</v>
      </c>
      <c r="E47" s="7" t="str">
        <f>IF($S47="","",IF(INDEX('Master Tracker'!$F$6:$F$400,$S47)="","",INDEX('Master Tracker'!$F$6:$F$400,$S47)))</f>
        <v>P0</v>
      </c>
      <c r="F47" s="7" t="str">
        <f>IF($S47="","",IF(INDEX('Master Tracker'!$G$6:$G$400,$S47)="","",INDEX('Master Tracker'!$G$6:$G$400,$S47)))</f>
        <v>Not Started</v>
      </c>
      <c r="G47" s="19">
        <f>IF($S47="","",IF(INDEX('Master Tracker'!$H$6:$H$400,$S47)="","",INDEX('Master Tracker'!$H$6:$H$400,$S47)))</f>
        <v>46311</v>
      </c>
      <c r="H47" s="19">
        <f>IF($S47="","",IF(INDEX('Master Tracker'!$I$6:$I$400,$S47)="","",INDEX('Master Tracker'!$I$6:$I$400,$S47)))</f>
        <v>46311</v>
      </c>
      <c r="I47" s="53">
        <f>IF($S47="","",IF(INDEX('Master Tracker'!$U$6:$U$400,$S47)="","",INDEX('Master Tracker'!$U$6:$U$400,$S47)))</f>
        <v>0</v>
      </c>
      <c r="J47" s="52" t="str">
        <f>IF($S47="","",IF(INDEX('Master Tracker'!$K$6:$K$400,$S47)="","",INDEX('Master Tracker'!$K$6:$K$400,$S47)))</f>
        <v>P2-01</v>
      </c>
      <c r="K47" s="52" t="str">
        <f>IF($S47="","",IF(INDEX('Master Tracker'!$Y$6:$Y$400,$S47)="","",INDEX('Master Tracker'!$Y$6:$Y$400,$S47)))</f>
        <v>⏳ 1 open</v>
      </c>
      <c r="L47" s="52" t="str">
        <f>IF($S47="","",IF(INDEX('Master Tracker'!$M$6:$M$400,$S47)="","",INDEX('Master Tracker'!$M$6:$M$400,$S47)))</f>
        <v>template-parts/sections/hero.php</v>
      </c>
      <c r="M47" s="52" t="str">
        <f>IF($S47="","",IF(INDEX('Master Tracker'!$O$6:$O$400,$S47)="","",INDEX('Master Tracker'!$O$6:$O$400,$S47)))</f>
        <v>Hero is editor-controlled and renders well on all breakpoints</v>
      </c>
      <c r="N47" s="52" t="str">
        <f>IF($S47="","",IF(INDEX('Master Tracker'!$N$6:$N$400,$S47)="","",INDEX('Master Tracker'!$N$6:$N$400,$S47)))</f>
        <v>Change hero source; check mobile crop and title wrapping in Arabic</v>
      </c>
      <c r="O47" s="7" t="str">
        <f>IF($S47="","",IF(INDEX('Master Tracker'!$T$6:$T$400,$S47)="","",INDEX('Master Tracker'!$T$6:$T$400,$S47)))</f>
        <v>Not Tested</v>
      </c>
      <c r="P47" s="7" t="str">
        <f ca="1">IF($S47="","",IF(INDEX('Master Tracker'!$AC$6:$AC$400,$S47)="","",INDEX('Master Tracker'!$AC$6:$AC$400,$S47)))</f>
        <v>On track</v>
      </c>
      <c r="S47">
        <f>IFERROR(MATCH("Phase 2|"&amp;A47,'Master Tracker'!$Z$6:$Z$400,0),"")</f>
        <v>26</v>
      </c>
    </row>
    <row r="48" spans="1:19" ht="48" customHeight="1" x14ac:dyDescent="0.3">
      <c r="A48" s="7">
        <v>10</v>
      </c>
      <c r="B48" s="51" t="str">
        <f>IF($S48="","",IF(INDEX('Master Tracker'!$A$6:$A$400,$S48)="","",INDEX('Master Tracker'!$A$6:$A$400,$S48)))</f>
        <v>P2-10</v>
      </c>
      <c r="C48" s="52" t="str">
        <f>IF($S48="","",IF(INDEX('Master Tracker'!$C$6:$C$400,$S48)="","",INDEX('Master Tracker'!$C$6:$C$400,$S48)))</f>
        <v>Homepage Sections</v>
      </c>
      <c r="D48" s="52" t="str">
        <f>IF($S48="","",IF(INDEX('Master Tracker'!$D$6:$D$400,$S48)="","",INDEX('Master Tracker'!$D$6:$D$400,$S48)))</f>
        <v>Breaking news ticker</v>
      </c>
      <c r="E48" s="7" t="str">
        <f>IF($S48="","",IF(INDEX('Master Tracker'!$F$6:$F$400,$S48)="","",INDEX('Master Tracker'!$F$6:$F$400,$S48)))</f>
        <v>P0</v>
      </c>
      <c r="F48" s="7" t="str">
        <f>IF($S48="","",IF(INDEX('Master Tracker'!$G$6:$G$400,$S48)="","",INDEX('Master Tracker'!$G$6:$G$400,$S48)))</f>
        <v>Not Started</v>
      </c>
      <c r="G48" s="19">
        <f>IF($S48="","",IF(INDEX('Master Tracker'!$H$6:$H$400,$S48)="","",INDEX('Master Tracker'!$H$6:$H$400,$S48)))</f>
        <v>46311</v>
      </c>
      <c r="H48" s="19">
        <f>IF($S48="","",IF(INDEX('Master Tracker'!$I$6:$I$400,$S48)="","",INDEX('Master Tracker'!$I$6:$I$400,$S48)))</f>
        <v>46311</v>
      </c>
      <c r="I48" s="53">
        <f>IF($S48="","",IF(INDEX('Master Tracker'!$U$6:$U$400,$S48)="","",INDEX('Master Tracker'!$U$6:$U$400,$S48)))</f>
        <v>0</v>
      </c>
      <c r="J48" s="52" t="str">
        <f>IF($S48="","",IF(INDEX('Master Tracker'!$K$6:$K$400,$S48)="","",INDEX('Master Tracker'!$K$6:$K$400,$S48)))</f>
        <v>P2-01</v>
      </c>
      <c r="K48" s="52" t="str">
        <f>IF($S48="","",IF(INDEX('Master Tracker'!$Y$6:$Y$400,$S48)="","",INDEX('Master Tracker'!$Y$6:$Y$400,$S48)))</f>
        <v>⏳ 1 open</v>
      </c>
      <c r="L48" s="52" t="str">
        <f>IF($S48="","",IF(INDEX('Master Tracker'!$M$6:$M$400,$S48)="","",INDEX('Master Tracker'!$M$6:$M$400,$S48)))</f>
        <v>template-parts/sections/ticker.php, assets/js/modules/ticker.js</v>
      </c>
      <c r="M48" s="52" t="str">
        <f>IF($S48="","",IF(INDEX('Master Tracker'!$O$6:$O$400,$S48)="","",INDEX('Master Tracker'!$O$6:$O$400,$S48)))</f>
        <v>Ticker updates from WordPress, scrolls RTL and is accessible</v>
      </c>
      <c r="N48" s="52" t="str">
        <f>IF($S48="","",IF(INDEX('Master Tracker'!$N$6:$N$400,$S48)="","",INDEX('Master Tracker'!$N$6:$N$400,$S48)))</f>
        <v>Add/remove breaking tag; test RTL scroll direction, hover pause, reduced motion</v>
      </c>
      <c r="O48" s="7" t="str">
        <f>IF($S48="","",IF(INDEX('Master Tracker'!$T$6:$T$400,$S48)="","",INDEX('Master Tracker'!$T$6:$T$400,$S48)))</f>
        <v>Not Tested</v>
      </c>
      <c r="P48" s="7" t="str">
        <f ca="1">IF($S48="","",IF(INDEX('Master Tracker'!$AC$6:$AC$400,$S48)="","",INDEX('Master Tracker'!$AC$6:$AC$400,$S48)))</f>
        <v>On track</v>
      </c>
      <c r="S48">
        <f>IFERROR(MATCH("Phase 2|"&amp;A48,'Master Tracker'!$Z$6:$Z$400,0),"")</f>
        <v>27</v>
      </c>
    </row>
    <row r="49" spans="1:19" ht="48" customHeight="1" x14ac:dyDescent="0.3">
      <c r="A49" s="7">
        <v>11</v>
      </c>
      <c r="B49" s="51" t="str">
        <f>IF($S49="","",IF(INDEX('Master Tracker'!$A$6:$A$400,$S49)="","",INDEX('Master Tracker'!$A$6:$A$400,$S49)))</f>
        <v>P2-11</v>
      </c>
      <c r="C49" s="52" t="str">
        <f>IF($S49="","",IF(INDEX('Master Tracker'!$C$6:$C$400,$S49)="","",INDEX('Master Tracker'!$C$6:$C$400,$S49)))</f>
        <v>Homepage Sections</v>
      </c>
      <c r="D49" s="52" t="str">
        <f>IF($S49="","",IF(INDEX('Master Tracker'!$D$6:$D$400,$S49)="","",INDEX('Master Tracker'!$D$6:$D$400,$S49)))</f>
        <v>Magazine cover slider</v>
      </c>
      <c r="E49" s="7" t="str">
        <f>IF($S49="","",IF(INDEX('Master Tracker'!$F$6:$F$400,$S49)="","",INDEX('Master Tracker'!$F$6:$F$400,$S49)))</f>
        <v>P1</v>
      </c>
      <c r="F49" s="7" t="str">
        <f>IF($S49="","",IF(INDEX('Master Tracker'!$G$6:$G$400,$S49)="","",INDEX('Master Tracker'!$G$6:$G$400,$S49)))</f>
        <v>Not Started</v>
      </c>
      <c r="G49" s="19">
        <f>IF($S49="","",IF(INDEX('Master Tracker'!$H$6:$H$400,$S49)="","",INDEX('Master Tracker'!$H$6:$H$400,$S49)))</f>
        <v>46311</v>
      </c>
      <c r="H49" s="19">
        <f>IF($S49="","",IF(INDEX('Master Tracker'!$I$6:$I$400,$S49)="","",INDEX('Master Tracker'!$I$6:$I$400,$S49)))</f>
        <v>46311</v>
      </c>
      <c r="I49" s="53">
        <f>IF($S49="","",IF(INDEX('Master Tracker'!$U$6:$U$400,$S49)="","",INDEX('Master Tracker'!$U$6:$U$400,$S49)))</f>
        <v>0</v>
      </c>
      <c r="J49" s="52" t="str">
        <f>IF($S49="","",IF(INDEX('Master Tracker'!$K$6:$K$400,$S49)="","",INDEX('Master Tracker'!$K$6:$K$400,$S49)))</f>
        <v>P2-01, P4-01</v>
      </c>
      <c r="K49" s="52" t="str">
        <f>IF($S49="","",IF(INDEX('Master Tracker'!$Y$6:$Y$400,$S49)="","",INDEX('Master Tracker'!$Y$6:$Y$400,$S49)))</f>
        <v>⏳ 2 open</v>
      </c>
      <c r="L49" s="52" t="str">
        <f>IF($S49="","",IF(INDEX('Master Tracker'!$M$6:$M$400,$S49)="","",INDEX('Master Tracker'!$M$6:$M$400,$S49)))</f>
        <v>template-parts/sections/cover-slider.php, assets/js/modules/slider.js</v>
      </c>
      <c r="M49" s="52" t="str">
        <f>IF($S49="","",IF(INDEX('Master Tracker'!$O$6:$O$400,$S49)="","",INDEX('Master Tracker'!$O$6:$O$400,$S49)))</f>
        <v>Slider shows latest issues automatically</v>
      </c>
      <c r="N49" s="52" t="str">
        <f>IF($S49="","",IF(INDEX('Master Tracker'!$N$6:$N$400,$S49)="","",INDEX('Master Tracker'!$N$6:$N$400,$S49)))</f>
        <v>Swipe on mobile; covers lazy-load; links open correct issue</v>
      </c>
      <c r="O49" s="7" t="str">
        <f>IF($S49="","",IF(INDEX('Master Tracker'!$T$6:$T$400,$S49)="","",INDEX('Master Tracker'!$T$6:$T$400,$S49)))</f>
        <v>Not Tested</v>
      </c>
      <c r="P49" s="7" t="str">
        <f ca="1">IF($S49="","",IF(INDEX('Master Tracker'!$AC$6:$AC$400,$S49)="","",INDEX('Master Tracker'!$AC$6:$AC$400,$S49)))</f>
        <v>On track</v>
      </c>
      <c r="S49">
        <f>IFERROR(MATCH("Phase 2|"&amp;A49,'Master Tracker'!$Z$6:$Z$400,0),"")</f>
        <v>28</v>
      </c>
    </row>
    <row r="50" spans="1:19" ht="48" customHeight="1" x14ac:dyDescent="0.3">
      <c r="A50" s="7">
        <v>12</v>
      </c>
      <c r="B50" s="51" t="str">
        <f>IF($S50="","",IF(INDEX('Master Tracker'!$A$6:$A$400,$S50)="","",INDEX('Master Tracker'!$A$6:$A$400,$S50)))</f>
        <v>P2-12</v>
      </c>
      <c r="C50" s="52" t="str">
        <f>IF($S50="","",IF(INDEX('Master Tracker'!$C$6:$C$400,$S50)="","",INDEX('Master Tracker'!$C$6:$C$400,$S50)))</f>
        <v>Homepage Sections</v>
      </c>
      <c r="D50" s="52" t="str">
        <f>IF($S50="","",IF(INDEX('Master Tracker'!$D$6:$D$400,$S50)="","",INDEX('Master Tracker'!$D$6:$D$400,$S50)))</f>
        <v>Chamber section</v>
      </c>
      <c r="E50" s="7" t="str">
        <f>IF($S50="","",IF(INDEX('Master Tracker'!$F$6:$F$400,$S50)="","",INDEX('Master Tracker'!$F$6:$F$400,$S50)))</f>
        <v>P1</v>
      </c>
      <c r="F50" s="7" t="str">
        <f>IF($S50="","",IF(INDEX('Master Tracker'!$G$6:$G$400,$S50)="","",INDEX('Master Tracker'!$G$6:$G$400,$S50)))</f>
        <v>Not Started</v>
      </c>
      <c r="G50" s="19">
        <f>IF($S50="","",IF(INDEX('Master Tracker'!$H$6:$H$400,$S50)="","",INDEX('Master Tracker'!$H$6:$H$400,$S50)))</f>
        <v>46311</v>
      </c>
      <c r="H50" s="19">
        <f>IF($S50="","",IF(INDEX('Master Tracker'!$I$6:$I$400,$S50)="","",INDEX('Master Tracker'!$I$6:$I$400,$S50)))</f>
        <v>46311</v>
      </c>
      <c r="I50" s="53">
        <f>IF($S50="","",IF(INDEX('Master Tracker'!$U$6:$U$400,$S50)="","",INDEX('Master Tracker'!$U$6:$U$400,$S50)))</f>
        <v>0</v>
      </c>
      <c r="J50" s="52" t="str">
        <f>IF($S50="","",IF(INDEX('Master Tracker'!$K$6:$K$400,$S50)="","",INDEX('Master Tracker'!$K$6:$K$400,$S50)))</f>
        <v>P2-01</v>
      </c>
      <c r="K50" s="52" t="str">
        <f>IF($S50="","",IF(INDEX('Master Tracker'!$Y$6:$Y$400,$S50)="","",INDEX('Master Tracker'!$Y$6:$Y$400,$S50)))</f>
        <v>⏳ 1 open</v>
      </c>
      <c r="L50" s="52" t="str">
        <f>IF($S50="","",IF(INDEX('Master Tracker'!$M$6:$M$400,$S50)="","",INDEX('Master Tracker'!$M$6:$M$400,$S50)))</f>
        <v>template-parts/sections/*</v>
      </c>
      <c r="M50" s="52" t="str">
        <f>IF($S50="","",IF(INDEX('Master Tracker'!$O$6:$O$400,$S50)="","",INDEX('Master Tracker'!$O$6:$O$400,$S50)))</f>
        <v>Chamber section renders configured posts</v>
      </c>
      <c r="N50" s="52" t="str">
        <f>IF($S50="","",IF(INDEX('Master Tracker'!$N$6:$N$400,$S50)="","",INDEX('Master Tracker'!$N$6:$N$400,$S50)))</f>
        <v>Configure source and layout; verify output</v>
      </c>
      <c r="O50" s="7" t="str">
        <f>IF($S50="","",IF(INDEX('Master Tracker'!$T$6:$T$400,$S50)="","",INDEX('Master Tracker'!$T$6:$T$400,$S50)))</f>
        <v>Not Tested</v>
      </c>
      <c r="P50" s="7" t="str">
        <f ca="1">IF($S50="","",IF(INDEX('Master Tracker'!$AC$6:$AC$400,$S50)="","",INDEX('Master Tracker'!$AC$6:$AC$400,$S50)))</f>
        <v>On track</v>
      </c>
      <c r="S50">
        <f>IFERROR(MATCH("Phase 2|"&amp;A50,'Master Tracker'!$Z$6:$Z$400,0),"")</f>
        <v>29</v>
      </c>
    </row>
    <row r="51" spans="1:19" ht="48" customHeight="1" x14ac:dyDescent="0.3">
      <c r="A51" s="7">
        <v>13</v>
      </c>
      <c r="B51" s="51" t="str">
        <f>IF($S51="","",IF(INDEX('Master Tracker'!$A$6:$A$400,$S51)="","",INDEX('Master Tracker'!$A$6:$A$400,$S51)))</f>
        <v>P2-13</v>
      </c>
      <c r="C51" s="52" t="str">
        <f>IF($S51="","",IF(INDEX('Master Tracker'!$C$6:$C$400,$S51)="","",INDEX('Master Tracker'!$C$6:$C$400,$S51)))</f>
        <v>Homepage Sections</v>
      </c>
      <c r="D51" s="52" t="str">
        <f>IF($S51="","",IF(INDEX('Master Tracker'!$D$6:$D$400,$S51)="","",INDEX('Master Tracker'!$D$6:$D$400,$S51)))</f>
        <v>Opinion / columnists section</v>
      </c>
      <c r="E51" s="7" t="str">
        <f>IF($S51="","",IF(INDEX('Master Tracker'!$F$6:$F$400,$S51)="","",INDEX('Master Tracker'!$F$6:$F$400,$S51)))</f>
        <v>P1</v>
      </c>
      <c r="F51" s="7" t="str">
        <f>IF($S51="","",IF(INDEX('Master Tracker'!$G$6:$G$400,$S51)="","",INDEX('Master Tracker'!$G$6:$G$400,$S51)))</f>
        <v>Not Started</v>
      </c>
      <c r="G51" s="19">
        <f>IF($S51="","",IF(INDEX('Master Tracker'!$H$6:$H$400,$S51)="","",INDEX('Master Tracker'!$H$6:$H$400,$S51)))</f>
        <v>46311</v>
      </c>
      <c r="H51" s="19">
        <f>IF($S51="","",IF(INDEX('Master Tracker'!$I$6:$I$400,$S51)="","",INDEX('Master Tracker'!$I$6:$I$400,$S51)))</f>
        <v>46311</v>
      </c>
      <c r="I51" s="53">
        <f>IF($S51="","",IF(INDEX('Master Tracker'!$U$6:$U$400,$S51)="","",INDEX('Master Tracker'!$U$6:$U$400,$S51)))</f>
        <v>0</v>
      </c>
      <c r="J51" s="52" t="str">
        <f>IF($S51="","",IF(INDEX('Master Tracker'!$K$6:$K$400,$S51)="","",INDEX('Master Tracker'!$K$6:$K$400,$S51)))</f>
        <v>P2-01</v>
      </c>
      <c r="K51" s="52" t="str">
        <f>IF($S51="","",IF(INDEX('Master Tracker'!$Y$6:$Y$400,$S51)="","",INDEX('Master Tracker'!$Y$6:$Y$400,$S51)))</f>
        <v>⏳ 1 open</v>
      </c>
      <c r="L51" s="52" t="str">
        <f>IF($S51="","",IF(INDEX('Master Tracker'!$M$6:$M$400,$S51)="","",INDEX('Master Tracker'!$M$6:$M$400,$S51)))</f>
        <v>template-parts/sections/opinion.php</v>
      </c>
      <c r="M51" s="52" t="str">
        <f>IF($S51="","",IF(INDEX('Master Tracker'!$O$6:$O$400,$S51)="","",INDEX('Master Tracker'!$O$6:$O$400,$S51)))</f>
        <v>Opinion section shows writers with working profile links</v>
      </c>
      <c r="N51" s="52" t="str">
        <f>IF($S51="","",IF(INDEX('Master Tracker'!$N$6:$N$400,$S51)="","",INDEX('Master Tracker'!$N$6:$N$400,$S51)))</f>
        <v>Check avatars, author links, fallback avatar</v>
      </c>
      <c r="O51" s="7" t="str">
        <f>IF($S51="","",IF(INDEX('Master Tracker'!$T$6:$T$400,$S51)="","",INDEX('Master Tracker'!$T$6:$T$400,$S51)))</f>
        <v>Not Tested</v>
      </c>
      <c r="P51" s="7" t="str">
        <f ca="1">IF($S51="","",IF(INDEX('Master Tracker'!$AC$6:$AC$400,$S51)="","",INDEX('Master Tracker'!$AC$6:$AC$400,$S51)))</f>
        <v>On track</v>
      </c>
      <c r="S51">
        <f>IFERROR(MATCH("Phase 2|"&amp;A51,'Master Tracker'!$Z$6:$Z$400,0),"")</f>
        <v>30</v>
      </c>
    </row>
    <row r="52" spans="1:19" ht="48" customHeight="1" x14ac:dyDescent="0.3">
      <c r="A52" s="7">
        <v>14</v>
      </c>
      <c r="B52" s="51" t="str">
        <f>IF($S52="","",IF(INDEX('Master Tracker'!$A$6:$A$400,$S52)="","",INDEX('Master Tracker'!$A$6:$A$400,$S52)))</f>
        <v>P2-14</v>
      </c>
      <c r="C52" s="52" t="str">
        <f>IF($S52="","",IF(INDEX('Master Tracker'!$C$6:$C$400,$S52)="","",INDEX('Master Tracker'!$C$6:$C$400,$S52)))</f>
        <v>Homepage Sections</v>
      </c>
      <c r="D52" s="52" t="str">
        <f>IF($S52="","",IF(INDEX('Master Tracker'!$D$6:$D$400,$S52)="","",INDEX('Master Tracker'!$D$6:$D$400,$S52)))</f>
        <v>Reports section</v>
      </c>
      <c r="E52" s="7" t="str">
        <f>IF($S52="","",IF(INDEX('Master Tracker'!$F$6:$F$400,$S52)="","",INDEX('Master Tracker'!$F$6:$F$400,$S52)))</f>
        <v>P1</v>
      </c>
      <c r="F52" s="7" t="str">
        <f>IF($S52="","",IF(INDEX('Master Tracker'!$G$6:$G$400,$S52)="","",INDEX('Master Tracker'!$G$6:$G$400,$S52)))</f>
        <v>Not Started</v>
      </c>
      <c r="G52" s="19">
        <f>IF($S52="","",IF(INDEX('Master Tracker'!$H$6:$H$400,$S52)="","",INDEX('Master Tracker'!$H$6:$H$400,$S52)))</f>
        <v>46311</v>
      </c>
      <c r="H52" s="19">
        <f>IF($S52="","",IF(INDEX('Master Tracker'!$I$6:$I$400,$S52)="","",INDEX('Master Tracker'!$I$6:$I$400,$S52)))</f>
        <v>46312</v>
      </c>
      <c r="I52" s="53">
        <f>IF($S52="","",IF(INDEX('Master Tracker'!$U$6:$U$400,$S52)="","",INDEX('Master Tracker'!$U$6:$U$400,$S52)))</f>
        <v>0</v>
      </c>
      <c r="J52" s="52" t="str">
        <f>IF($S52="","",IF(INDEX('Master Tracker'!$K$6:$K$400,$S52)="","",INDEX('Master Tracker'!$K$6:$K$400,$S52)))</f>
        <v>P2-01</v>
      </c>
      <c r="K52" s="52" t="str">
        <f>IF($S52="","",IF(INDEX('Master Tracker'!$Y$6:$Y$400,$S52)="","",INDEX('Master Tracker'!$Y$6:$Y$400,$S52)))</f>
        <v>⏳ 1 open</v>
      </c>
      <c r="L52" s="52" t="str">
        <f>IF($S52="","",IF(INDEX('Master Tracker'!$M$6:$M$400,$S52)="","",INDEX('Master Tracker'!$M$6:$M$400,$S52)))</f>
        <v>template-parts/sections/*</v>
      </c>
      <c r="M52" s="52" t="str">
        <f>IF($S52="","",IF(INDEX('Master Tracker'!$O$6:$O$400,$S52)="","",INDEX('Master Tracker'!$O$6:$O$400,$S52)))</f>
        <v>Reports section renders configured posts</v>
      </c>
      <c r="N52" s="52" t="str">
        <f>IF($S52="","",IF(INDEX('Master Tracker'!$N$6:$N$400,$S52)="","",INDEX('Master Tracker'!$N$6:$N$400,$S52)))</f>
        <v>Configure; verify output and layout</v>
      </c>
      <c r="O52" s="7" t="str">
        <f>IF($S52="","",IF(INDEX('Master Tracker'!$T$6:$T$400,$S52)="","",INDEX('Master Tracker'!$T$6:$T$400,$S52)))</f>
        <v>Not Tested</v>
      </c>
      <c r="P52" s="7" t="str">
        <f ca="1">IF($S52="","",IF(INDEX('Master Tracker'!$AC$6:$AC$400,$S52)="","",INDEX('Master Tracker'!$AC$6:$AC$400,$S52)))</f>
        <v>On track</v>
      </c>
      <c r="S52">
        <f>IFERROR(MATCH("Phase 2|"&amp;A52,'Master Tracker'!$Z$6:$Z$400,0),"")</f>
        <v>31</v>
      </c>
    </row>
    <row r="53" spans="1:19" ht="48" customHeight="1" x14ac:dyDescent="0.3">
      <c r="A53" s="7">
        <v>15</v>
      </c>
      <c r="B53" s="51" t="str">
        <f>IF($S53="","",IF(INDEX('Master Tracker'!$A$6:$A$400,$S53)="","",INDEX('Master Tracker'!$A$6:$A$400,$S53)))</f>
        <v>P2-15</v>
      </c>
      <c r="C53" s="52" t="str">
        <f>IF($S53="","",IF(INDEX('Master Tracker'!$C$6:$C$400,$S53)="","",INDEX('Master Tracker'!$C$6:$C$400,$S53)))</f>
        <v>Homepage Sections</v>
      </c>
      <c r="D53" s="52" t="str">
        <f>IF($S53="","",IF(INDEX('Master Tracker'!$D$6:$D$400,$S53)="","",INDEX('Master Tracker'!$D$6:$D$400,$S53)))</f>
        <v>Latest news &amp; article grid sections</v>
      </c>
      <c r="E53" s="7" t="str">
        <f>IF($S53="","",IF(INDEX('Master Tracker'!$F$6:$F$400,$S53)="","",INDEX('Master Tracker'!$F$6:$F$400,$S53)))</f>
        <v>P0</v>
      </c>
      <c r="F53" s="7" t="str">
        <f>IF($S53="","",IF(INDEX('Master Tracker'!$G$6:$G$400,$S53)="","",INDEX('Master Tracker'!$G$6:$G$400,$S53)))</f>
        <v>Not Started</v>
      </c>
      <c r="G53" s="19">
        <f>IF($S53="","",IF(INDEX('Master Tracker'!$H$6:$H$400,$S53)="","",INDEX('Master Tracker'!$H$6:$H$400,$S53)))</f>
        <v>46312</v>
      </c>
      <c r="H53" s="19">
        <f>IF($S53="","",IF(INDEX('Master Tracker'!$I$6:$I$400,$S53)="","",INDEX('Master Tracker'!$I$6:$I$400,$S53)))</f>
        <v>46312</v>
      </c>
      <c r="I53" s="53">
        <f>IF($S53="","",IF(INDEX('Master Tracker'!$U$6:$U$400,$S53)="","",INDEX('Master Tracker'!$U$6:$U$400,$S53)))</f>
        <v>0</v>
      </c>
      <c r="J53" s="52" t="str">
        <f>IF($S53="","",IF(INDEX('Master Tracker'!$K$6:$K$400,$S53)="","",INDEX('Master Tracker'!$K$6:$K$400,$S53)))</f>
        <v>P2-01</v>
      </c>
      <c r="K53" s="52" t="str">
        <f>IF($S53="","",IF(INDEX('Master Tracker'!$Y$6:$Y$400,$S53)="","",INDEX('Master Tracker'!$Y$6:$Y$400,$S53)))</f>
        <v>⏳ 1 open</v>
      </c>
      <c r="L53" s="52" t="str">
        <f>IF($S53="","",IF(INDEX('Master Tracker'!$M$6:$M$400,$S53)="","",INDEX('Master Tracker'!$M$6:$M$400,$S53)))</f>
        <v>template-parts/sections/grid.php</v>
      </c>
      <c r="M53" s="52" t="str">
        <f>IF($S53="","",IF(INDEX('Master Tracker'!$O$6:$O$400,$S53)="","",INDEX('Master Tracker'!$O$6:$O$400,$S53)))</f>
        <v>Article grids render and link to archives</v>
      </c>
      <c r="N53" s="52" t="str">
        <f>IF($S53="","",IF(INDEX('Master Tracker'!$N$6:$N$400,$S53)="","",INDEX('Master Tracker'!$N$6:$N$400,$S53)))</f>
        <v>Verify counts, links and de-duplication</v>
      </c>
      <c r="O53" s="7" t="str">
        <f>IF($S53="","",IF(INDEX('Master Tracker'!$T$6:$T$400,$S53)="","",INDEX('Master Tracker'!$T$6:$T$400,$S53)))</f>
        <v>Not Tested</v>
      </c>
      <c r="P53" s="7" t="str">
        <f ca="1">IF($S53="","",IF(INDEX('Master Tracker'!$AC$6:$AC$400,$S53)="","",INDEX('Master Tracker'!$AC$6:$AC$400,$S53)))</f>
        <v>On track</v>
      </c>
      <c r="S53">
        <f>IFERROR(MATCH("Phase 2|"&amp;A53,'Master Tracker'!$Z$6:$Z$400,0),"")</f>
        <v>32</v>
      </c>
    </row>
    <row r="54" spans="1:19" ht="48" customHeight="1" x14ac:dyDescent="0.3">
      <c r="A54" s="7">
        <v>16</v>
      </c>
      <c r="B54" s="51" t="str">
        <f>IF($S54="","",IF(INDEX('Master Tracker'!$A$6:$A$400,$S54)="","",INDEX('Master Tracker'!$A$6:$A$400,$S54)))</f>
        <v>P2-16</v>
      </c>
      <c r="C54" s="52" t="str">
        <f>IF($S54="","",IF(INDEX('Master Tracker'!$C$6:$C$400,$S54)="","",INDEX('Master Tracker'!$C$6:$C$400,$S54)))</f>
        <v>Sector Sections</v>
      </c>
      <c r="D54" s="52" t="str">
        <f>IF($S54="","",IF(INDEX('Master Tracker'!$D$6:$D$400,$S54)="","",INDEX('Master Tracker'!$D$6:$D$400,$S54)))</f>
        <v>Business section</v>
      </c>
      <c r="E54" s="7" t="str">
        <f>IF($S54="","",IF(INDEX('Master Tracker'!$F$6:$F$400,$S54)="","",INDEX('Master Tracker'!$F$6:$F$400,$S54)))</f>
        <v>P1</v>
      </c>
      <c r="F54" s="7" t="str">
        <f>IF($S54="","",IF(INDEX('Master Tracker'!$G$6:$G$400,$S54)="","",INDEX('Master Tracker'!$G$6:$G$400,$S54)))</f>
        <v>Not Started</v>
      </c>
      <c r="G54" s="19">
        <f>IF($S54="","",IF(INDEX('Master Tracker'!$H$6:$H$400,$S54)="","",INDEX('Master Tracker'!$H$6:$H$400,$S54)))</f>
        <v>46312</v>
      </c>
      <c r="H54" s="19">
        <f>IF($S54="","",IF(INDEX('Master Tracker'!$I$6:$I$400,$S54)="","",INDEX('Master Tracker'!$I$6:$I$400,$S54)))</f>
        <v>46312</v>
      </c>
      <c r="I54" s="53">
        <f>IF($S54="","",IF(INDEX('Master Tracker'!$U$6:$U$400,$S54)="","",INDEX('Master Tracker'!$U$6:$U$400,$S54)))</f>
        <v>0</v>
      </c>
      <c r="J54" s="52" t="str">
        <f>IF($S54="","",IF(INDEX('Master Tracker'!$K$6:$K$400,$S54)="","",INDEX('Master Tracker'!$K$6:$K$400,$S54)))</f>
        <v>P2-15</v>
      </c>
      <c r="K54" s="52" t="str">
        <f>IF($S54="","",IF(INDEX('Master Tracker'!$Y$6:$Y$400,$S54)="","",INDEX('Master Tracker'!$Y$6:$Y$400,$S54)))</f>
        <v>⏳ 1 open</v>
      </c>
      <c r="L54" s="52" t="str">
        <f>IF($S54="","",IF(INDEX('Master Tracker'!$M$6:$M$400,$S54)="","",INDEX('Master Tracker'!$M$6:$M$400,$S54)))</f>
        <v>template-parts/sections/*</v>
      </c>
      <c r="M54" s="52" t="str">
        <f>IF($S54="","",IF(INDEX('Master Tracker'!$O$6:$O$400,$S54)="","",INDEX('Master Tracker'!$O$6:$O$400,$S54)))</f>
        <v>Section live and editor-configurable</v>
      </c>
      <c r="N54" s="52" t="str">
        <f>IF($S54="","",IF(INDEX('Master Tracker'!$N$6:$N$400,$S54)="","",INDEX('Master Tracker'!$N$6:$N$400,$S54)))</f>
        <v>Verify source, count, layout</v>
      </c>
      <c r="O54" s="7" t="str">
        <f>IF($S54="","",IF(INDEX('Master Tracker'!$T$6:$T$400,$S54)="","",INDEX('Master Tracker'!$T$6:$T$400,$S54)))</f>
        <v>Not Tested</v>
      </c>
      <c r="P54" s="7" t="str">
        <f ca="1">IF($S54="","",IF(INDEX('Master Tracker'!$AC$6:$AC$400,$S54)="","",INDEX('Master Tracker'!$AC$6:$AC$400,$S54)))</f>
        <v>On track</v>
      </c>
      <c r="S54">
        <f>IFERROR(MATCH("Phase 2|"&amp;A54,'Master Tracker'!$Z$6:$Z$400,0),"")</f>
        <v>33</v>
      </c>
    </row>
    <row r="55" spans="1:19" ht="48" customHeight="1" x14ac:dyDescent="0.3">
      <c r="A55" s="7">
        <v>17</v>
      </c>
      <c r="B55" s="51" t="str">
        <f>IF($S55="","",IF(INDEX('Master Tracker'!$A$6:$A$400,$S55)="","",INDEX('Master Tracker'!$A$6:$A$400,$S55)))</f>
        <v>P2-17</v>
      </c>
      <c r="C55" s="52" t="str">
        <f>IF($S55="","",IF(INDEX('Master Tracker'!$C$6:$C$400,$S55)="","",INDEX('Master Tracker'!$C$6:$C$400,$S55)))</f>
        <v>Sector Sections</v>
      </c>
      <c r="D55" s="52" t="str">
        <f>IF($S55="","",IF(INDEX('Master Tracker'!$D$6:$D$400,$S55)="","",INDEX('Master Tracker'!$D$6:$D$400,$S55)))</f>
        <v>Real Estate section</v>
      </c>
      <c r="E55" s="7" t="str">
        <f>IF($S55="","",IF(INDEX('Master Tracker'!$F$6:$F$400,$S55)="","",INDEX('Master Tracker'!$F$6:$F$400,$S55)))</f>
        <v>P1</v>
      </c>
      <c r="F55" s="7" t="str">
        <f>IF($S55="","",IF(INDEX('Master Tracker'!$G$6:$G$400,$S55)="","",INDEX('Master Tracker'!$G$6:$G$400,$S55)))</f>
        <v>Not Started</v>
      </c>
      <c r="G55" s="19">
        <f>IF($S55="","",IF(INDEX('Master Tracker'!$H$6:$H$400,$S55)="","",INDEX('Master Tracker'!$H$6:$H$400,$S55)))</f>
        <v>46312</v>
      </c>
      <c r="H55" s="19">
        <f>IF($S55="","",IF(INDEX('Master Tracker'!$I$6:$I$400,$S55)="","",INDEX('Master Tracker'!$I$6:$I$400,$S55)))</f>
        <v>46312</v>
      </c>
      <c r="I55" s="53">
        <f>IF($S55="","",IF(INDEX('Master Tracker'!$U$6:$U$400,$S55)="","",INDEX('Master Tracker'!$U$6:$U$400,$S55)))</f>
        <v>0</v>
      </c>
      <c r="J55" s="52" t="str">
        <f>IF($S55="","",IF(INDEX('Master Tracker'!$K$6:$K$400,$S55)="","",INDEX('Master Tracker'!$K$6:$K$400,$S55)))</f>
        <v>P2-15</v>
      </c>
      <c r="K55" s="52" t="str">
        <f>IF($S55="","",IF(INDEX('Master Tracker'!$Y$6:$Y$400,$S55)="","",INDEX('Master Tracker'!$Y$6:$Y$400,$S55)))</f>
        <v>⏳ 1 open</v>
      </c>
      <c r="L55" s="52" t="str">
        <f>IF($S55="","",IF(INDEX('Master Tracker'!$M$6:$M$400,$S55)="","",INDEX('Master Tracker'!$M$6:$M$400,$S55)))</f>
        <v>template-parts/sections/*</v>
      </c>
      <c r="M55" s="52" t="str">
        <f>IF($S55="","",IF(INDEX('Master Tracker'!$O$6:$O$400,$S55)="","",INDEX('Master Tracker'!$O$6:$O$400,$S55)))</f>
        <v>Section live and editor-configurable</v>
      </c>
      <c r="N55" s="52" t="str">
        <f>IF($S55="","",IF(INDEX('Master Tracker'!$N$6:$N$400,$S55)="","",INDEX('Master Tracker'!$N$6:$N$400,$S55)))</f>
        <v>Verify source, count, layout</v>
      </c>
      <c r="O55" s="7" t="str">
        <f>IF($S55="","",IF(INDEX('Master Tracker'!$T$6:$T$400,$S55)="","",INDEX('Master Tracker'!$T$6:$T$400,$S55)))</f>
        <v>Not Tested</v>
      </c>
      <c r="P55" s="7" t="str">
        <f ca="1">IF($S55="","",IF(INDEX('Master Tracker'!$AC$6:$AC$400,$S55)="","",INDEX('Master Tracker'!$AC$6:$AC$400,$S55)))</f>
        <v>On track</v>
      </c>
      <c r="S55">
        <f>IFERROR(MATCH("Phase 2|"&amp;A55,'Master Tracker'!$Z$6:$Z$400,0),"")</f>
        <v>34</v>
      </c>
    </row>
    <row r="56" spans="1:19" ht="48" customHeight="1" x14ac:dyDescent="0.3">
      <c r="A56" s="7">
        <v>18</v>
      </c>
      <c r="B56" s="51" t="str">
        <f>IF($S56="","",IF(INDEX('Master Tracker'!$A$6:$A$400,$S56)="","",INDEX('Master Tracker'!$A$6:$A$400,$S56)))</f>
        <v>P2-18</v>
      </c>
      <c r="C56" s="52" t="str">
        <f>IF($S56="","",IF(INDEX('Master Tracker'!$C$6:$C$400,$S56)="","",INDEX('Master Tracker'!$C$6:$C$400,$S56)))</f>
        <v>Sector Sections</v>
      </c>
      <c r="D56" s="52" t="str">
        <f>IF($S56="","",IF(INDEX('Master Tracker'!$D$6:$D$400,$S56)="","",INDEX('Master Tracker'!$D$6:$D$400,$S56)))</f>
        <v>Automotive section</v>
      </c>
      <c r="E56" s="7" t="str">
        <f>IF($S56="","",IF(INDEX('Master Tracker'!$F$6:$F$400,$S56)="","",INDEX('Master Tracker'!$F$6:$F$400,$S56)))</f>
        <v>P1</v>
      </c>
      <c r="F56" s="7" t="str">
        <f>IF($S56="","",IF(INDEX('Master Tracker'!$G$6:$G$400,$S56)="","",INDEX('Master Tracker'!$G$6:$G$400,$S56)))</f>
        <v>Not Started</v>
      </c>
      <c r="G56" s="19">
        <f>IF($S56="","",IF(INDEX('Master Tracker'!$H$6:$H$400,$S56)="","",INDEX('Master Tracker'!$H$6:$H$400,$S56)))</f>
        <v>46312</v>
      </c>
      <c r="H56" s="19">
        <f>IF($S56="","",IF(INDEX('Master Tracker'!$I$6:$I$400,$S56)="","",INDEX('Master Tracker'!$I$6:$I$400,$S56)))</f>
        <v>46312</v>
      </c>
      <c r="I56" s="53">
        <f>IF($S56="","",IF(INDEX('Master Tracker'!$U$6:$U$400,$S56)="","",INDEX('Master Tracker'!$U$6:$U$400,$S56)))</f>
        <v>0</v>
      </c>
      <c r="J56" s="52" t="str">
        <f>IF($S56="","",IF(INDEX('Master Tracker'!$K$6:$K$400,$S56)="","",INDEX('Master Tracker'!$K$6:$K$400,$S56)))</f>
        <v>P2-15</v>
      </c>
      <c r="K56" s="52" t="str">
        <f>IF($S56="","",IF(INDEX('Master Tracker'!$Y$6:$Y$400,$S56)="","",INDEX('Master Tracker'!$Y$6:$Y$400,$S56)))</f>
        <v>⏳ 1 open</v>
      </c>
      <c r="L56" s="52" t="str">
        <f>IF($S56="","",IF(INDEX('Master Tracker'!$M$6:$M$400,$S56)="","",INDEX('Master Tracker'!$M$6:$M$400,$S56)))</f>
        <v>template-parts/sections/*</v>
      </c>
      <c r="M56" s="52" t="str">
        <f>IF($S56="","",IF(INDEX('Master Tracker'!$O$6:$O$400,$S56)="","",INDEX('Master Tracker'!$O$6:$O$400,$S56)))</f>
        <v>Section live and editor-configurable</v>
      </c>
      <c r="N56" s="52" t="str">
        <f>IF($S56="","",IF(INDEX('Master Tracker'!$N$6:$N$400,$S56)="","",INDEX('Master Tracker'!$N$6:$N$400,$S56)))</f>
        <v>Verify source, count, layout</v>
      </c>
      <c r="O56" s="7" t="str">
        <f>IF($S56="","",IF(INDEX('Master Tracker'!$T$6:$T$400,$S56)="","",INDEX('Master Tracker'!$T$6:$T$400,$S56)))</f>
        <v>Not Tested</v>
      </c>
      <c r="P56" s="7" t="str">
        <f ca="1">IF($S56="","",IF(INDEX('Master Tracker'!$AC$6:$AC$400,$S56)="","",INDEX('Master Tracker'!$AC$6:$AC$400,$S56)))</f>
        <v>On track</v>
      </c>
      <c r="S56">
        <f>IFERROR(MATCH("Phase 2|"&amp;A56,'Master Tracker'!$Z$6:$Z$400,0),"")</f>
        <v>35</v>
      </c>
    </row>
    <row r="57" spans="1:19" ht="48" customHeight="1" x14ac:dyDescent="0.3">
      <c r="A57" s="7">
        <v>19</v>
      </c>
      <c r="B57" s="51" t="str">
        <f>IF($S57="","",IF(INDEX('Master Tracker'!$A$6:$A$400,$S57)="","",INDEX('Master Tracker'!$A$6:$A$400,$S57)))</f>
        <v>P2-19</v>
      </c>
      <c r="C57" s="52" t="str">
        <f>IF($S57="","",IF(INDEX('Master Tracker'!$C$6:$C$400,$S57)="","",INDEX('Master Tracker'!$C$6:$C$400,$S57)))</f>
        <v>Sector Sections</v>
      </c>
      <c r="D57" s="52" t="str">
        <f>IF($S57="","",IF(INDEX('Master Tracker'!$D$6:$D$400,$S57)="","",INDEX('Master Tracker'!$D$6:$D$400,$S57)))</f>
        <v>Technology section</v>
      </c>
      <c r="E57" s="7" t="str">
        <f>IF($S57="","",IF(INDEX('Master Tracker'!$F$6:$F$400,$S57)="","",INDEX('Master Tracker'!$F$6:$F$400,$S57)))</f>
        <v>P1</v>
      </c>
      <c r="F57" s="7" t="str">
        <f>IF($S57="","",IF(INDEX('Master Tracker'!$G$6:$G$400,$S57)="","",INDEX('Master Tracker'!$G$6:$G$400,$S57)))</f>
        <v>Not Started</v>
      </c>
      <c r="G57" s="19">
        <f>IF($S57="","",IF(INDEX('Master Tracker'!$H$6:$H$400,$S57)="","",INDEX('Master Tracker'!$H$6:$H$400,$S57)))</f>
        <v>46312</v>
      </c>
      <c r="H57" s="19">
        <f>IF($S57="","",IF(INDEX('Master Tracker'!$I$6:$I$400,$S57)="","",INDEX('Master Tracker'!$I$6:$I$400,$S57)))</f>
        <v>46312</v>
      </c>
      <c r="I57" s="53">
        <f>IF($S57="","",IF(INDEX('Master Tracker'!$U$6:$U$400,$S57)="","",INDEX('Master Tracker'!$U$6:$U$400,$S57)))</f>
        <v>0</v>
      </c>
      <c r="J57" s="52" t="str">
        <f>IF($S57="","",IF(INDEX('Master Tracker'!$K$6:$K$400,$S57)="","",INDEX('Master Tracker'!$K$6:$K$400,$S57)))</f>
        <v>P2-15</v>
      </c>
      <c r="K57" s="52" t="str">
        <f>IF($S57="","",IF(INDEX('Master Tracker'!$Y$6:$Y$400,$S57)="","",INDEX('Master Tracker'!$Y$6:$Y$400,$S57)))</f>
        <v>⏳ 1 open</v>
      </c>
      <c r="L57" s="52" t="str">
        <f>IF($S57="","",IF(INDEX('Master Tracker'!$M$6:$M$400,$S57)="","",INDEX('Master Tracker'!$M$6:$M$400,$S57)))</f>
        <v>template-parts/sections/*</v>
      </c>
      <c r="M57" s="52" t="str">
        <f>IF($S57="","",IF(INDEX('Master Tracker'!$O$6:$O$400,$S57)="","",INDEX('Master Tracker'!$O$6:$O$400,$S57)))</f>
        <v>Section live and editor-configurable</v>
      </c>
      <c r="N57" s="52" t="str">
        <f>IF($S57="","",IF(INDEX('Master Tracker'!$N$6:$N$400,$S57)="","",INDEX('Master Tracker'!$N$6:$N$400,$S57)))</f>
        <v>Verify source, count, layout</v>
      </c>
      <c r="O57" s="7" t="str">
        <f>IF($S57="","",IF(INDEX('Master Tracker'!$T$6:$T$400,$S57)="","",INDEX('Master Tracker'!$T$6:$T$400,$S57)))</f>
        <v>Not Tested</v>
      </c>
      <c r="P57" s="7" t="str">
        <f ca="1">IF($S57="","",IF(INDEX('Master Tracker'!$AC$6:$AC$400,$S57)="","",INDEX('Master Tracker'!$AC$6:$AC$400,$S57)))</f>
        <v>On track</v>
      </c>
      <c r="S57">
        <f>IFERROR(MATCH("Phase 2|"&amp;A57,'Master Tracker'!$Z$6:$Z$400,0),"")</f>
        <v>36</v>
      </c>
    </row>
    <row r="58" spans="1:19" ht="48" customHeight="1" x14ac:dyDescent="0.3">
      <c r="A58" s="7">
        <v>20</v>
      </c>
      <c r="B58" s="51" t="str">
        <f>IF($S58="","",IF(INDEX('Master Tracker'!$A$6:$A$400,$S58)="","",INDEX('Master Tracker'!$A$6:$A$400,$S58)))</f>
        <v>P2-20</v>
      </c>
      <c r="C58" s="52" t="str">
        <f>IF($S58="","",IF(INDEX('Master Tracker'!$C$6:$C$400,$S58)="","",INDEX('Master Tracker'!$C$6:$C$400,$S58)))</f>
        <v>Sector Sections</v>
      </c>
      <c r="D58" s="52" t="str">
        <f>IF($S58="","",IF(INDEX('Master Tracker'!$D$6:$D$400,$S58)="","",INDEX('Master Tracker'!$D$6:$D$400,$S58)))</f>
        <v>Healthcare section</v>
      </c>
      <c r="E58" s="7" t="str">
        <f>IF($S58="","",IF(INDEX('Master Tracker'!$F$6:$F$400,$S58)="","",INDEX('Master Tracker'!$F$6:$F$400,$S58)))</f>
        <v>P1</v>
      </c>
      <c r="F58" s="7" t="str">
        <f>IF($S58="","",IF(INDEX('Master Tracker'!$G$6:$G$400,$S58)="","",INDEX('Master Tracker'!$G$6:$G$400,$S58)))</f>
        <v>Not Started</v>
      </c>
      <c r="G58" s="19">
        <f>IF($S58="","",IF(INDEX('Master Tracker'!$H$6:$H$400,$S58)="","",INDEX('Master Tracker'!$H$6:$H$400,$S58)))</f>
        <v>46312</v>
      </c>
      <c r="H58" s="19">
        <f>IF($S58="","",IF(INDEX('Master Tracker'!$I$6:$I$400,$S58)="","",INDEX('Master Tracker'!$I$6:$I$400,$S58)))</f>
        <v>46312</v>
      </c>
      <c r="I58" s="53">
        <f>IF($S58="","",IF(INDEX('Master Tracker'!$U$6:$U$400,$S58)="","",INDEX('Master Tracker'!$U$6:$U$400,$S58)))</f>
        <v>0</v>
      </c>
      <c r="J58" s="52" t="str">
        <f>IF($S58="","",IF(INDEX('Master Tracker'!$K$6:$K$400,$S58)="","",INDEX('Master Tracker'!$K$6:$K$400,$S58)))</f>
        <v>P2-15</v>
      </c>
      <c r="K58" s="52" t="str">
        <f>IF($S58="","",IF(INDEX('Master Tracker'!$Y$6:$Y$400,$S58)="","",INDEX('Master Tracker'!$Y$6:$Y$400,$S58)))</f>
        <v>⏳ 1 open</v>
      </c>
      <c r="L58" s="52" t="str">
        <f>IF($S58="","",IF(INDEX('Master Tracker'!$M$6:$M$400,$S58)="","",INDEX('Master Tracker'!$M$6:$M$400,$S58)))</f>
        <v>template-parts/sections/*</v>
      </c>
      <c r="M58" s="52" t="str">
        <f>IF($S58="","",IF(INDEX('Master Tracker'!$O$6:$O$400,$S58)="","",INDEX('Master Tracker'!$O$6:$O$400,$S58)))</f>
        <v>Section live and editor-configurable</v>
      </c>
      <c r="N58" s="52" t="str">
        <f>IF($S58="","",IF(INDEX('Master Tracker'!$N$6:$N$400,$S58)="","",INDEX('Master Tracker'!$N$6:$N$400,$S58)))</f>
        <v>Verify source, count, layout</v>
      </c>
      <c r="O58" s="7" t="str">
        <f>IF($S58="","",IF(INDEX('Master Tracker'!$T$6:$T$400,$S58)="","",INDEX('Master Tracker'!$T$6:$T$400,$S58)))</f>
        <v>Not Tested</v>
      </c>
      <c r="P58" s="7" t="str">
        <f ca="1">IF($S58="","",IF(INDEX('Master Tracker'!$AC$6:$AC$400,$S58)="","",INDEX('Master Tracker'!$AC$6:$AC$400,$S58)))</f>
        <v>On track</v>
      </c>
      <c r="S58">
        <f>IFERROR(MATCH("Phase 2|"&amp;A58,'Master Tracker'!$Z$6:$Z$400,0),"")</f>
        <v>37</v>
      </c>
    </row>
    <row r="59" spans="1:19" ht="48" customHeight="1" x14ac:dyDescent="0.3">
      <c r="A59" s="7">
        <v>21</v>
      </c>
      <c r="B59" s="51" t="str">
        <f>IF($S59="","",IF(INDEX('Master Tracker'!$A$6:$A$400,$S59)="","",INDEX('Master Tracker'!$A$6:$A$400,$S59)))</f>
        <v>P2-21</v>
      </c>
      <c r="C59" s="52" t="str">
        <f>IF($S59="","",IF(INDEX('Master Tracker'!$C$6:$C$400,$S59)="","",INDEX('Master Tracker'!$C$6:$C$400,$S59)))</f>
        <v>Sector Sections</v>
      </c>
      <c r="D59" s="52" t="str">
        <f>IF($S59="","",IF(INDEX('Master Tracker'!$D$6:$D$400,$S59)="","",INDEX('Master Tracker'!$D$6:$D$400,$S59)))</f>
        <v>Tourism section</v>
      </c>
      <c r="E59" s="7" t="str">
        <f>IF($S59="","",IF(INDEX('Master Tracker'!$F$6:$F$400,$S59)="","",INDEX('Master Tracker'!$F$6:$F$400,$S59)))</f>
        <v>P1</v>
      </c>
      <c r="F59" s="7" t="str">
        <f>IF($S59="","",IF(INDEX('Master Tracker'!$G$6:$G$400,$S59)="","",INDEX('Master Tracker'!$G$6:$G$400,$S59)))</f>
        <v>Not Started</v>
      </c>
      <c r="G59" s="19">
        <f>IF($S59="","",IF(INDEX('Master Tracker'!$H$6:$H$400,$S59)="","",INDEX('Master Tracker'!$H$6:$H$400,$S59)))</f>
        <v>46312</v>
      </c>
      <c r="H59" s="19">
        <f>IF($S59="","",IF(INDEX('Master Tracker'!$I$6:$I$400,$S59)="","",INDEX('Master Tracker'!$I$6:$I$400,$S59)))</f>
        <v>46312</v>
      </c>
      <c r="I59" s="53">
        <f>IF($S59="","",IF(INDEX('Master Tracker'!$U$6:$U$400,$S59)="","",INDEX('Master Tracker'!$U$6:$U$400,$S59)))</f>
        <v>0</v>
      </c>
      <c r="J59" s="52" t="str">
        <f>IF($S59="","",IF(INDEX('Master Tracker'!$K$6:$K$400,$S59)="","",INDEX('Master Tracker'!$K$6:$K$400,$S59)))</f>
        <v>P2-15</v>
      </c>
      <c r="K59" s="52" t="str">
        <f>IF($S59="","",IF(INDEX('Master Tracker'!$Y$6:$Y$400,$S59)="","",INDEX('Master Tracker'!$Y$6:$Y$400,$S59)))</f>
        <v>⏳ 1 open</v>
      </c>
      <c r="L59" s="52" t="str">
        <f>IF($S59="","",IF(INDEX('Master Tracker'!$M$6:$M$400,$S59)="","",INDEX('Master Tracker'!$M$6:$M$400,$S59)))</f>
        <v>template-parts/sections/*</v>
      </c>
      <c r="M59" s="52" t="str">
        <f>IF($S59="","",IF(INDEX('Master Tracker'!$O$6:$O$400,$S59)="","",INDEX('Master Tracker'!$O$6:$O$400,$S59)))</f>
        <v>Section live and editor-configurable</v>
      </c>
      <c r="N59" s="52" t="str">
        <f>IF($S59="","",IF(INDEX('Master Tracker'!$N$6:$N$400,$S59)="","",INDEX('Master Tracker'!$N$6:$N$400,$S59)))</f>
        <v>Verify source, count, layout</v>
      </c>
      <c r="O59" s="7" t="str">
        <f>IF($S59="","",IF(INDEX('Master Tracker'!$T$6:$T$400,$S59)="","",INDEX('Master Tracker'!$T$6:$T$400,$S59)))</f>
        <v>Not Tested</v>
      </c>
      <c r="P59" s="7" t="str">
        <f ca="1">IF($S59="","",IF(INDEX('Master Tracker'!$AC$6:$AC$400,$S59)="","",INDEX('Master Tracker'!$AC$6:$AC$400,$S59)))</f>
        <v>On track</v>
      </c>
      <c r="S59">
        <f>IFERROR(MATCH("Phase 2|"&amp;A59,'Master Tracker'!$Z$6:$Z$400,0),"")</f>
        <v>38</v>
      </c>
    </row>
    <row r="60" spans="1:19" ht="48" customHeight="1" x14ac:dyDescent="0.3">
      <c r="A60" s="7">
        <v>22</v>
      </c>
      <c r="B60" s="51" t="str">
        <f>IF($S60="","",IF(INDEX('Master Tracker'!$A$6:$A$400,$S60)="","",INDEX('Master Tracker'!$A$6:$A$400,$S60)))</f>
        <v>P2-22</v>
      </c>
      <c r="C60" s="52" t="str">
        <f>IF($S60="","",IF(INDEX('Master Tracker'!$C$6:$C$400,$S60)="","",INDEX('Master Tracker'!$C$6:$C$400,$S60)))</f>
        <v>Most Read</v>
      </c>
      <c r="D60" s="52" t="str">
        <f>IF($S60="","",IF(INDEX('Master Tracker'!$D$6:$D$400,$S60)="","",INDEX('Master Tracker'!$D$6:$D$400,$S60)))</f>
        <v>Most-read widget &amp; view counter</v>
      </c>
      <c r="E60" s="7" t="str">
        <f>IF($S60="","",IF(INDEX('Master Tracker'!$F$6:$F$400,$S60)="","",INDEX('Master Tracker'!$F$6:$F$400,$S60)))</f>
        <v>P0</v>
      </c>
      <c r="F60" s="7" t="str">
        <f>IF($S60="","",IF(INDEX('Master Tracker'!$G$6:$G$400,$S60)="","",INDEX('Master Tracker'!$G$6:$G$400,$S60)))</f>
        <v>Not Started</v>
      </c>
      <c r="G60" s="19">
        <f>IF($S60="","",IF(INDEX('Master Tracker'!$H$6:$H$400,$S60)="","",INDEX('Master Tracker'!$H$6:$H$400,$S60)))</f>
        <v>46312</v>
      </c>
      <c r="H60" s="19">
        <f>IF($S60="","",IF(INDEX('Master Tracker'!$I$6:$I$400,$S60)="","",INDEX('Master Tracker'!$I$6:$I$400,$S60)))</f>
        <v>46312</v>
      </c>
      <c r="I60" s="53">
        <f>IF($S60="","",IF(INDEX('Master Tracker'!$U$6:$U$400,$S60)="","",INDEX('Master Tracker'!$U$6:$U$400,$S60)))</f>
        <v>0</v>
      </c>
      <c r="J60" s="52" t="str">
        <f>IF($S60="","",IF(INDEX('Master Tracker'!$K$6:$K$400,$S60)="","",INDEX('Master Tracker'!$K$6:$K$400,$S60)))</f>
        <v>P1-14, P6-04</v>
      </c>
      <c r="K60" s="52" t="str">
        <f>IF($S60="","",IF(INDEX('Master Tracker'!$Y$6:$Y$400,$S60)="","",INDEX('Master Tracker'!$Y$6:$Y$400,$S60)))</f>
        <v>⏳ 2 open</v>
      </c>
      <c r="L60" s="52" t="str">
        <f>IF($S60="","",IF(INDEX('Master Tracker'!$M$6:$M$400,$S60)="","",INDEX('Master Tracker'!$M$6:$M$400,$S60)))</f>
        <v>inc/most-read.php, inc/widgets/most-read-widget.php, assets/js/modules/views.js</v>
      </c>
      <c r="M60" s="52" t="str">
        <f>IF($S60="","",IF(INDEX('Master Tracker'!$O$6:$O$400,$S60)="","",INDEX('Master Tracker'!$O$6:$O$400,$S60)))</f>
        <v>Most-read list accurate, cached, and works with LiteSpeed page cache</v>
      </c>
      <c r="N60" s="52" t="str">
        <f>IF($S60="","",IF(INDEX('Master Tracker'!$N$6:$N$400,$S60)="","",INDEX('Master Tracker'!$N$6:$N$400,$S60)))</f>
        <v>Open articles in private windows; counts increase once per session; tabs switch</v>
      </c>
      <c r="O60" s="7" t="str">
        <f>IF($S60="","",IF(INDEX('Master Tracker'!$T$6:$T$400,$S60)="","",INDEX('Master Tracker'!$T$6:$T$400,$S60)))</f>
        <v>Not Tested</v>
      </c>
      <c r="P60" s="7" t="str">
        <f ca="1">IF($S60="","",IF(INDEX('Master Tracker'!$AC$6:$AC$400,$S60)="","",INDEX('Master Tracker'!$AC$6:$AC$400,$S60)))</f>
        <v>On track</v>
      </c>
      <c r="S60">
        <f>IFERROR(MATCH("Phase 2|"&amp;A60,'Master Tracker'!$Z$6:$Z$400,0),"")</f>
        <v>39</v>
      </c>
    </row>
    <row r="61" spans="1:19" ht="48" customHeight="1" x14ac:dyDescent="0.3">
      <c r="A61" s="7">
        <v>23</v>
      </c>
      <c r="B61" s="51" t="str">
        <f>IF($S61="","",IF(INDEX('Master Tracker'!$A$6:$A$400,$S61)="","",INDEX('Master Tracker'!$A$6:$A$400,$S61)))</f>
        <v>P2-23</v>
      </c>
      <c r="C61" s="52" t="str">
        <f>IF($S61="","",IF(INDEX('Master Tracker'!$C$6:$C$400,$S61)="","",INDEX('Master Tracker'!$C$6:$C$400,$S61)))</f>
        <v>AdOps</v>
      </c>
      <c r="D61" s="52" t="str">
        <f>IF($S61="","",IF(INDEX('Master Tracker'!$D$6:$D$400,$S61)="","",INDEX('Master Tracker'!$D$6:$D$400,$S61)))</f>
        <v>Homepage advertisement slots</v>
      </c>
      <c r="E61" s="7" t="str">
        <f>IF($S61="","",IF(INDEX('Master Tracker'!$F$6:$F$400,$S61)="","",INDEX('Master Tracker'!$F$6:$F$400,$S61)))</f>
        <v>P1</v>
      </c>
      <c r="F61" s="7" t="str">
        <f>IF($S61="","",IF(INDEX('Master Tracker'!$G$6:$G$400,$S61)="","",INDEX('Master Tracker'!$G$6:$G$400,$S61)))</f>
        <v>Not Started</v>
      </c>
      <c r="G61" s="19">
        <f>IF($S61="","",IF(INDEX('Master Tracker'!$H$6:$H$400,$S61)="","",INDEX('Master Tracker'!$H$6:$H$400,$S61)))</f>
        <v>46312</v>
      </c>
      <c r="H61" s="19">
        <f>IF($S61="","",IF(INDEX('Master Tracker'!$I$6:$I$400,$S61)="","",INDEX('Master Tracker'!$I$6:$I$400,$S61)))</f>
        <v>46312</v>
      </c>
      <c r="I61" s="53">
        <f>IF($S61="","",IF(INDEX('Master Tracker'!$U$6:$U$400,$S61)="","",INDEX('Master Tracker'!$U$6:$U$400,$S61)))</f>
        <v>0</v>
      </c>
      <c r="J61" s="52" t="str">
        <f>IF($S61="","",IF(INDEX('Master Tracker'!$K$6:$K$400,$S61)="","",INDEX('Master Tracker'!$K$6:$K$400,$S61)))</f>
        <v>P2-01</v>
      </c>
      <c r="K61" s="52" t="str">
        <f>IF($S61="","",IF(INDEX('Master Tracker'!$Y$6:$Y$400,$S61)="","",INDEX('Master Tracker'!$Y$6:$Y$400,$S61)))</f>
        <v>⏳ 1 open</v>
      </c>
      <c r="L61" s="52" t="str">
        <f>IF($S61="","",IF(INDEX('Master Tracker'!$M$6:$M$400,$S61)="","",INDEX('Master Tracker'!$M$6:$M$400,$S61)))</f>
        <v>template-parts/components/ad-slot.php</v>
      </c>
      <c r="M61" s="52" t="str">
        <f>IF($S61="","",IF(INDEX('Master Tracker'!$O$6:$O$400,$S61)="","",INDEX('Master Tracker'!$O$6:$O$400,$S61)))</f>
        <v>Ads managed without code; no CLS</v>
      </c>
      <c r="N61" s="52" t="str">
        <f>IF($S61="","",IF(INDEX('Master Tracker'!$N$6:$N$400,$S61)="","",INDEX('Master Tracker'!$N$6:$N$400,$S61)))</f>
        <v>Add an ad in Customizer; check placement &amp; no layout shift</v>
      </c>
      <c r="O61" s="7" t="str">
        <f>IF($S61="","",IF(INDEX('Master Tracker'!$T$6:$T$400,$S61)="","",INDEX('Master Tracker'!$T$6:$T$400,$S61)))</f>
        <v>Not Tested</v>
      </c>
      <c r="P61" s="7" t="str">
        <f ca="1">IF($S61="","",IF(INDEX('Master Tracker'!$AC$6:$AC$400,$S61)="","",INDEX('Master Tracker'!$AC$6:$AC$400,$S61)))</f>
        <v>On track</v>
      </c>
      <c r="S61">
        <f>IFERROR(MATCH("Phase 2|"&amp;A61,'Master Tracker'!$Z$6:$Z$400,0),"")</f>
        <v>40</v>
      </c>
    </row>
    <row r="62" spans="1:19" ht="48" customHeight="1" x14ac:dyDescent="0.3">
      <c r="A62" s="7">
        <v>24</v>
      </c>
      <c r="B62" s="51" t="str">
        <f>IF($S62="","",IF(INDEX('Master Tracker'!$A$6:$A$400,$S62)="","",INDEX('Master Tracker'!$A$6:$A$400,$S62)))</f>
        <v>P2-24</v>
      </c>
      <c r="C62" s="52" t="str">
        <f>IF($S62="","",IF(INDEX('Master Tracker'!$C$6:$C$400,$S62)="","",INDEX('Master Tracker'!$C$6:$C$400,$S62)))</f>
        <v>Phase QA</v>
      </c>
      <c r="D62" s="52" t="str">
        <f>IF($S62="","",IF(INDEX('Master Tracker'!$D$6:$D$400,$S62)="","",INDEX('Master Tracker'!$D$6:$D$400,$S62)))</f>
        <v>Homepage performance &amp; responsive sign-off</v>
      </c>
      <c r="E62" s="7" t="str">
        <f>IF($S62="","",IF(INDEX('Master Tracker'!$F$6:$F$400,$S62)="","",INDEX('Master Tracker'!$F$6:$F$400,$S62)))</f>
        <v>P0</v>
      </c>
      <c r="F62" s="7" t="str">
        <f>IF($S62="","",IF(INDEX('Master Tracker'!$G$6:$G$400,$S62)="","",INDEX('Master Tracker'!$G$6:$G$400,$S62)))</f>
        <v>Not Started</v>
      </c>
      <c r="G62" s="19">
        <f>IF($S62="","",IF(INDEX('Master Tracker'!$H$6:$H$400,$S62)="","",INDEX('Master Tracker'!$H$6:$H$400,$S62)))</f>
        <v>46312</v>
      </c>
      <c r="H62" s="19">
        <f>IF($S62="","",IF(INDEX('Master Tracker'!$I$6:$I$400,$S62)="","",INDEX('Master Tracker'!$I$6:$I$400,$S62)))</f>
        <v>46312</v>
      </c>
      <c r="I62" s="53">
        <f>IF($S62="","",IF(INDEX('Master Tracker'!$U$6:$U$400,$S62)="","",INDEX('Master Tracker'!$U$6:$U$400,$S62)))</f>
        <v>0</v>
      </c>
      <c r="J62" s="52" t="str">
        <f>IF($S62="","",IF(INDEX('Master Tracker'!$K$6:$K$400,$S62)="","",INDEX('Master Tracker'!$K$6:$K$400,$S62)))</f>
        <v>P2-09, P2-10, P2-22</v>
      </c>
      <c r="K62" s="52" t="str">
        <f>IF($S62="","",IF(INDEX('Master Tracker'!$Y$6:$Y$400,$S62)="","",INDEX('Master Tracker'!$Y$6:$Y$400,$S62)))</f>
        <v>⏳ 3 open</v>
      </c>
      <c r="L62" s="52" t="str">
        <f>IF($S62="","",IF(INDEX('Master Tracker'!$M$6:$M$400,$S62)="","",INDEX('Master Tracker'!$M$6:$M$400,$S62)))</f>
        <v>front-page.php</v>
      </c>
      <c r="M62" s="52" t="str">
        <f>IF($S62="","",IF(INDEX('Master Tracker'!$O$6:$O$400,$S62)="","",INDEX('Master Tracker'!$O$6:$O$400,$S62)))</f>
        <v>Homepage meets performance targets and is approved for Phase 3</v>
      </c>
      <c r="N62" s="52" t="str">
        <f>IF($S62="","",IF(INDEX('Master Tracker'!$N$6:$N$400,$S62)="","",INDEX('Master Tracker'!$N$6:$N$400,$S62)))</f>
        <v>Lighthouse mobile run; Query Monitor warm/cold; 360/768/1440 check</v>
      </c>
      <c r="O62" s="7" t="str">
        <f>IF($S62="","",IF(INDEX('Master Tracker'!$T$6:$T$400,$S62)="","",INDEX('Master Tracker'!$T$6:$T$400,$S62)))</f>
        <v>Not Tested</v>
      </c>
      <c r="P62" s="7" t="str">
        <f ca="1">IF($S62="","",IF(INDEX('Master Tracker'!$AC$6:$AC$400,$S62)="","",INDEX('Master Tracker'!$AC$6:$AC$400,$S62)))</f>
        <v>On track</v>
      </c>
      <c r="S62">
        <f>IFERROR(MATCH("Phase 2|"&amp;A62,'Master Tracker'!$Z$6:$Z$400,0),"")</f>
        <v>41</v>
      </c>
    </row>
    <row r="63" spans="1:19" ht="15" customHeight="1" x14ac:dyDescent="0.3">
      <c r="A63" s="7">
        <v>25</v>
      </c>
      <c r="B63" s="51" t="str">
        <f>IF($S63="","",IF(INDEX('Master Tracker'!$A$6:$A$400,$S63)="","",INDEX('Master Tracker'!$A$6:$A$400,$S63)))</f>
        <v/>
      </c>
      <c r="C63" s="52" t="str">
        <f>IF($S63="","",IF(INDEX('Master Tracker'!$C$6:$C$400,$S63)="","",INDEX('Master Tracker'!$C$6:$C$400,$S63)))</f>
        <v/>
      </c>
      <c r="D63" s="52" t="str">
        <f>IF($S63="","",IF(INDEX('Master Tracker'!$D$6:$D$400,$S63)="","",INDEX('Master Tracker'!$D$6:$D$400,$S63)))</f>
        <v/>
      </c>
      <c r="E63" s="7" t="str">
        <f>IF($S63="","",IF(INDEX('Master Tracker'!$F$6:$F$400,$S63)="","",INDEX('Master Tracker'!$F$6:$F$400,$S63)))</f>
        <v/>
      </c>
      <c r="F63" s="7" t="str">
        <f>IF($S63="","",IF(INDEX('Master Tracker'!$G$6:$G$400,$S63)="","",INDEX('Master Tracker'!$G$6:$G$400,$S63)))</f>
        <v/>
      </c>
      <c r="G63" s="19" t="str">
        <f>IF($S63="","",IF(INDEX('Master Tracker'!$H$6:$H$400,$S63)="","",INDEX('Master Tracker'!$H$6:$H$400,$S63)))</f>
        <v/>
      </c>
      <c r="H63" s="19" t="str">
        <f>IF($S63="","",IF(INDEX('Master Tracker'!$I$6:$I$400,$S63)="","",INDEX('Master Tracker'!$I$6:$I$400,$S63)))</f>
        <v/>
      </c>
      <c r="I63" s="53" t="str">
        <f>IF($S63="","",IF(INDEX('Master Tracker'!$U$6:$U$400,$S63)="","",INDEX('Master Tracker'!$U$6:$U$400,$S63)))</f>
        <v/>
      </c>
      <c r="J63" s="52" t="str">
        <f>IF($S63="","",IF(INDEX('Master Tracker'!$K$6:$K$400,$S63)="","",INDEX('Master Tracker'!$K$6:$K$400,$S63)))</f>
        <v/>
      </c>
      <c r="K63" s="52" t="str">
        <f>IF($S63="","",IF(INDEX('Master Tracker'!$Y$6:$Y$400,$S63)="","",INDEX('Master Tracker'!$Y$6:$Y$400,$S63)))</f>
        <v/>
      </c>
      <c r="L63" s="52" t="str">
        <f>IF($S63="","",IF(INDEX('Master Tracker'!$M$6:$M$400,$S63)="","",INDEX('Master Tracker'!$M$6:$M$400,$S63)))</f>
        <v/>
      </c>
      <c r="M63" s="52" t="str">
        <f>IF($S63="","",IF(INDEX('Master Tracker'!$O$6:$O$400,$S63)="","",INDEX('Master Tracker'!$O$6:$O$400,$S63)))</f>
        <v/>
      </c>
      <c r="N63" s="52" t="str">
        <f>IF($S63="","",IF(INDEX('Master Tracker'!$N$6:$N$400,$S63)="","",INDEX('Master Tracker'!$N$6:$N$400,$S63)))</f>
        <v/>
      </c>
      <c r="O63" s="7" t="str">
        <f>IF($S63="","",IF(INDEX('Master Tracker'!$T$6:$T$400,$S63)="","",INDEX('Master Tracker'!$T$6:$T$400,$S63)))</f>
        <v/>
      </c>
      <c r="P63" s="7" t="str">
        <f>IF($S63="","",IF(INDEX('Master Tracker'!$AC$6:$AC$400,$S63)="","",INDEX('Master Tracker'!$AC$6:$AC$400,$S63)))</f>
        <v/>
      </c>
      <c r="S63" t="str">
        <f>IFERROR(MATCH("Phase 2|"&amp;A63,'Master Tracker'!$Z$6:$Z$400,0),"")</f>
        <v/>
      </c>
    </row>
    <row r="64" spans="1:19" ht="15" customHeight="1" x14ac:dyDescent="0.3">
      <c r="A64" s="7">
        <v>26</v>
      </c>
      <c r="B64" s="51" t="str">
        <f>IF($S64="","",IF(INDEX('Master Tracker'!$A$6:$A$400,$S64)="","",INDEX('Master Tracker'!$A$6:$A$400,$S64)))</f>
        <v/>
      </c>
      <c r="C64" s="52" t="str">
        <f>IF($S64="","",IF(INDEX('Master Tracker'!$C$6:$C$400,$S64)="","",INDEX('Master Tracker'!$C$6:$C$400,$S64)))</f>
        <v/>
      </c>
      <c r="D64" s="52" t="str">
        <f>IF($S64="","",IF(INDEX('Master Tracker'!$D$6:$D$400,$S64)="","",INDEX('Master Tracker'!$D$6:$D$400,$S64)))</f>
        <v/>
      </c>
      <c r="E64" s="7" t="str">
        <f>IF($S64="","",IF(INDEX('Master Tracker'!$F$6:$F$400,$S64)="","",INDEX('Master Tracker'!$F$6:$F$400,$S64)))</f>
        <v/>
      </c>
      <c r="F64" s="7" t="str">
        <f>IF($S64="","",IF(INDEX('Master Tracker'!$G$6:$G$400,$S64)="","",INDEX('Master Tracker'!$G$6:$G$400,$S64)))</f>
        <v/>
      </c>
      <c r="G64" s="19" t="str">
        <f>IF($S64="","",IF(INDEX('Master Tracker'!$H$6:$H$400,$S64)="","",INDEX('Master Tracker'!$H$6:$H$400,$S64)))</f>
        <v/>
      </c>
      <c r="H64" s="19" t="str">
        <f>IF($S64="","",IF(INDEX('Master Tracker'!$I$6:$I$400,$S64)="","",INDEX('Master Tracker'!$I$6:$I$400,$S64)))</f>
        <v/>
      </c>
      <c r="I64" s="53" t="str">
        <f>IF($S64="","",IF(INDEX('Master Tracker'!$U$6:$U$400,$S64)="","",INDEX('Master Tracker'!$U$6:$U$400,$S64)))</f>
        <v/>
      </c>
      <c r="J64" s="52" t="str">
        <f>IF($S64="","",IF(INDEX('Master Tracker'!$K$6:$K$400,$S64)="","",INDEX('Master Tracker'!$K$6:$K$400,$S64)))</f>
        <v/>
      </c>
      <c r="K64" s="52" t="str">
        <f>IF($S64="","",IF(INDEX('Master Tracker'!$Y$6:$Y$400,$S64)="","",INDEX('Master Tracker'!$Y$6:$Y$400,$S64)))</f>
        <v/>
      </c>
      <c r="L64" s="52" t="str">
        <f>IF($S64="","",IF(INDEX('Master Tracker'!$M$6:$M$400,$S64)="","",INDEX('Master Tracker'!$M$6:$M$400,$S64)))</f>
        <v/>
      </c>
      <c r="M64" s="52" t="str">
        <f>IF($S64="","",IF(INDEX('Master Tracker'!$O$6:$O$400,$S64)="","",INDEX('Master Tracker'!$O$6:$O$400,$S64)))</f>
        <v/>
      </c>
      <c r="N64" s="52" t="str">
        <f>IF($S64="","",IF(INDEX('Master Tracker'!$N$6:$N$400,$S64)="","",INDEX('Master Tracker'!$N$6:$N$400,$S64)))</f>
        <v/>
      </c>
      <c r="O64" s="7" t="str">
        <f>IF($S64="","",IF(INDEX('Master Tracker'!$T$6:$T$400,$S64)="","",INDEX('Master Tracker'!$T$6:$T$400,$S64)))</f>
        <v/>
      </c>
      <c r="P64" s="7" t="str">
        <f>IF($S64="","",IF(INDEX('Master Tracker'!$AC$6:$AC$400,$S64)="","",INDEX('Master Tracker'!$AC$6:$AC$400,$S64)))</f>
        <v/>
      </c>
      <c r="S64" t="str">
        <f>IFERROR(MATCH("Phase 2|"&amp;A64,'Master Tracker'!$Z$6:$Z$400,0),"")</f>
        <v/>
      </c>
    </row>
    <row r="65" spans="1:19" ht="15" customHeight="1" x14ac:dyDescent="0.3">
      <c r="A65" s="7">
        <v>27</v>
      </c>
      <c r="B65" s="51" t="str">
        <f>IF($S65="","",IF(INDEX('Master Tracker'!$A$6:$A$400,$S65)="","",INDEX('Master Tracker'!$A$6:$A$400,$S65)))</f>
        <v/>
      </c>
      <c r="C65" s="52" t="str">
        <f>IF($S65="","",IF(INDEX('Master Tracker'!$C$6:$C$400,$S65)="","",INDEX('Master Tracker'!$C$6:$C$400,$S65)))</f>
        <v/>
      </c>
      <c r="D65" s="52" t="str">
        <f>IF($S65="","",IF(INDEX('Master Tracker'!$D$6:$D$400,$S65)="","",INDEX('Master Tracker'!$D$6:$D$400,$S65)))</f>
        <v/>
      </c>
      <c r="E65" s="7" t="str">
        <f>IF($S65="","",IF(INDEX('Master Tracker'!$F$6:$F$400,$S65)="","",INDEX('Master Tracker'!$F$6:$F$400,$S65)))</f>
        <v/>
      </c>
      <c r="F65" s="7" t="str">
        <f>IF($S65="","",IF(INDEX('Master Tracker'!$G$6:$G$400,$S65)="","",INDEX('Master Tracker'!$G$6:$G$400,$S65)))</f>
        <v/>
      </c>
      <c r="G65" s="19" t="str">
        <f>IF($S65="","",IF(INDEX('Master Tracker'!$H$6:$H$400,$S65)="","",INDEX('Master Tracker'!$H$6:$H$400,$S65)))</f>
        <v/>
      </c>
      <c r="H65" s="19" t="str">
        <f>IF($S65="","",IF(INDEX('Master Tracker'!$I$6:$I$400,$S65)="","",INDEX('Master Tracker'!$I$6:$I$400,$S65)))</f>
        <v/>
      </c>
      <c r="I65" s="53" t="str">
        <f>IF($S65="","",IF(INDEX('Master Tracker'!$U$6:$U$400,$S65)="","",INDEX('Master Tracker'!$U$6:$U$400,$S65)))</f>
        <v/>
      </c>
      <c r="J65" s="52" t="str">
        <f>IF($S65="","",IF(INDEX('Master Tracker'!$K$6:$K$400,$S65)="","",INDEX('Master Tracker'!$K$6:$K$400,$S65)))</f>
        <v/>
      </c>
      <c r="K65" s="52" t="str">
        <f>IF($S65="","",IF(INDEX('Master Tracker'!$Y$6:$Y$400,$S65)="","",INDEX('Master Tracker'!$Y$6:$Y$400,$S65)))</f>
        <v/>
      </c>
      <c r="L65" s="52" t="str">
        <f>IF($S65="","",IF(INDEX('Master Tracker'!$M$6:$M$400,$S65)="","",INDEX('Master Tracker'!$M$6:$M$400,$S65)))</f>
        <v/>
      </c>
      <c r="M65" s="52" t="str">
        <f>IF($S65="","",IF(INDEX('Master Tracker'!$O$6:$O$400,$S65)="","",INDEX('Master Tracker'!$O$6:$O$400,$S65)))</f>
        <v/>
      </c>
      <c r="N65" s="52" t="str">
        <f>IF($S65="","",IF(INDEX('Master Tracker'!$N$6:$N$400,$S65)="","",INDEX('Master Tracker'!$N$6:$N$400,$S65)))</f>
        <v/>
      </c>
      <c r="O65" s="7" t="str">
        <f>IF($S65="","",IF(INDEX('Master Tracker'!$T$6:$T$400,$S65)="","",INDEX('Master Tracker'!$T$6:$T$400,$S65)))</f>
        <v/>
      </c>
      <c r="P65" s="7" t="str">
        <f>IF($S65="","",IF(INDEX('Master Tracker'!$AC$6:$AC$400,$S65)="","",INDEX('Master Tracker'!$AC$6:$AC$400,$S65)))</f>
        <v/>
      </c>
      <c r="S65" t="str">
        <f>IFERROR(MATCH("Phase 2|"&amp;A65,'Master Tracker'!$Z$6:$Z$400,0),"")</f>
        <v/>
      </c>
    </row>
    <row r="66" spans="1:19" ht="15" customHeight="1" x14ac:dyDescent="0.3">
      <c r="A66" s="7">
        <v>28</v>
      </c>
      <c r="B66" s="51" t="str">
        <f>IF($S66="","",IF(INDEX('Master Tracker'!$A$6:$A$400,$S66)="","",INDEX('Master Tracker'!$A$6:$A$400,$S66)))</f>
        <v/>
      </c>
      <c r="C66" s="52" t="str">
        <f>IF($S66="","",IF(INDEX('Master Tracker'!$C$6:$C$400,$S66)="","",INDEX('Master Tracker'!$C$6:$C$400,$S66)))</f>
        <v/>
      </c>
      <c r="D66" s="52" t="str">
        <f>IF($S66="","",IF(INDEX('Master Tracker'!$D$6:$D$400,$S66)="","",INDEX('Master Tracker'!$D$6:$D$400,$S66)))</f>
        <v/>
      </c>
      <c r="E66" s="7" t="str">
        <f>IF($S66="","",IF(INDEX('Master Tracker'!$F$6:$F$400,$S66)="","",INDEX('Master Tracker'!$F$6:$F$400,$S66)))</f>
        <v/>
      </c>
      <c r="F66" s="7" t="str">
        <f>IF($S66="","",IF(INDEX('Master Tracker'!$G$6:$G$400,$S66)="","",INDEX('Master Tracker'!$G$6:$G$400,$S66)))</f>
        <v/>
      </c>
      <c r="G66" s="19" t="str">
        <f>IF($S66="","",IF(INDEX('Master Tracker'!$H$6:$H$400,$S66)="","",INDEX('Master Tracker'!$H$6:$H$400,$S66)))</f>
        <v/>
      </c>
      <c r="H66" s="19" t="str">
        <f>IF($S66="","",IF(INDEX('Master Tracker'!$I$6:$I$400,$S66)="","",INDEX('Master Tracker'!$I$6:$I$400,$S66)))</f>
        <v/>
      </c>
      <c r="I66" s="53" t="str">
        <f>IF($S66="","",IF(INDEX('Master Tracker'!$U$6:$U$400,$S66)="","",INDEX('Master Tracker'!$U$6:$U$400,$S66)))</f>
        <v/>
      </c>
      <c r="J66" s="52" t="str">
        <f>IF($S66="","",IF(INDEX('Master Tracker'!$K$6:$K$400,$S66)="","",INDEX('Master Tracker'!$K$6:$K$400,$S66)))</f>
        <v/>
      </c>
      <c r="K66" s="52" t="str">
        <f>IF($S66="","",IF(INDEX('Master Tracker'!$Y$6:$Y$400,$S66)="","",INDEX('Master Tracker'!$Y$6:$Y$400,$S66)))</f>
        <v/>
      </c>
      <c r="L66" s="52" t="str">
        <f>IF($S66="","",IF(INDEX('Master Tracker'!$M$6:$M$400,$S66)="","",INDEX('Master Tracker'!$M$6:$M$400,$S66)))</f>
        <v/>
      </c>
      <c r="M66" s="52" t="str">
        <f>IF($S66="","",IF(INDEX('Master Tracker'!$O$6:$O$400,$S66)="","",INDEX('Master Tracker'!$O$6:$O$400,$S66)))</f>
        <v/>
      </c>
      <c r="N66" s="52" t="str">
        <f>IF($S66="","",IF(INDEX('Master Tracker'!$N$6:$N$400,$S66)="","",INDEX('Master Tracker'!$N$6:$N$400,$S66)))</f>
        <v/>
      </c>
      <c r="O66" s="7" t="str">
        <f>IF($S66="","",IF(INDEX('Master Tracker'!$T$6:$T$400,$S66)="","",INDEX('Master Tracker'!$T$6:$T$400,$S66)))</f>
        <v/>
      </c>
      <c r="P66" s="7" t="str">
        <f>IF($S66="","",IF(INDEX('Master Tracker'!$AC$6:$AC$400,$S66)="","",INDEX('Master Tracker'!$AC$6:$AC$400,$S66)))</f>
        <v/>
      </c>
      <c r="S66" t="str">
        <f>IFERROR(MATCH("Phase 2|"&amp;A66,'Master Tracker'!$Z$6:$Z$400,0),"")</f>
        <v/>
      </c>
    </row>
    <row r="67" spans="1:19" ht="15" customHeight="1" x14ac:dyDescent="0.3">
      <c r="A67" s="7">
        <v>29</v>
      </c>
      <c r="B67" s="51" t="str">
        <f>IF($S67="","",IF(INDEX('Master Tracker'!$A$6:$A$400,$S67)="","",INDEX('Master Tracker'!$A$6:$A$400,$S67)))</f>
        <v/>
      </c>
      <c r="C67" s="52" t="str">
        <f>IF($S67="","",IF(INDEX('Master Tracker'!$C$6:$C$400,$S67)="","",INDEX('Master Tracker'!$C$6:$C$400,$S67)))</f>
        <v/>
      </c>
      <c r="D67" s="52" t="str">
        <f>IF($S67="","",IF(INDEX('Master Tracker'!$D$6:$D$400,$S67)="","",INDEX('Master Tracker'!$D$6:$D$400,$S67)))</f>
        <v/>
      </c>
      <c r="E67" s="7" t="str">
        <f>IF($S67="","",IF(INDEX('Master Tracker'!$F$6:$F$400,$S67)="","",INDEX('Master Tracker'!$F$6:$F$400,$S67)))</f>
        <v/>
      </c>
      <c r="F67" s="7" t="str">
        <f>IF($S67="","",IF(INDEX('Master Tracker'!$G$6:$G$400,$S67)="","",INDEX('Master Tracker'!$G$6:$G$400,$S67)))</f>
        <v/>
      </c>
      <c r="G67" s="19" t="str">
        <f>IF($S67="","",IF(INDEX('Master Tracker'!$H$6:$H$400,$S67)="","",INDEX('Master Tracker'!$H$6:$H$400,$S67)))</f>
        <v/>
      </c>
      <c r="H67" s="19" t="str">
        <f>IF($S67="","",IF(INDEX('Master Tracker'!$I$6:$I$400,$S67)="","",INDEX('Master Tracker'!$I$6:$I$400,$S67)))</f>
        <v/>
      </c>
      <c r="I67" s="53" t="str">
        <f>IF($S67="","",IF(INDEX('Master Tracker'!$U$6:$U$400,$S67)="","",INDEX('Master Tracker'!$U$6:$U$400,$S67)))</f>
        <v/>
      </c>
      <c r="J67" s="52" t="str">
        <f>IF($S67="","",IF(INDEX('Master Tracker'!$K$6:$K$400,$S67)="","",INDEX('Master Tracker'!$K$6:$K$400,$S67)))</f>
        <v/>
      </c>
      <c r="K67" s="52" t="str">
        <f>IF($S67="","",IF(INDEX('Master Tracker'!$Y$6:$Y$400,$S67)="","",INDEX('Master Tracker'!$Y$6:$Y$400,$S67)))</f>
        <v/>
      </c>
      <c r="L67" s="52" t="str">
        <f>IF($S67="","",IF(INDEX('Master Tracker'!$M$6:$M$400,$S67)="","",INDEX('Master Tracker'!$M$6:$M$400,$S67)))</f>
        <v/>
      </c>
      <c r="M67" s="52" t="str">
        <f>IF($S67="","",IF(INDEX('Master Tracker'!$O$6:$O$400,$S67)="","",INDEX('Master Tracker'!$O$6:$O$400,$S67)))</f>
        <v/>
      </c>
      <c r="N67" s="52" t="str">
        <f>IF($S67="","",IF(INDEX('Master Tracker'!$N$6:$N$400,$S67)="","",INDEX('Master Tracker'!$N$6:$N$400,$S67)))</f>
        <v/>
      </c>
      <c r="O67" s="7" t="str">
        <f>IF($S67="","",IF(INDEX('Master Tracker'!$T$6:$T$400,$S67)="","",INDEX('Master Tracker'!$T$6:$T$400,$S67)))</f>
        <v/>
      </c>
      <c r="P67" s="7" t="str">
        <f>IF($S67="","",IF(INDEX('Master Tracker'!$AC$6:$AC$400,$S67)="","",INDEX('Master Tracker'!$AC$6:$AC$400,$S67)))</f>
        <v/>
      </c>
      <c r="S67" t="str">
        <f>IFERROR(MATCH("Phase 2|"&amp;A67,'Master Tracker'!$Z$6:$Z$400,0),"")</f>
        <v/>
      </c>
    </row>
    <row r="68" spans="1:19" ht="15" customHeight="1" x14ac:dyDescent="0.3">
      <c r="A68" s="7">
        <v>30</v>
      </c>
      <c r="B68" s="51" t="str">
        <f>IF($S68="","",IF(INDEX('Master Tracker'!$A$6:$A$400,$S68)="","",INDEX('Master Tracker'!$A$6:$A$400,$S68)))</f>
        <v/>
      </c>
      <c r="C68" s="52" t="str">
        <f>IF($S68="","",IF(INDEX('Master Tracker'!$C$6:$C$400,$S68)="","",INDEX('Master Tracker'!$C$6:$C$400,$S68)))</f>
        <v/>
      </c>
      <c r="D68" s="52" t="str">
        <f>IF($S68="","",IF(INDEX('Master Tracker'!$D$6:$D$400,$S68)="","",INDEX('Master Tracker'!$D$6:$D$400,$S68)))</f>
        <v/>
      </c>
      <c r="E68" s="7" t="str">
        <f>IF($S68="","",IF(INDEX('Master Tracker'!$F$6:$F$400,$S68)="","",INDEX('Master Tracker'!$F$6:$F$400,$S68)))</f>
        <v/>
      </c>
      <c r="F68" s="7" t="str">
        <f>IF($S68="","",IF(INDEX('Master Tracker'!$G$6:$G$400,$S68)="","",INDEX('Master Tracker'!$G$6:$G$400,$S68)))</f>
        <v/>
      </c>
      <c r="G68" s="19" t="str">
        <f>IF($S68="","",IF(INDEX('Master Tracker'!$H$6:$H$400,$S68)="","",INDEX('Master Tracker'!$H$6:$H$400,$S68)))</f>
        <v/>
      </c>
      <c r="H68" s="19" t="str">
        <f>IF($S68="","",IF(INDEX('Master Tracker'!$I$6:$I$400,$S68)="","",INDEX('Master Tracker'!$I$6:$I$400,$S68)))</f>
        <v/>
      </c>
      <c r="I68" s="53" t="str">
        <f>IF($S68="","",IF(INDEX('Master Tracker'!$U$6:$U$400,$S68)="","",INDEX('Master Tracker'!$U$6:$U$400,$S68)))</f>
        <v/>
      </c>
      <c r="J68" s="52" t="str">
        <f>IF($S68="","",IF(INDEX('Master Tracker'!$K$6:$K$400,$S68)="","",INDEX('Master Tracker'!$K$6:$K$400,$S68)))</f>
        <v/>
      </c>
      <c r="K68" s="52" t="str">
        <f>IF($S68="","",IF(INDEX('Master Tracker'!$Y$6:$Y$400,$S68)="","",INDEX('Master Tracker'!$Y$6:$Y$400,$S68)))</f>
        <v/>
      </c>
      <c r="L68" s="52" t="str">
        <f>IF($S68="","",IF(INDEX('Master Tracker'!$M$6:$M$400,$S68)="","",INDEX('Master Tracker'!$M$6:$M$400,$S68)))</f>
        <v/>
      </c>
      <c r="M68" s="52" t="str">
        <f>IF($S68="","",IF(INDEX('Master Tracker'!$O$6:$O$400,$S68)="","",INDEX('Master Tracker'!$O$6:$O$400,$S68)))</f>
        <v/>
      </c>
      <c r="N68" s="52" t="str">
        <f>IF($S68="","",IF(INDEX('Master Tracker'!$N$6:$N$400,$S68)="","",INDEX('Master Tracker'!$N$6:$N$400,$S68)))</f>
        <v/>
      </c>
      <c r="O68" s="7" t="str">
        <f>IF($S68="","",IF(INDEX('Master Tracker'!$T$6:$T$400,$S68)="","",INDEX('Master Tracker'!$T$6:$T$400,$S68)))</f>
        <v/>
      </c>
      <c r="P68" s="7" t="str">
        <f>IF($S68="","",IF(INDEX('Master Tracker'!$AC$6:$AC$400,$S68)="","",INDEX('Master Tracker'!$AC$6:$AC$400,$S68)))</f>
        <v/>
      </c>
      <c r="S68" t="str">
        <f>IFERROR(MATCH("Phase 2|"&amp;A68,'Master Tracker'!$Z$6:$Z$400,0),"")</f>
        <v/>
      </c>
    </row>
    <row r="69" spans="1:19" ht="15" customHeight="1" x14ac:dyDescent="0.3">
      <c r="A69" s="7">
        <v>31</v>
      </c>
      <c r="B69" s="51" t="str">
        <f>IF($S69="","",IF(INDEX('Master Tracker'!$A$6:$A$400,$S69)="","",INDEX('Master Tracker'!$A$6:$A$400,$S69)))</f>
        <v/>
      </c>
      <c r="C69" s="52" t="str">
        <f>IF($S69="","",IF(INDEX('Master Tracker'!$C$6:$C$400,$S69)="","",INDEX('Master Tracker'!$C$6:$C$400,$S69)))</f>
        <v/>
      </c>
      <c r="D69" s="52" t="str">
        <f>IF($S69="","",IF(INDEX('Master Tracker'!$D$6:$D$400,$S69)="","",INDEX('Master Tracker'!$D$6:$D$400,$S69)))</f>
        <v/>
      </c>
      <c r="E69" s="7" t="str">
        <f>IF($S69="","",IF(INDEX('Master Tracker'!$F$6:$F$400,$S69)="","",INDEX('Master Tracker'!$F$6:$F$400,$S69)))</f>
        <v/>
      </c>
      <c r="F69" s="7" t="str">
        <f>IF($S69="","",IF(INDEX('Master Tracker'!$G$6:$G$400,$S69)="","",INDEX('Master Tracker'!$G$6:$G$400,$S69)))</f>
        <v/>
      </c>
      <c r="G69" s="19" t="str">
        <f>IF($S69="","",IF(INDEX('Master Tracker'!$H$6:$H$400,$S69)="","",INDEX('Master Tracker'!$H$6:$H$400,$S69)))</f>
        <v/>
      </c>
      <c r="H69" s="19" t="str">
        <f>IF($S69="","",IF(INDEX('Master Tracker'!$I$6:$I$400,$S69)="","",INDEX('Master Tracker'!$I$6:$I$400,$S69)))</f>
        <v/>
      </c>
      <c r="I69" s="53" t="str">
        <f>IF($S69="","",IF(INDEX('Master Tracker'!$U$6:$U$400,$S69)="","",INDEX('Master Tracker'!$U$6:$U$400,$S69)))</f>
        <v/>
      </c>
      <c r="J69" s="52" t="str">
        <f>IF($S69="","",IF(INDEX('Master Tracker'!$K$6:$K$400,$S69)="","",INDEX('Master Tracker'!$K$6:$K$400,$S69)))</f>
        <v/>
      </c>
      <c r="K69" s="52" t="str">
        <f>IF($S69="","",IF(INDEX('Master Tracker'!$Y$6:$Y$400,$S69)="","",INDEX('Master Tracker'!$Y$6:$Y$400,$S69)))</f>
        <v/>
      </c>
      <c r="L69" s="52" t="str">
        <f>IF($S69="","",IF(INDEX('Master Tracker'!$M$6:$M$400,$S69)="","",INDEX('Master Tracker'!$M$6:$M$400,$S69)))</f>
        <v/>
      </c>
      <c r="M69" s="52" t="str">
        <f>IF($S69="","",IF(INDEX('Master Tracker'!$O$6:$O$400,$S69)="","",INDEX('Master Tracker'!$O$6:$O$400,$S69)))</f>
        <v/>
      </c>
      <c r="N69" s="52" t="str">
        <f>IF($S69="","",IF(INDEX('Master Tracker'!$N$6:$N$400,$S69)="","",INDEX('Master Tracker'!$N$6:$N$400,$S69)))</f>
        <v/>
      </c>
      <c r="O69" s="7" t="str">
        <f>IF($S69="","",IF(INDEX('Master Tracker'!$T$6:$T$400,$S69)="","",INDEX('Master Tracker'!$T$6:$T$400,$S69)))</f>
        <v/>
      </c>
      <c r="P69" s="7" t="str">
        <f>IF($S69="","",IF(INDEX('Master Tracker'!$AC$6:$AC$400,$S69)="","",INDEX('Master Tracker'!$AC$6:$AC$400,$S69)))</f>
        <v/>
      </c>
      <c r="S69" t="str">
        <f>IFERROR(MATCH("Phase 2|"&amp;A69,'Master Tracker'!$Z$6:$Z$400,0),"")</f>
        <v/>
      </c>
    </row>
    <row r="70" spans="1:19" ht="15" customHeight="1" x14ac:dyDescent="0.3">
      <c r="A70" s="7">
        <v>32</v>
      </c>
      <c r="B70" s="51" t="str">
        <f>IF($S70="","",IF(INDEX('Master Tracker'!$A$6:$A$400,$S70)="","",INDEX('Master Tracker'!$A$6:$A$400,$S70)))</f>
        <v/>
      </c>
      <c r="C70" s="52" t="str">
        <f>IF($S70="","",IF(INDEX('Master Tracker'!$C$6:$C$400,$S70)="","",INDEX('Master Tracker'!$C$6:$C$400,$S70)))</f>
        <v/>
      </c>
      <c r="D70" s="52" t="str">
        <f>IF($S70="","",IF(INDEX('Master Tracker'!$D$6:$D$400,$S70)="","",INDEX('Master Tracker'!$D$6:$D$400,$S70)))</f>
        <v/>
      </c>
      <c r="E70" s="7" t="str">
        <f>IF($S70="","",IF(INDEX('Master Tracker'!$F$6:$F$400,$S70)="","",INDEX('Master Tracker'!$F$6:$F$400,$S70)))</f>
        <v/>
      </c>
      <c r="F70" s="7" t="str">
        <f>IF($S70="","",IF(INDEX('Master Tracker'!$G$6:$G$400,$S70)="","",INDEX('Master Tracker'!$G$6:$G$400,$S70)))</f>
        <v/>
      </c>
      <c r="G70" s="19" t="str">
        <f>IF($S70="","",IF(INDEX('Master Tracker'!$H$6:$H$400,$S70)="","",INDEX('Master Tracker'!$H$6:$H$400,$S70)))</f>
        <v/>
      </c>
      <c r="H70" s="19" t="str">
        <f>IF($S70="","",IF(INDEX('Master Tracker'!$I$6:$I$400,$S70)="","",INDEX('Master Tracker'!$I$6:$I$400,$S70)))</f>
        <v/>
      </c>
      <c r="I70" s="53" t="str">
        <f>IF($S70="","",IF(INDEX('Master Tracker'!$U$6:$U$400,$S70)="","",INDEX('Master Tracker'!$U$6:$U$400,$S70)))</f>
        <v/>
      </c>
      <c r="J70" s="52" t="str">
        <f>IF($S70="","",IF(INDEX('Master Tracker'!$K$6:$K$400,$S70)="","",INDEX('Master Tracker'!$K$6:$K$400,$S70)))</f>
        <v/>
      </c>
      <c r="K70" s="52" t="str">
        <f>IF($S70="","",IF(INDEX('Master Tracker'!$Y$6:$Y$400,$S70)="","",INDEX('Master Tracker'!$Y$6:$Y$400,$S70)))</f>
        <v/>
      </c>
      <c r="L70" s="52" t="str">
        <f>IF($S70="","",IF(INDEX('Master Tracker'!$M$6:$M$400,$S70)="","",INDEX('Master Tracker'!$M$6:$M$400,$S70)))</f>
        <v/>
      </c>
      <c r="M70" s="52" t="str">
        <f>IF($S70="","",IF(INDEX('Master Tracker'!$O$6:$O$400,$S70)="","",INDEX('Master Tracker'!$O$6:$O$400,$S70)))</f>
        <v/>
      </c>
      <c r="N70" s="52" t="str">
        <f>IF($S70="","",IF(INDEX('Master Tracker'!$N$6:$N$400,$S70)="","",INDEX('Master Tracker'!$N$6:$N$400,$S70)))</f>
        <v/>
      </c>
      <c r="O70" s="7" t="str">
        <f>IF($S70="","",IF(INDEX('Master Tracker'!$T$6:$T$400,$S70)="","",INDEX('Master Tracker'!$T$6:$T$400,$S70)))</f>
        <v/>
      </c>
      <c r="P70" s="7" t="str">
        <f>IF($S70="","",IF(INDEX('Master Tracker'!$AC$6:$AC$400,$S70)="","",INDEX('Master Tracker'!$AC$6:$AC$400,$S70)))</f>
        <v/>
      </c>
      <c r="S70" t="str">
        <f>IFERROR(MATCH("Phase 2|"&amp;A70,'Master Tracker'!$Z$6:$Z$400,0),"")</f>
        <v/>
      </c>
    </row>
  </sheetData>
  <mergeCells count="52">
    <mergeCell ref="A1:R1"/>
    <mergeCell ref="J13:R13"/>
    <mergeCell ref="A19:H19"/>
    <mergeCell ref="B33:R33"/>
    <mergeCell ref="P6:R6"/>
    <mergeCell ref="A2:R2"/>
    <mergeCell ref="A16:H16"/>
    <mergeCell ref="J22:R22"/>
    <mergeCell ref="J21:R21"/>
    <mergeCell ref="A12:H12"/>
    <mergeCell ref="J12:R12"/>
    <mergeCell ref="A18:H18"/>
    <mergeCell ref="E6:F6"/>
    <mergeCell ref="A21:H21"/>
    <mergeCell ref="P5:R5"/>
    <mergeCell ref="J18:R18"/>
    <mergeCell ref="A10:R10"/>
    <mergeCell ref="A14:H14"/>
    <mergeCell ref="A9:R9"/>
    <mergeCell ref="J17:R17"/>
    <mergeCell ref="A22:H22"/>
    <mergeCell ref="B35:R35"/>
    <mergeCell ref="E5:F5"/>
    <mergeCell ref="A3:C3"/>
    <mergeCell ref="A37:R37"/>
    <mergeCell ref="B31:R31"/>
    <mergeCell ref="J20:R20"/>
    <mergeCell ref="J16:R16"/>
    <mergeCell ref="H6:I6"/>
    <mergeCell ref="B27:R27"/>
    <mergeCell ref="A5:C5"/>
    <mergeCell ref="J6:K6"/>
    <mergeCell ref="B29:R29"/>
    <mergeCell ref="J23:R23"/>
    <mergeCell ref="B34:R34"/>
    <mergeCell ref="B28:R28"/>
    <mergeCell ref="A23:H23"/>
    <mergeCell ref="B32:R32"/>
    <mergeCell ref="B26:R26"/>
    <mergeCell ref="A7:R7"/>
    <mergeCell ref="A15:H15"/>
    <mergeCell ref="J5:K5"/>
    <mergeCell ref="J15:R15"/>
    <mergeCell ref="A25:R25"/>
    <mergeCell ref="A17:H17"/>
    <mergeCell ref="J14:R14"/>
    <mergeCell ref="B30:R30"/>
    <mergeCell ref="A20:H20"/>
    <mergeCell ref="J19:R19"/>
    <mergeCell ref="A6:C6"/>
    <mergeCell ref="H5:I5"/>
    <mergeCell ref="A13:H13"/>
  </mergeCells>
  <conditionalFormatting sqref="F39:F70">
    <cfRule type="expression" dxfId="128" priority="5">
      <formula>$F39="Completed"</formula>
    </cfRule>
    <cfRule type="expression" dxfId="127" priority="6">
      <formula>$F39="In Progress"</formula>
    </cfRule>
    <cfRule type="expression" dxfId="126" priority="7">
      <formula>$F39="Testing"</formula>
    </cfRule>
    <cfRule type="expression" dxfId="125" priority="8">
      <formula>$F39="In Review"</formula>
    </cfRule>
    <cfRule type="expression" dxfId="124" priority="9">
      <formula>$F39="Blocked"</formula>
    </cfRule>
    <cfRule type="expression" dxfId="123" priority="10">
      <formula>$F39="Not Started"</formula>
    </cfRule>
  </conditionalFormatting>
  <conditionalFormatting sqref="I39:I70">
    <cfRule type="dataBar" priority="11">
      <dataBar>
        <cfvo type="num" val="0"/>
        <cfvo type="num" val="1"/>
        <color rgb="FF10B981"/>
      </dataBar>
    </cfRule>
  </conditionalFormatting>
  <conditionalFormatting sqref="O39:O70">
    <cfRule type="expression" dxfId="122" priority="19">
      <formula>$O39="Pass"</formula>
    </cfRule>
    <cfRule type="expression" dxfId="121" priority="20">
      <formula>$O39="Fail"</formula>
    </cfRule>
    <cfRule type="expression" dxfId="120" priority="21">
      <formula>$O39="Partial"</formula>
    </cfRule>
  </conditionalFormatting>
  <conditionalFormatting sqref="P6">
    <cfRule type="expression" dxfId="119" priority="1">
      <formula>$P$6="Complete"</formula>
    </cfRule>
    <cfRule type="expression" dxfId="118" priority="2">
      <formula>$P$6="On Track"</formula>
    </cfRule>
    <cfRule type="expression" dxfId="117" priority="3">
      <formula>$P$6="Behind"</formula>
    </cfRule>
    <cfRule type="expression" dxfId="116" priority="4">
      <formula>$P$6="Blocked"</formula>
    </cfRule>
  </conditionalFormatting>
  <conditionalFormatting sqref="P39:P70">
    <cfRule type="expression" dxfId="115" priority="12">
      <formula>$P39="Overdue"</formula>
    </cfRule>
    <cfRule type="expression" dxfId="114" priority="13">
      <formula>$P39="Blocked"</formula>
    </cfRule>
    <cfRule type="expression" dxfId="113" priority="14">
      <formula>$P39="Due soon"</formula>
    </cfRule>
    <cfRule type="expression" dxfId="112" priority="15">
      <formula>$P39="Done"</formula>
    </cfRule>
    <cfRule type="expression" dxfId="111" priority="16">
      <formula>$P39="Dependency open"</formula>
    </cfRule>
    <cfRule type="expression" dxfId="110" priority="17">
      <formula>$P39="External req."</formula>
    </cfRule>
    <cfRule type="expression" dxfId="109" priority="18">
      <formula>$P39="On track"</formula>
    </cfRule>
  </conditionalFormatting>
  <hyperlinks>
    <hyperlink ref="A3" location="'Executive Dashboard'!A1" display="← Dashboard" xr:uid="{00000000-0004-0000-0300-000000000000}"/>
    <hyperlink ref="D3" location="'Master Tracker'!A1" display="Open Master Tracker →" xr:uid="{00000000-0004-0000-0300-000001000000}"/>
    <hyperlink ref="F3" r:id="rId1" xr:uid="{00000000-0004-0000-0300-000002000000}"/>
  </hyperlinks>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34155"/>
    <pageSetUpPr fitToPage="1"/>
  </sheetPr>
  <dimension ref="A1:S63"/>
  <sheetViews>
    <sheetView showGridLines="0" zoomScale="90" workbookViewId="0">
      <pane ySplit="3" topLeftCell="A4" activePane="bottomLeft" state="frozen"/>
      <selection pane="bottomLeft"/>
    </sheetView>
  </sheetViews>
  <sheetFormatPr defaultRowHeight="14.4" x14ac:dyDescent="0.3"/>
  <cols>
    <col min="1" max="1" width="5" customWidth="1"/>
    <col min="2" max="2" width="9" customWidth="1"/>
    <col min="3" max="3" width="15" customWidth="1"/>
    <col min="4" max="4" width="32" customWidth="1"/>
    <col min="5" max="5" width="8" customWidth="1"/>
    <col min="6" max="6" width="12" customWidth="1"/>
    <col min="7" max="9" width="10" customWidth="1"/>
    <col min="10" max="10" width="16" customWidth="1"/>
    <col min="11" max="11" width="12" customWidth="1"/>
    <col min="12" max="12" width="30" customWidth="1"/>
    <col min="13" max="14" width="38" customWidth="1"/>
    <col min="15" max="15" width="10" customWidth="1"/>
    <col min="16" max="16" width="13" customWidth="1"/>
    <col min="17" max="18" width="12" customWidth="1"/>
    <col min="19" max="19" width="4" hidden="1" customWidth="1"/>
  </cols>
  <sheetData>
    <row r="1" spans="1:18" ht="34.049999999999997" customHeight="1" x14ac:dyDescent="0.3">
      <c r="A1" s="111" t="s">
        <v>977</v>
      </c>
      <c r="B1" s="112"/>
      <c r="C1" s="112"/>
      <c r="D1" s="112"/>
      <c r="E1" s="112"/>
      <c r="F1" s="112"/>
      <c r="G1" s="112"/>
      <c r="H1" s="112"/>
      <c r="I1" s="112"/>
      <c r="J1" s="112"/>
      <c r="K1" s="112"/>
      <c r="L1" s="112"/>
      <c r="M1" s="112"/>
      <c r="N1" s="112"/>
      <c r="O1" s="112"/>
      <c r="P1" s="112"/>
      <c r="Q1" s="112"/>
      <c r="R1" s="112"/>
    </row>
    <row r="2" spans="1:18" ht="19.95" customHeight="1" x14ac:dyDescent="0.3">
      <c r="A2" s="79" t="s">
        <v>978</v>
      </c>
      <c r="B2" s="80"/>
      <c r="C2" s="80"/>
      <c r="D2" s="80"/>
      <c r="E2" s="80"/>
      <c r="F2" s="80"/>
      <c r="G2" s="80"/>
      <c r="H2" s="80"/>
      <c r="I2" s="80"/>
      <c r="J2" s="80"/>
      <c r="K2" s="80"/>
      <c r="L2" s="80"/>
      <c r="M2" s="80"/>
      <c r="N2" s="80"/>
      <c r="O2" s="80"/>
      <c r="P2" s="80"/>
      <c r="Q2" s="80"/>
      <c r="R2" s="80"/>
    </row>
    <row r="3" spans="1:18" x14ac:dyDescent="0.3">
      <c r="A3" s="131" t="s">
        <v>109</v>
      </c>
      <c r="B3" s="86"/>
      <c r="C3" s="86"/>
      <c r="D3" s="33" t="s">
        <v>889</v>
      </c>
      <c r="F3" s="3" t="s">
        <v>110</v>
      </c>
    </row>
    <row r="5" spans="1:18" x14ac:dyDescent="0.3">
      <c r="A5" s="129" t="s">
        <v>890</v>
      </c>
      <c r="B5" s="130"/>
      <c r="C5" s="130"/>
      <c r="D5" s="46" t="s">
        <v>891</v>
      </c>
      <c r="E5" s="129" t="s">
        <v>892</v>
      </c>
      <c r="F5" s="130"/>
      <c r="G5" s="46" t="s">
        <v>893</v>
      </c>
      <c r="H5" s="129" t="s">
        <v>35</v>
      </c>
      <c r="I5" s="130"/>
      <c r="J5" s="129" t="s">
        <v>38</v>
      </c>
      <c r="K5" s="130"/>
      <c r="L5" s="46" t="s">
        <v>39</v>
      </c>
      <c r="M5" s="46" t="s">
        <v>894</v>
      </c>
      <c r="N5" s="46" t="s">
        <v>40</v>
      </c>
      <c r="O5" s="46" t="s">
        <v>895</v>
      </c>
      <c r="P5" s="134" t="s">
        <v>896</v>
      </c>
      <c r="Q5" s="86"/>
      <c r="R5" s="86"/>
    </row>
    <row r="6" spans="1:18" ht="31.95" customHeight="1" x14ac:dyDescent="0.3">
      <c r="A6" s="136">
        <f>IFERROR(SUMPRODUCT(('Master Tracker'!$B$6:$B$400="Phase 3")*'Master Tracker'!$U$6:$U$400)/COUNTIFS('Master Tracker'!$B$6:$B$400,"Phase 3",'Master Tracker'!$A$6:$A$400,"?*"),0)</f>
        <v>0</v>
      </c>
      <c r="B6" s="133"/>
      <c r="C6" s="133"/>
      <c r="D6" s="47">
        <f ca="1">IFERROR(SUMPRODUCT(('Master Tracker'!$B$6:$B$400="Phase 3")*'Master Tracker'!$V$6:$V$400)/COUNTIFS('Master Tracker'!$B$6:$B$400,"Phase 3",'Master Tracker'!$A$6:$A$400,"?*"),0)</f>
        <v>0</v>
      </c>
      <c r="E6" s="132">
        <f>COUNTIFS('Master Tracker'!$B$6:$B$400,"Phase 3",'Master Tracker'!$A$6:$A$400,"?*")</f>
        <v>16</v>
      </c>
      <c r="F6" s="133"/>
      <c r="G6" s="48">
        <f>COUNTIFS('Master Tracker'!$B$6:$B$400,"Phase 3",'Master Tracker'!$G$6:$G$400,"Completed")</f>
        <v>0</v>
      </c>
      <c r="H6" s="132">
        <f>COUNTIFS('Master Tracker'!$B$6:$B$400,"Phase 3",'Master Tracker'!$G$6:$G$400,"In Progress")</f>
        <v>0</v>
      </c>
      <c r="I6" s="133"/>
      <c r="J6" s="132">
        <f>COUNTIFS('Master Tracker'!$B$6:$B$400,"Phase 3",'Master Tracker'!$G$6:$G$400,"Blocked")</f>
        <v>0</v>
      </c>
      <c r="K6" s="133"/>
      <c r="L6" s="48">
        <f ca="1">COUNTIFS('Master Tracker'!$B$6:$B$400,"Phase 3",'Master Tracker'!$X$6:$X$400,"OVERDUE")</f>
        <v>0</v>
      </c>
      <c r="M6" s="48">
        <f>COUNTIFS('Master Tracker'!$B$6:$B$400,"Phase 3",'Master Tracker'!$G$6:$G$400,"In Review")+COUNTIFS('Master Tracker'!$B$6:$B$400,"Phase 3",'Master Tracker'!$G$6:$G$400,"Testing")</f>
        <v>0</v>
      </c>
      <c r="N6" s="48">
        <f>COUNTIFS('Master Tracker'!$B$6:$B$400,"Phase 3",'Master Tracker'!$F$6:$F$400,"P0",'Master Tracker'!$G$6:$G$400,"&lt;&gt;Completed",'Master Tracker'!$A$6:$A$400,"?*")</f>
        <v>8</v>
      </c>
      <c r="O6" s="49">
        <f>_xlfn.MAXIFS('Master Tracker'!$I$6:$I$400,'Master Tracker'!$B$6:$B$400,"Phase 3")</f>
        <v>46315</v>
      </c>
      <c r="P6" s="137" t="str">
        <f ca="1">IF(E6=0,"—",IF(G6=E6,"Complete",IF(J6&gt;0,"Blocked",IF(L6&gt;0,"Behind",IF(A6+0.1&lt;D6,"Behind",IF(A6&gt;0,"On Track","Not Started"))))))</f>
        <v>Not Started</v>
      </c>
      <c r="Q6" s="86"/>
      <c r="R6" s="86"/>
    </row>
    <row r="7" spans="1:18" ht="22.05" customHeight="1" x14ac:dyDescent="0.3">
      <c r="A7" s="127" t="str">
        <f ca="1">"Progress  "&amp;REPT("█",ROUND(A6*50,0))&amp;REPT("░",50-ROUND(A6*50,0))&amp;"  "&amp;TEXT(A6,"0%")&amp;"  (planned "&amp;TEXT(D6,"0%")&amp;")"</f>
        <v>Progress  ░░░░░░░░░░░░░░░░░░░░░░░░░░░░░░░░░░░░░░░░░░░░░░░░░░  0%  (planned 0%)</v>
      </c>
      <c r="B7" s="86"/>
      <c r="C7" s="86"/>
      <c r="D7" s="86"/>
      <c r="E7" s="86"/>
      <c r="F7" s="86"/>
      <c r="G7" s="86"/>
      <c r="H7" s="86"/>
      <c r="I7" s="86"/>
      <c r="J7" s="86"/>
      <c r="K7" s="86"/>
      <c r="L7" s="86"/>
      <c r="M7" s="86"/>
      <c r="N7" s="86"/>
      <c r="O7" s="86"/>
      <c r="P7" s="86"/>
      <c r="Q7" s="86"/>
      <c r="R7" s="86"/>
    </row>
    <row r="9" spans="1:18" ht="22.05" customHeight="1" x14ac:dyDescent="0.3">
      <c r="A9" s="71" t="s">
        <v>897</v>
      </c>
      <c r="B9" s="72"/>
      <c r="C9" s="72"/>
      <c r="D9" s="72"/>
      <c r="E9" s="72"/>
      <c r="F9" s="72"/>
      <c r="G9" s="72"/>
      <c r="H9" s="72"/>
      <c r="I9" s="72"/>
      <c r="J9" s="72"/>
      <c r="K9" s="72"/>
      <c r="L9" s="72"/>
      <c r="M9" s="72"/>
      <c r="N9" s="72"/>
      <c r="O9" s="72"/>
      <c r="P9" s="72"/>
      <c r="Q9" s="72"/>
      <c r="R9" s="72"/>
    </row>
    <row r="10" spans="1:18" ht="46.05" customHeight="1" x14ac:dyDescent="0.3">
      <c r="A10" s="135" t="s">
        <v>979</v>
      </c>
      <c r="B10" s="86"/>
      <c r="C10" s="86"/>
      <c r="D10" s="86"/>
      <c r="E10" s="86"/>
      <c r="F10" s="86"/>
      <c r="G10" s="86"/>
      <c r="H10" s="86"/>
      <c r="I10" s="86"/>
      <c r="J10" s="86"/>
      <c r="K10" s="86"/>
      <c r="L10" s="86"/>
      <c r="M10" s="86"/>
      <c r="N10" s="86"/>
      <c r="O10" s="86"/>
      <c r="P10" s="86"/>
      <c r="Q10" s="86"/>
      <c r="R10" s="86"/>
    </row>
    <row r="12" spans="1:18" ht="22.05" customHeight="1" x14ac:dyDescent="0.3">
      <c r="A12" s="71" t="s">
        <v>899</v>
      </c>
      <c r="B12" s="72"/>
      <c r="C12" s="72"/>
      <c r="D12" s="72"/>
      <c r="E12" s="72"/>
      <c r="F12" s="72"/>
      <c r="G12" s="72"/>
      <c r="H12" s="72"/>
      <c r="J12" s="71" t="s">
        <v>900</v>
      </c>
      <c r="K12" s="72"/>
      <c r="L12" s="72"/>
      <c r="M12" s="72"/>
      <c r="N12" s="72"/>
      <c r="O12" s="72"/>
      <c r="P12" s="72"/>
      <c r="Q12" s="72"/>
      <c r="R12" s="72"/>
    </row>
    <row r="13" spans="1:18" x14ac:dyDescent="0.3">
      <c r="A13" s="128" t="s">
        <v>980</v>
      </c>
      <c r="B13" s="86"/>
      <c r="C13" s="86"/>
      <c r="D13" s="86"/>
      <c r="E13" s="86"/>
      <c r="F13" s="86"/>
      <c r="G13" s="86"/>
      <c r="H13" s="86"/>
      <c r="J13" s="128" t="s">
        <v>981</v>
      </c>
      <c r="K13" s="86"/>
      <c r="L13" s="86"/>
      <c r="M13" s="86"/>
      <c r="N13" s="86"/>
      <c r="O13" s="86"/>
      <c r="P13" s="86"/>
      <c r="Q13" s="86"/>
      <c r="R13" s="86"/>
    </row>
    <row r="14" spans="1:18" x14ac:dyDescent="0.3">
      <c r="A14" s="126" t="s">
        <v>982</v>
      </c>
      <c r="B14" s="86"/>
      <c r="C14" s="86"/>
      <c r="D14" s="86"/>
      <c r="E14" s="86"/>
      <c r="F14" s="86"/>
      <c r="G14" s="86"/>
      <c r="H14" s="86"/>
      <c r="J14" s="126" t="s">
        <v>983</v>
      </c>
      <c r="K14" s="86"/>
      <c r="L14" s="86"/>
      <c r="M14" s="86"/>
      <c r="N14" s="86"/>
      <c r="O14" s="86"/>
      <c r="P14" s="86"/>
      <c r="Q14" s="86"/>
      <c r="R14" s="86"/>
    </row>
    <row r="15" spans="1:18" x14ac:dyDescent="0.3">
      <c r="A15" s="128" t="s">
        <v>984</v>
      </c>
      <c r="B15" s="86"/>
      <c r="C15" s="86"/>
      <c r="D15" s="86"/>
      <c r="E15" s="86"/>
      <c r="F15" s="86"/>
      <c r="G15" s="86"/>
      <c r="H15" s="86"/>
      <c r="J15" s="128" t="s">
        <v>985</v>
      </c>
      <c r="K15" s="86"/>
      <c r="L15" s="86"/>
      <c r="M15" s="86"/>
      <c r="N15" s="86"/>
      <c r="O15" s="86"/>
      <c r="P15" s="86"/>
      <c r="Q15" s="86"/>
      <c r="R15" s="86"/>
    </row>
    <row r="16" spans="1:18" x14ac:dyDescent="0.3">
      <c r="A16" s="126" t="s">
        <v>986</v>
      </c>
      <c r="B16" s="86"/>
      <c r="C16" s="86"/>
      <c r="D16" s="86"/>
      <c r="E16" s="86"/>
      <c r="F16" s="86"/>
      <c r="G16" s="86"/>
      <c r="H16" s="86"/>
      <c r="J16" s="126" t="s">
        <v>987</v>
      </c>
      <c r="K16" s="86"/>
      <c r="L16" s="86"/>
      <c r="M16" s="86"/>
      <c r="N16" s="86"/>
      <c r="O16" s="86"/>
      <c r="P16" s="86"/>
      <c r="Q16" s="86"/>
      <c r="R16" s="86"/>
    </row>
    <row r="17" spans="1:18" x14ac:dyDescent="0.3">
      <c r="A17" s="128" t="s">
        <v>988</v>
      </c>
      <c r="B17" s="86"/>
      <c r="C17" s="86"/>
      <c r="D17" s="86"/>
      <c r="E17" s="86"/>
      <c r="F17" s="86"/>
      <c r="G17" s="86"/>
      <c r="H17" s="86"/>
      <c r="J17" s="128" t="s">
        <v>989</v>
      </c>
      <c r="K17" s="86"/>
      <c r="L17" s="86"/>
      <c r="M17" s="86"/>
      <c r="N17" s="86"/>
      <c r="O17" s="86"/>
      <c r="P17" s="86"/>
      <c r="Q17" s="86"/>
      <c r="R17" s="86"/>
    </row>
    <row r="18" spans="1:18" x14ac:dyDescent="0.3">
      <c r="A18" s="126" t="s">
        <v>990</v>
      </c>
      <c r="B18" s="86"/>
      <c r="C18" s="86"/>
      <c r="D18" s="86"/>
      <c r="E18" s="86"/>
      <c r="F18" s="86"/>
      <c r="G18" s="86"/>
      <c r="H18" s="86"/>
      <c r="J18" s="126" t="s">
        <v>991</v>
      </c>
      <c r="K18" s="86"/>
      <c r="L18" s="86"/>
      <c r="M18" s="86"/>
      <c r="N18" s="86"/>
      <c r="O18" s="86"/>
      <c r="P18" s="86"/>
      <c r="Q18" s="86"/>
      <c r="R18" s="86"/>
    </row>
    <row r="19" spans="1:18" x14ac:dyDescent="0.3">
      <c r="A19" s="128" t="s">
        <v>992</v>
      </c>
      <c r="B19" s="86"/>
      <c r="C19" s="86"/>
      <c r="D19" s="86"/>
      <c r="E19" s="86"/>
      <c r="F19" s="86"/>
      <c r="G19" s="86"/>
      <c r="H19" s="86"/>
      <c r="J19" s="128" t="s">
        <v>993</v>
      </c>
      <c r="K19" s="86"/>
      <c r="L19" s="86"/>
      <c r="M19" s="86"/>
      <c r="N19" s="86"/>
      <c r="O19" s="86"/>
      <c r="P19" s="86"/>
      <c r="Q19" s="86"/>
      <c r="R19" s="86"/>
    </row>
    <row r="20" spans="1:18" x14ac:dyDescent="0.3">
      <c r="A20" s="126" t="s">
        <v>994</v>
      </c>
      <c r="B20" s="86"/>
      <c r="C20" s="86"/>
      <c r="D20" s="86"/>
      <c r="E20" s="86"/>
      <c r="F20" s="86"/>
      <c r="G20" s="86"/>
      <c r="H20" s="86"/>
      <c r="J20" s="126" t="s">
        <v>995</v>
      </c>
      <c r="K20" s="86"/>
      <c r="L20" s="86"/>
      <c r="M20" s="86"/>
      <c r="N20" s="86"/>
      <c r="O20" s="86"/>
      <c r="P20" s="86"/>
      <c r="Q20" s="86"/>
      <c r="R20" s="86"/>
    </row>
    <row r="21" spans="1:18" x14ac:dyDescent="0.3">
      <c r="A21" s="128" t="s">
        <v>996</v>
      </c>
      <c r="B21" s="86"/>
      <c r="C21" s="86"/>
      <c r="D21" s="86"/>
      <c r="E21" s="86"/>
      <c r="F21" s="86"/>
      <c r="G21" s="86"/>
      <c r="H21" s="86"/>
      <c r="J21" s="128" t="s">
        <v>997</v>
      </c>
      <c r="K21" s="86"/>
      <c r="L21" s="86"/>
      <c r="M21" s="86"/>
      <c r="N21" s="86"/>
      <c r="O21" s="86"/>
      <c r="P21" s="86"/>
      <c r="Q21" s="86"/>
      <c r="R21" s="86"/>
    </row>
    <row r="22" spans="1:18" x14ac:dyDescent="0.3">
      <c r="A22" s="126"/>
      <c r="B22" s="86"/>
      <c r="C22" s="86"/>
      <c r="D22" s="86"/>
      <c r="E22" s="86"/>
      <c r="F22" s="86"/>
      <c r="G22" s="86"/>
      <c r="H22" s="86"/>
      <c r="J22" s="126" t="s">
        <v>998</v>
      </c>
      <c r="K22" s="86"/>
      <c r="L22" s="86"/>
      <c r="M22" s="86"/>
      <c r="N22" s="86"/>
      <c r="O22" s="86"/>
      <c r="P22" s="86"/>
      <c r="Q22" s="86"/>
      <c r="R22" s="86"/>
    </row>
    <row r="23" spans="1:18" x14ac:dyDescent="0.3">
      <c r="A23" s="128"/>
      <c r="B23" s="86"/>
      <c r="C23" s="86"/>
      <c r="D23" s="86"/>
      <c r="E23" s="86"/>
      <c r="F23" s="86"/>
      <c r="G23" s="86"/>
      <c r="H23" s="86"/>
      <c r="J23" s="128" t="s">
        <v>999</v>
      </c>
      <c r="K23" s="86"/>
      <c r="L23" s="86"/>
      <c r="M23" s="86"/>
      <c r="N23" s="86"/>
      <c r="O23" s="86"/>
      <c r="P23" s="86"/>
      <c r="Q23" s="86"/>
      <c r="R23" s="86"/>
    </row>
    <row r="24" spans="1:18" x14ac:dyDescent="0.3">
      <c r="A24" s="126"/>
      <c r="B24" s="86"/>
      <c r="C24" s="86"/>
      <c r="D24" s="86"/>
      <c r="E24" s="86"/>
      <c r="F24" s="86"/>
      <c r="G24" s="86"/>
      <c r="H24" s="86"/>
      <c r="J24" s="126" t="s">
        <v>1000</v>
      </c>
      <c r="K24" s="86"/>
      <c r="L24" s="86"/>
      <c r="M24" s="86"/>
      <c r="N24" s="86"/>
      <c r="O24" s="86"/>
      <c r="P24" s="86"/>
      <c r="Q24" s="86"/>
      <c r="R24" s="86"/>
    </row>
    <row r="26" spans="1:18" ht="22.05" customHeight="1" x14ac:dyDescent="0.3">
      <c r="A26" s="71" t="s">
        <v>922</v>
      </c>
      <c r="B26" s="72"/>
      <c r="C26" s="72"/>
      <c r="D26" s="72"/>
      <c r="E26" s="72"/>
      <c r="F26" s="72"/>
      <c r="G26" s="72"/>
      <c r="H26" s="72"/>
      <c r="I26" s="72"/>
      <c r="J26" s="72"/>
      <c r="K26" s="72"/>
      <c r="L26" s="72"/>
      <c r="M26" s="72"/>
      <c r="N26" s="72"/>
      <c r="O26" s="72"/>
      <c r="P26" s="72"/>
      <c r="Q26" s="72"/>
      <c r="R26" s="72"/>
    </row>
    <row r="27" spans="1:18" x14ac:dyDescent="0.3">
      <c r="A27" s="50">
        <v>1</v>
      </c>
      <c r="B27" s="126" t="s">
        <v>1001</v>
      </c>
      <c r="C27" s="86"/>
      <c r="D27" s="86"/>
      <c r="E27" s="86"/>
      <c r="F27" s="86"/>
      <c r="G27" s="86"/>
      <c r="H27" s="86"/>
      <c r="I27" s="86"/>
      <c r="J27" s="86"/>
      <c r="K27" s="86"/>
      <c r="L27" s="86"/>
      <c r="M27" s="86"/>
      <c r="N27" s="86"/>
      <c r="O27" s="86"/>
      <c r="P27" s="86"/>
      <c r="Q27" s="86"/>
      <c r="R27" s="86"/>
    </row>
    <row r="28" spans="1:18" x14ac:dyDescent="0.3">
      <c r="A28" s="50">
        <v>2</v>
      </c>
      <c r="B28" s="128" t="s">
        <v>1002</v>
      </c>
      <c r="C28" s="86"/>
      <c r="D28" s="86"/>
      <c r="E28" s="86"/>
      <c r="F28" s="86"/>
      <c r="G28" s="86"/>
      <c r="H28" s="86"/>
      <c r="I28" s="86"/>
      <c r="J28" s="86"/>
      <c r="K28" s="86"/>
      <c r="L28" s="86"/>
      <c r="M28" s="86"/>
      <c r="N28" s="86"/>
      <c r="O28" s="86"/>
      <c r="P28" s="86"/>
      <c r="Q28" s="86"/>
      <c r="R28" s="86"/>
    </row>
    <row r="29" spans="1:18" x14ac:dyDescent="0.3">
      <c r="A29" s="50">
        <v>3</v>
      </c>
      <c r="B29" s="126" t="s">
        <v>1003</v>
      </c>
      <c r="C29" s="86"/>
      <c r="D29" s="86"/>
      <c r="E29" s="86"/>
      <c r="F29" s="86"/>
      <c r="G29" s="86"/>
      <c r="H29" s="86"/>
      <c r="I29" s="86"/>
      <c r="J29" s="86"/>
      <c r="K29" s="86"/>
      <c r="L29" s="86"/>
      <c r="M29" s="86"/>
      <c r="N29" s="86"/>
      <c r="O29" s="86"/>
      <c r="P29" s="86"/>
      <c r="Q29" s="86"/>
      <c r="R29" s="86"/>
    </row>
    <row r="30" spans="1:18" x14ac:dyDescent="0.3">
      <c r="A30" s="50">
        <v>4</v>
      </c>
      <c r="B30" s="128" t="s">
        <v>1004</v>
      </c>
      <c r="C30" s="86"/>
      <c r="D30" s="86"/>
      <c r="E30" s="86"/>
      <c r="F30" s="86"/>
      <c r="G30" s="86"/>
      <c r="H30" s="86"/>
      <c r="I30" s="86"/>
      <c r="J30" s="86"/>
      <c r="K30" s="86"/>
      <c r="L30" s="86"/>
      <c r="M30" s="86"/>
      <c r="N30" s="86"/>
      <c r="O30" s="86"/>
      <c r="P30" s="86"/>
      <c r="Q30" s="86"/>
      <c r="R30" s="86"/>
    </row>
    <row r="31" spans="1:18" x14ac:dyDescent="0.3">
      <c r="A31" s="50">
        <v>5</v>
      </c>
      <c r="B31" s="126" t="s">
        <v>1005</v>
      </c>
      <c r="C31" s="86"/>
      <c r="D31" s="86"/>
      <c r="E31" s="86"/>
      <c r="F31" s="86"/>
      <c r="G31" s="86"/>
      <c r="H31" s="86"/>
      <c r="I31" s="86"/>
      <c r="J31" s="86"/>
      <c r="K31" s="86"/>
      <c r="L31" s="86"/>
      <c r="M31" s="86"/>
      <c r="N31" s="86"/>
      <c r="O31" s="86"/>
      <c r="P31" s="86"/>
      <c r="Q31" s="86"/>
      <c r="R31" s="86"/>
    </row>
    <row r="32" spans="1:18" x14ac:dyDescent="0.3">
      <c r="A32" s="50">
        <v>6</v>
      </c>
      <c r="B32" s="128" t="s">
        <v>1006</v>
      </c>
      <c r="C32" s="86"/>
      <c r="D32" s="86"/>
      <c r="E32" s="86"/>
      <c r="F32" s="86"/>
      <c r="G32" s="86"/>
      <c r="H32" s="86"/>
      <c r="I32" s="86"/>
      <c r="J32" s="86"/>
      <c r="K32" s="86"/>
      <c r="L32" s="86"/>
      <c r="M32" s="86"/>
      <c r="N32" s="86"/>
      <c r="O32" s="86"/>
      <c r="P32" s="86"/>
      <c r="Q32" s="86"/>
      <c r="R32" s="86"/>
    </row>
    <row r="33" spans="1:19" x14ac:dyDescent="0.3">
      <c r="A33" s="50">
        <v>7</v>
      </c>
      <c r="B33" s="126" t="s">
        <v>1007</v>
      </c>
      <c r="C33" s="86"/>
      <c r="D33" s="86"/>
      <c r="E33" s="86"/>
      <c r="F33" s="86"/>
      <c r="G33" s="86"/>
      <c r="H33" s="86"/>
      <c r="I33" s="86"/>
      <c r="J33" s="86"/>
      <c r="K33" s="86"/>
      <c r="L33" s="86"/>
      <c r="M33" s="86"/>
      <c r="N33" s="86"/>
      <c r="O33" s="86"/>
      <c r="P33" s="86"/>
      <c r="Q33" s="86"/>
      <c r="R33" s="86"/>
    </row>
    <row r="34" spans="1:19" x14ac:dyDescent="0.3">
      <c r="A34" s="50">
        <v>8</v>
      </c>
      <c r="B34" s="128" t="s">
        <v>1008</v>
      </c>
      <c r="C34" s="86"/>
      <c r="D34" s="86"/>
      <c r="E34" s="86"/>
      <c r="F34" s="86"/>
      <c r="G34" s="86"/>
      <c r="H34" s="86"/>
      <c r="I34" s="86"/>
      <c r="J34" s="86"/>
      <c r="K34" s="86"/>
      <c r="L34" s="86"/>
      <c r="M34" s="86"/>
      <c r="N34" s="86"/>
      <c r="O34" s="86"/>
      <c r="P34" s="86"/>
      <c r="Q34" s="86"/>
      <c r="R34" s="86"/>
    </row>
    <row r="35" spans="1:19" x14ac:dyDescent="0.3">
      <c r="A35" s="50">
        <v>9</v>
      </c>
      <c r="B35" s="126" t="s">
        <v>1009</v>
      </c>
      <c r="C35" s="86"/>
      <c r="D35" s="86"/>
      <c r="E35" s="86"/>
      <c r="F35" s="86"/>
      <c r="G35" s="86"/>
      <c r="H35" s="86"/>
      <c r="I35" s="86"/>
      <c r="J35" s="86"/>
      <c r="K35" s="86"/>
      <c r="L35" s="86"/>
      <c r="M35" s="86"/>
      <c r="N35" s="86"/>
      <c r="O35" s="86"/>
      <c r="P35" s="86"/>
      <c r="Q35" s="86"/>
      <c r="R35" s="86"/>
    </row>
    <row r="36" spans="1:19" x14ac:dyDescent="0.3">
      <c r="A36" s="50">
        <v>10</v>
      </c>
      <c r="B36" s="128" t="s">
        <v>1010</v>
      </c>
      <c r="C36" s="86"/>
      <c r="D36" s="86"/>
      <c r="E36" s="86"/>
      <c r="F36" s="86"/>
      <c r="G36" s="86"/>
      <c r="H36" s="86"/>
      <c r="I36" s="86"/>
      <c r="J36" s="86"/>
      <c r="K36" s="86"/>
      <c r="L36" s="86"/>
      <c r="M36" s="86"/>
      <c r="N36" s="86"/>
      <c r="O36" s="86"/>
      <c r="P36" s="86"/>
      <c r="Q36" s="86"/>
      <c r="R36" s="86"/>
    </row>
    <row r="38" spans="1:19" ht="22.05" customHeight="1" x14ac:dyDescent="0.3">
      <c r="A38" s="71" t="s">
        <v>933</v>
      </c>
      <c r="B38" s="72"/>
      <c r="C38" s="72"/>
      <c r="D38" s="72"/>
      <c r="E38" s="72"/>
      <c r="F38" s="72"/>
      <c r="G38" s="72"/>
      <c r="H38" s="72"/>
      <c r="I38" s="72"/>
      <c r="J38" s="72"/>
      <c r="K38" s="72"/>
      <c r="L38" s="72"/>
      <c r="M38" s="72"/>
      <c r="N38" s="72"/>
      <c r="O38" s="72"/>
      <c r="P38" s="72"/>
      <c r="Q38" s="72"/>
      <c r="R38" s="72"/>
    </row>
    <row r="39" spans="1:19" x14ac:dyDescent="0.3">
      <c r="A39" s="12" t="s">
        <v>934</v>
      </c>
      <c r="B39" s="12" t="s">
        <v>112</v>
      </c>
      <c r="C39" s="12" t="s">
        <v>935</v>
      </c>
      <c r="D39" s="12" t="s">
        <v>91</v>
      </c>
      <c r="E39" s="12" t="s">
        <v>66</v>
      </c>
      <c r="F39" s="12" t="s">
        <v>70</v>
      </c>
      <c r="G39" s="12" t="s">
        <v>936</v>
      </c>
      <c r="H39" s="12" t="s">
        <v>92</v>
      </c>
      <c r="I39" s="12" t="s">
        <v>937</v>
      </c>
      <c r="J39" s="12" t="s">
        <v>938</v>
      </c>
      <c r="K39" s="12" t="s">
        <v>939</v>
      </c>
      <c r="L39" s="12" t="s">
        <v>940</v>
      </c>
      <c r="M39" s="12" t="s">
        <v>941</v>
      </c>
      <c r="N39" s="12" t="s">
        <v>942</v>
      </c>
      <c r="O39" s="12" t="s">
        <v>943</v>
      </c>
      <c r="P39" s="12" t="s">
        <v>944</v>
      </c>
    </row>
    <row r="40" spans="1:19" ht="48" customHeight="1" x14ac:dyDescent="0.3">
      <c r="A40" s="7">
        <v>1</v>
      </c>
      <c r="B40" s="51" t="str">
        <f>IF($S40="","",IF(INDEX('Master Tracker'!$A$6:$A$400,$S40)="","",INDEX('Master Tracker'!$A$6:$A$400,$S40)))</f>
        <v>P3-01</v>
      </c>
      <c r="C40" s="52" t="str">
        <f>IF($S40="","",IF(INDEX('Master Tracker'!$C$6:$C$400,$S40)="","",INDEX('Master Tracker'!$C$6:$C$400,$S40)))</f>
        <v>Single Article</v>
      </c>
      <c r="D40" s="52" t="str">
        <f>IF($S40="","",IF(INDEX('Master Tracker'!$D$6:$D$400,$S40)="","",INDEX('Master Tracker'!$D$6:$D$400,$S40)))</f>
        <v>Single article template</v>
      </c>
      <c r="E40" s="7" t="str">
        <f>IF($S40="","",IF(INDEX('Master Tracker'!$F$6:$F$400,$S40)="","",INDEX('Master Tracker'!$F$6:$F$400,$S40)))</f>
        <v>P0</v>
      </c>
      <c r="F40" s="7" t="str">
        <f>IF($S40="","",IF(INDEX('Master Tracker'!$G$6:$G$400,$S40)="","",INDEX('Master Tracker'!$G$6:$G$400,$S40)))</f>
        <v>Not Started</v>
      </c>
      <c r="G40" s="19">
        <f>IF($S40="","",IF(INDEX('Master Tracker'!$H$6:$H$400,$S40)="","",INDEX('Master Tracker'!$H$6:$H$400,$S40)))</f>
        <v>46313</v>
      </c>
      <c r="H40" s="19">
        <f>IF($S40="","",IF(INDEX('Master Tracker'!$I$6:$I$400,$S40)="","",INDEX('Master Tracker'!$I$6:$I$400,$S40)))</f>
        <v>46313</v>
      </c>
      <c r="I40" s="53">
        <f>IF($S40="","",IF(INDEX('Master Tracker'!$U$6:$U$400,$S40)="","",INDEX('Master Tracker'!$U$6:$U$400,$S40)))</f>
        <v>0</v>
      </c>
      <c r="J40" s="52" t="str">
        <f>IF($S40="","",IF(INDEX('Master Tracker'!$K$6:$K$400,$S40)="","",INDEX('Master Tracker'!$K$6:$K$400,$S40)))</f>
        <v>P1-17</v>
      </c>
      <c r="K40" s="52" t="str">
        <f>IF($S40="","",IF(INDEX('Master Tracker'!$Y$6:$Y$400,$S40)="","",INDEX('Master Tracker'!$Y$6:$Y$400,$S40)))</f>
        <v>⏳ 1 open</v>
      </c>
      <c r="L40" s="52" t="str">
        <f>IF($S40="","",IF(INDEX('Master Tracker'!$M$6:$M$400,$S40)="","",INDEX('Master Tracker'!$M$6:$M$400,$S40)))</f>
        <v>single.php, template-parts/article/*.php</v>
      </c>
      <c r="M40" s="52" t="str">
        <f>IF($S40="","",IF(INDEX('Master Tracker'!$O$6:$O$400,$S40)="","",INDEX('Master Tracker'!$O$6:$O$400,$S40)))</f>
        <v>Articles render correctly with full layout on all breakpoints</v>
      </c>
      <c r="N40" s="52" t="str">
        <f>IF($S40="","",IF(INDEX('Master Tracker'!$N$6:$N$400,$S40)="","",INDEX('Master Tracker'!$N$6:$N$400,$S40)))</f>
        <v>Open 20 sample articles across years and categories</v>
      </c>
      <c r="O40" s="7" t="str">
        <f>IF($S40="","",IF(INDEX('Master Tracker'!$T$6:$T$400,$S40)="","",INDEX('Master Tracker'!$T$6:$T$400,$S40)))</f>
        <v>Not Tested</v>
      </c>
      <c r="P40" s="7" t="str">
        <f ca="1">IF($S40="","",IF(INDEX('Master Tracker'!$AC$6:$AC$400,$S40)="","",INDEX('Master Tracker'!$AC$6:$AC$400,$S40)))</f>
        <v>On track</v>
      </c>
      <c r="S40">
        <f>IFERROR(MATCH("Phase 3|"&amp;A40,'Master Tracker'!$Z$6:$Z$400,0),"")</f>
        <v>42</v>
      </c>
    </row>
    <row r="41" spans="1:19" ht="48" customHeight="1" x14ac:dyDescent="0.3">
      <c r="A41" s="7">
        <v>2</v>
      </c>
      <c r="B41" s="51" t="str">
        <f>IF($S41="","",IF(INDEX('Master Tracker'!$A$6:$A$400,$S41)="","",INDEX('Master Tracker'!$A$6:$A$400,$S41)))</f>
        <v>P3-02</v>
      </c>
      <c r="C41" s="52" t="str">
        <f>IF($S41="","",IF(INDEX('Master Tracker'!$C$6:$C$400,$S41)="","",INDEX('Master Tracker'!$C$6:$C$400,$S41)))</f>
        <v>Article Metadata</v>
      </c>
      <c r="D41" s="52" t="str">
        <f>IF($S41="","",IF(INDEX('Master Tracker'!$D$6:$D$400,$S41)="","",INDEX('Master Tracker'!$D$6:$D$400,$S41)))</f>
        <v>Article metadata</v>
      </c>
      <c r="E41" s="7" t="str">
        <f>IF($S41="","",IF(INDEX('Master Tracker'!$F$6:$F$400,$S41)="","",INDEX('Master Tracker'!$F$6:$F$400,$S41)))</f>
        <v>P0</v>
      </c>
      <c r="F41" s="7" t="str">
        <f>IF($S41="","",IF(INDEX('Master Tracker'!$G$6:$G$400,$S41)="","",INDEX('Master Tracker'!$G$6:$G$400,$S41)))</f>
        <v>Not Started</v>
      </c>
      <c r="G41" s="19">
        <f>IF($S41="","",IF(INDEX('Master Tracker'!$H$6:$H$400,$S41)="","",INDEX('Master Tracker'!$H$6:$H$400,$S41)))</f>
        <v>46313</v>
      </c>
      <c r="H41" s="19">
        <f>IF($S41="","",IF(INDEX('Master Tracker'!$I$6:$I$400,$S41)="","",INDEX('Master Tracker'!$I$6:$I$400,$S41)))</f>
        <v>46313</v>
      </c>
      <c r="I41" s="53">
        <f>IF($S41="","",IF(INDEX('Master Tracker'!$U$6:$U$400,$S41)="","",INDEX('Master Tracker'!$U$6:$U$400,$S41)))</f>
        <v>0</v>
      </c>
      <c r="J41" s="52" t="str">
        <f>IF($S41="","",IF(INDEX('Master Tracker'!$K$6:$K$400,$S41)="","",INDEX('Master Tracker'!$K$6:$K$400,$S41)))</f>
        <v>P3-01, P1-15</v>
      </c>
      <c r="K41" s="52" t="str">
        <f>IF($S41="","",IF(INDEX('Master Tracker'!$Y$6:$Y$400,$S41)="","",INDEX('Master Tracker'!$Y$6:$Y$400,$S41)))</f>
        <v>⏳ 2 open</v>
      </c>
      <c r="L41" s="52" t="str">
        <f>IF($S41="","",IF(INDEX('Master Tracker'!$M$6:$M$400,$S41)="","",INDEX('Master Tracker'!$M$6:$M$400,$S41)))</f>
        <v>template-parts/article/meta.php</v>
      </c>
      <c r="M41" s="52" t="str">
        <f>IF($S41="","",IF(INDEX('Master Tracker'!$O$6:$O$400,$S41)="","",INDEX('Master Tracker'!$O$6:$O$400,$S41)))</f>
        <v>Metadata accurate and localized</v>
      </c>
      <c r="N41" s="52" t="str">
        <f>IF($S41="","",IF(INDEX('Master Tracker'!$N$6:$N$400,$S41)="","",INDEX('Master Tracker'!$N$6:$N$400,$S41)))</f>
        <v>Compare metadata with WP admin values for 10 posts</v>
      </c>
      <c r="O41" s="7" t="str">
        <f>IF($S41="","",IF(INDEX('Master Tracker'!$T$6:$T$400,$S41)="","",INDEX('Master Tracker'!$T$6:$T$400,$S41)))</f>
        <v>Not Tested</v>
      </c>
      <c r="P41" s="7" t="str">
        <f ca="1">IF($S41="","",IF(INDEX('Master Tracker'!$AC$6:$AC$400,$S41)="","",INDEX('Master Tracker'!$AC$6:$AC$400,$S41)))</f>
        <v>On track</v>
      </c>
      <c r="S41">
        <f>IFERROR(MATCH("Phase 3|"&amp;A41,'Master Tracker'!$Z$6:$Z$400,0),"")</f>
        <v>43</v>
      </c>
    </row>
    <row r="42" spans="1:19" ht="48" customHeight="1" x14ac:dyDescent="0.3">
      <c r="A42" s="7">
        <v>3</v>
      </c>
      <c r="B42" s="51" t="str">
        <f>IF($S42="","",IF(INDEX('Master Tracker'!$A$6:$A$400,$S42)="","",INDEX('Master Tracker'!$A$6:$A$400,$S42)))</f>
        <v>P3-03</v>
      </c>
      <c r="C42" s="52" t="str">
        <f>IF($S42="","",IF(INDEX('Master Tracker'!$C$6:$C$400,$S42)="","",INDEX('Master Tracker'!$C$6:$C$400,$S42)))</f>
        <v>Legacy Content</v>
      </c>
      <c r="D42" s="52" t="str">
        <f>IF($S42="","",IF(INDEX('Master Tracker'!$D$6:$D$400,$S42)="","",INDEX('Master Tracker'!$D$6:$D$400,$S42)))</f>
        <v>Legacy JNews content &amp; shortcode rendering</v>
      </c>
      <c r="E42" s="7" t="str">
        <f>IF($S42="","",IF(INDEX('Master Tracker'!$F$6:$F$400,$S42)="","",INDEX('Master Tracker'!$F$6:$F$400,$S42)))</f>
        <v>P0</v>
      </c>
      <c r="F42" s="7" t="str">
        <f>IF($S42="","",IF(INDEX('Master Tracker'!$G$6:$G$400,$S42)="","",INDEX('Master Tracker'!$G$6:$G$400,$S42)))</f>
        <v>Not Started</v>
      </c>
      <c r="G42" s="19">
        <f>IF($S42="","",IF(INDEX('Master Tracker'!$H$6:$H$400,$S42)="","",INDEX('Master Tracker'!$H$6:$H$400,$S42)))</f>
        <v>46313</v>
      </c>
      <c r="H42" s="19">
        <f>IF($S42="","",IF(INDEX('Master Tracker'!$I$6:$I$400,$S42)="","",INDEX('Master Tracker'!$I$6:$I$400,$S42)))</f>
        <v>46313</v>
      </c>
      <c r="I42" s="53">
        <f>IF($S42="","",IF(INDEX('Master Tracker'!$U$6:$U$400,$S42)="","",INDEX('Master Tracker'!$U$6:$U$400,$S42)))</f>
        <v>0</v>
      </c>
      <c r="J42" s="52" t="str">
        <f>IF($S42="","",IF(INDEX('Master Tracker'!$K$6:$K$400,$S42)="","",INDEX('Master Tracker'!$K$6:$K$400,$S42)))</f>
        <v>P3-01, P6-04</v>
      </c>
      <c r="K42" s="52" t="str">
        <f>IF($S42="","",IF(INDEX('Master Tracker'!$Y$6:$Y$400,$S42)="","",INDEX('Master Tracker'!$Y$6:$Y$400,$S42)))</f>
        <v>⏳ 2 open</v>
      </c>
      <c r="L42" s="52" t="str">
        <f>IF($S42="","",IF(INDEX('Master Tracker'!$M$6:$M$400,$S42)="","",INDEX('Master Tracker'!$M$6:$M$400,$S42)))</f>
        <v>inc/legacy-shortcodes.php, assets/css/content.css</v>
      </c>
      <c r="M42" s="52" t="str">
        <f>IF($S42="","",IF(INDEX('Master Tracker'!$O$6:$O$400,$S42)="","",INDEX('Master Tracker'!$O$6:$O$400,$S42)))</f>
        <v>No raw shortcodes or broken legacy markup in any of the 2,645 articles</v>
      </c>
      <c r="N42" s="52" t="str">
        <f>IF($S42="","",IF(INDEX('Master Tracker'!$N$6:$N$400,$S42)="","",INDEX('Master Tracker'!$N$6:$N$400,$S42)))</f>
        <v>Open posts flagged in P6-04 audit; no raw [shortcodes] visible</v>
      </c>
      <c r="O42" s="7" t="str">
        <f>IF($S42="","",IF(INDEX('Master Tracker'!$T$6:$T$400,$S42)="","",INDEX('Master Tracker'!$T$6:$T$400,$S42)))</f>
        <v>Not Tested</v>
      </c>
      <c r="P42" s="7" t="str">
        <f ca="1">IF($S42="","",IF(INDEX('Master Tracker'!$AC$6:$AC$400,$S42)="","",INDEX('Master Tracker'!$AC$6:$AC$400,$S42)))</f>
        <v>On track</v>
      </c>
      <c r="S42">
        <f>IFERROR(MATCH("Phase 3|"&amp;A42,'Master Tracker'!$Z$6:$Z$400,0),"")</f>
        <v>44</v>
      </c>
    </row>
    <row r="43" spans="1:19" ht="48" customHeight="1" x14ac:dyDescent="0.3">
      <c r="A43" s="7">
        <v>4</v>
      </c>
      <c r="B43" s="51" t="str">
        <f>IF($S43="","",IF(INDEX('Master Tracker'!$A$6:$A$400,$S43)="","",INDEX('Master Tracker'!$A$6:$A$400,$S43)))</f>
        <v>P3-04</v>
      </c>
      <c r="C43" s="52" t="str">
        <f>IF($S43="","",IF(INDEX('Master Tracker'!$C$6:$C$400,$S43)="","",INDEX('Master Tracker'!$C$6:$C$400,$S43)))</f>
        <v>Engagement</v>
      </c>
      <c r="D43" s="52" t="str">
        <f>IF($S43="","",IF(INDEX('Master Tracker'!$D$6:$D$400,$S43)="","",INDEX('Master Tracker'!$D$6:$D$400,$S43)))</f>
        <v>Reading progress bar</v>
      </c>
      <c r="E43" s="7" t="str">
        <f>IF($S43="","",IF(INDEX('Master Tracker'!$F$6:$F$400,$S43)="","",INDEX('Master Tracker'!$F$6:$F$400,$S43)))</f>
        <v>P1</v>
      </c>
      <c r="F43" s="7" t="str">
        <f>IF($S43="","",IF(INDEX('Master Tracker'!$G$6:$G$400,$S43)="","",INDEX('Master Tracker'!$G$6:$G$400,$S43)))</f>
        <v>Not Started</v>
      </c>
      <c r="G43" s="19">
        <f>IF($S43="","",IF(INDEX('Master Tracker'!$H$6:$H$400,$S43)="","",INDEX('Master Tracker'!$H$6:$H$400,$S43)))</f>
        <v>46313</v>
      </c>
      <c r="H43" s="19">
        <f>IF($S43="","",IF(INDEX('Master Tracker'!$I$6:$I$400,$S43)="","",INDEX('Master Tracker'!$I$6:$I$400,$S43)))</f>
        <v>46313</v>
      </c>
      <c r="I43" s="53">
        <f>IF($S43="","",IF(INDEX('Master Tracker'!$U$6:$U$400,$S43)="","",INDEX('Master Tracker'!$U$6:$U$400,$S43)))</f>
        <v>0</v>
      </c>
      <c r="J43" s="52" t="str">
        <f>IF($S43="","",IF(INDEX('Master Tracker'!$K$6:$K$400,$S43)="","",INDEX('Master Tracker'!$K$6:$K$400,$S43)))</f>
        <v>P3-01</v>
      </c>
      <c r="K43" s="52" t="str">
        <f>IF($S43="","",IF(INDEX('Master Tracker'!$Y$6:$Y$400,$S43)="","",INDEX('Master Tracker'!$Y$6:$Y$400,$S43)))</f>
        <v>⏳ 1 open</v>
      </c>
      <c r="L43" s="52" t="str">
        <f>IF($S43="","",IF(INDEX('Master Tracker'!$M$6:$M$400,$S43)="","",INDEX('Master Tracker'!$M$6:$M$400,$S43)))</f>
        <v>assets/js/modules/progress.js</v>
      </c>
      <c r="M43" s="52" t="str">
        <f>IF($S43="","",IF(INDEX('Master Tracker'!$O$6:$O$400,$S43)="","",INDEX('Master Tracker'!$O$6:$O$400,$S43)))</f>
        <v>Progress bar accurate, smooth, RTL</v>
      </c>
      <c r="N43" s="52" t="str">
        <f>IF($S43="","",IF(INDEX('Master Tracker'!$N$6:$N$400,$S43)="","",INDEX('Master Tracker'!$N$6:$N$400,$S43)))</f>
        <v>Scroll long article; check direction and smoothness on mobile</v>
      </c>
      <c r="O43" s="7" t="str">
        <f>IF($S43="","",IF(INDEX('Master Tracker'!$T$6:$T$400,$S43)="","",INDEX('Master Tracker'!$T$6:$T$400,$S43)))</f>
        <v>Not Tested</v>
      </c>
      <c r="P43" s="7" t="str">
        <f ca="1">IF($S43="","",IF(INDEX('Master Tracker'!$AC$6:$AC$400,$S43)="","",INDEX('Master Tracker'!$AC$6:$AC$400,$S43)))</f>
        <v>On track</v>
      </c>
      <c r="S43">
        <f>IFERROR(MATCH("Phase 3|"&amp;A43,'Master Tracker'!$Z$6:$Z$400,0),"")</f>
        <v>45</v>
      </c>
    </row>
    <row r="44" spans="1:19" ht="48" customHeight="1" x14ac:dyDescent="0.3">
      <c r="A44" s="7">
        <v>5</v>
      </c>
      <c r="B44" s="51" t="str">
        <f>IF($S44="","",IF(INDEX('Master Tracker'!$A$6:$A$400,$S44)="","",INDEX('Master Tracker'!$A$6:$A$400,$S44)))</f>
        <v>P3-05</v>
      </c>
      <c r="C44" s="52" t="str">
        <f>IF($S44="","",IF(INDEX('Master Tracker'!$C$6:$C$400,$S44)="","",INDEX('Master Tracker'!$C$6:$C$400,$S44)))</f>
        <v>Engagement</v>
      </c>
      <c r="D44" s="52" t="str">
        <f>IF($S44="","",IF(INDEX('Master Tracker'!$D$6:$D$400,$S44)="","",INDEX('Master Tracker'!$D$6:$D$400,$S44)))</f>
        <v>Social sharing</v>
      </c>
      <c r="E44" s="7" t="str">
        <f>IF($S44="","",IF(INDEX('Master Tracker'!$F$6:$F$400,$S44)="","",INDEX('Master Tracker'!$F$6:$F$400,$S44)))</f>
        <v>P1</v>
      </c>
      <c r="F44" s="7" t="str">
        <f>IF($S44="","",IF(INDEX('Master Tracker'!$G$6:$G$400,$S44)="","",INDEX('Master Tracker'!$G$6:$G$400,$S44)))</f>
        <v>Not Started</v>
      </c>
      <c r="G44" s="19">
        <f>IF($S44="","",IF(INDEX('Master Tracker'!$H$6:$H$400,$S44)="","",INDEX('Master Tracker'!$H$6:$H$400,$S44)))</f>
        <v>46313</v>
      </c>
      <c r="H44" s="19">
        <f>IF($S44="","",IF(INDEX('Master Tracker'!$I$6:$I$400,$S44)="","",INDEX('Master Tracker'!$I$6:$I$400,$S44)))</f>
        <v>46313</v>
      </c>
      <c r="I44" s="53">
        <f>IF($S44="","",IF(INDEX('Master Tracker'!$U$6:$U$400,$S44)="","",INDEX('Master Tracker'!$U$6:$U$400,$S44)))</f>
        <v>0</v>
      </c>
      <c r="J44" s="52" t="str">
        <f>IF($S44="","",IF(INDEX('Master Tracker'!$K$6:$K$400,$S44)="","",INDEX('Master Tracker'!$K$6:$K$400,$S44)))</f>
        <v>P3-01</v>
      </c>
      <c r="K44" s="52" t="str">
        <f>IF($S44="","",IF(INDEX('Master Tracker'!$Y$6:$Y$400,$S44)="","",INDEX('Master Tracker'!$Y$6:$Y$400,$S44)))</f>
        <v>⏳ 1 open</v>
      </c>
      <c r="L44" s="52" t="str">
        <f>IF($S44="","",IF(INDEX('Master Tracker'!$M$6:$M$400,$S44)="","",INDEX('Master Tracker'!$M$6:$M$400,$S44)))</f>
        <v>template-parts/article/share.php, assets/js/modules/share.js</v>
      </c>
      <c r="M44" s="52" t="str">
        <f>IF($S44="","",IF(INDEX('Master Tracker'!$O$6:$O$400,$S44)="","",INDEX('Master Tracker'!$O$6:$O$400,$S44)))</f>
        <v>All share targets open with correct title and URL</v>
      </c>
      <c r="N44" s="52" t="str">
        <f>IF($S44="","",IF(INDEX('Master Tracker'!$N$6:$N$400,$S44)="","",INDEX('Master Tracker'!$N$6:$N$400,$S44)))</f>
        <v>Share each network; check URL encoding of Arabic titles</v>
      </c>
      <c r="O44" s="7" t="str">
        <f>IF($S44="","",IF(INDEX('Master Tracker'!$T$6:$T$400,$S44)="","",INDEX('Master Tracker'!$T$6:$T$400,$S44)))</f>
        <v>Not Tested</v>
      </c>
      <c r="P44" s="7" t="str">
        <f ca="1">IF($S44="","",IF(INDEX('Master Tracker'!$AC$6:$AC$400,$S44)="","",INDEX('Master Tracker'!$AC$6:$AC$400,$S44)))</f>
        <v>On track</v>
      </c>
      <c r="S44">
        <f>IFERROR(MATCH("Phase 3|"&amp;A44,'Master Tracker'!$Z$6:$Z$400,0),"")</f>
        <v>46</v>
      </c>
    </row>
    <row r="45" spans="1:19" ht="48" customHeight="1" x14ac:dyDescent="0.3">
      <c r="A45" s="7">
        <v>6</v>
      </c>
      <c r="B45" s="51" t="str">
        <f>IF($S45="","",IF(INDEX('Master Tracker'!$A$6:$A$400,$S45)="","",INDEX('Master Tracker'!$A$6:$A$400,$S45)))</f>
        <v>P3-06</v>
      </c>
      <c r="C45" s="52" t="str">
        <f>IF($S45="","",IF(INDEX('Master Tracker'!$C$6:$C$400,$S45)="","",INDEX('Master Tracker'!$C$6:$C$400,$S45)))</f>
        <v>AdOps</v>
      </c>
      <c r="D45" s="52" t="str">
        <f>IF($S45="","",IF(INDEX('Master Tracker'!$D$6:$D$400,$S45)="","",INDEX('Master Tracker'!$D$6:$D$400,$S45)))</f>
        <v>In-article advertisement injection</v>
      </c>
      <c r="E45" s="7" t="str">
        <f>IF($S45="","",IF(INDEX('Master Tracker'!$F$6:$F$400,$S45)="","",INDEX('Master Tracker'!$F$6:$F$400,$S45)))</f>
        <v>P1</v>
      </c>
      <c r="F45" s="7" t="str">
        <f>IF($S45="","",IF(INDEX('Master Tracker'!$G$6:$G$400,$S45)="","",INDEX('Master Tracker'!$G$6:$G$400,$S45)))</f>
        <v>Not Started</v>
      </c>
      <c r="G45" s="19">
        <f>IF($S45="","",IF(INDEX('Master Tracker'!$H$6:$H$400,$S45)="","",INDEX('Master Tracker'!$H$6:$H$400,$S45)))</f>
        <v>46313</v>
      </c>
      <c r="H45" s="19">
        <f>IF($S45="","",IF(INDEX('Master Tracker'!$I$6:$I$400,$S45)="","",INDEX('Master Tracker'!$I$6:$I$400,$S45)))</f>
        <v>46314</v>
      </c>
      <c r="I45" s="53">
        <f>IF($S45="","",IF(INDEX('Master Tracker'!$U$6:$U$400,$S45)="","",INDEX('Master Tracker'!$U$6:$U$400,$S45)))</f>
        <v>0</v>
      </c>
      <c r="J45" s="52" t="str">
        <f>IF($S45="","",IF(INDEX('Master Tracker'!$K$6:$K$400,$S45)="","",INDEX('Master Tracker'!$K$6:$K$400,$S45)))</f>
        <v>P3-01, P2-23</v>
      </c>
      <c r="K45" s="52" t="str">
        <f>IF($S45="","",IF(INDEX('Master Tracker'!$Y$6:$Y$400,$S45)="","",INDEX('Master Tracker'!$Y$6:$Y$400,$S45)))</f>
        <v>⏳ 2 open</v>
      </c>
      <c r="L45" s="52" t="str">
        <f>IF($S45="","",IF(INDEX('Master Tracker'!$M$6:$M$400,$S45)="","",INDEX('Master Tracker'!$M$6:$M$400,$S45)))</f>
        <v>inc/content-filters.php</v>
      </c>
      <c r="M45" s="52" t="str">
        <f>IF($S45="","",IF(INDEX('Master Tracker'!$O$6:$O$400,$S45)="","",INDEX('Master Tracker'!$O$6:$O$400,$S45)))</f>
        <v>Ads appear at configured positions without breaking content</v>
      </c>
      <c r="N45" s="52" t="str">
        <f>IF($S45="","",IF(INDEX('Master Tracker'!$N$6:$N$400,$S45)="","",INDEX('Master Tracker'!$N$6:$N$400,$S45)))</f>
        <v>Test short, long and embed-heavy articles</v>
      </c>
      <c r="O45" s="7" t="str">
        <f>IF($S45="","",IF(INDEX('Master Tracker'!$T$6:$T$400,$S45)="","",INDEX('Master Tracker'!$T$6:$T$400,$S45)))</f>
        <v>Not Tested</v>
      </c>
      <c r="P45" s="7" t="str">
        <f ca="1">IF($S45="","",IF(INDEX('Master Tracker'!$AC$6:$AC$400,$S45)="","",INDEX('Master Tracker'!$AC$6:$AC$400,$S45)))</f>
        <v>On track</v>
      </c>
      <c r="S45">
        <f>IFERROR(MATCH("Phase 3|"&amp;A45,'Master Tracker'!$Z$6:$Z$400,0),"")</f>
        <v>47</v>
      </c>
    </row>
    <row r="46" spans="1:19" ht="48" customHeight="1" x14ac:dyDescent="0.3">
      <c r="A46" s="7">
        <v>7</v>
      </c>
      <c r="B46" s="51" t="str">
        <f>IF($S46="","",IF(INDEX('Master Tracker'!$A$6:$A$400,$S46)="","",INDEX('Master Tracker'!$A$6:$A$400,$S46)))</f>
        <v>P3-07</v>
      </c>
      <c r="C46" s="52" t="str">
        <f>IF($S46="","",IF(INDEX('Master Tracker'!$C$6:$C$400,$S46)="","",INDEX('Master Tracker'!$C$6:$C$400,$S46)))</f>
        <v>Engagement</v>
      </c>
      <c r="D46" s="52" t="str">
        <f>IF($S46="","",IF(INDEX('Master Tracker'!$D$6:$D$400,$S46)="","",INDEX('Master Tracker'!$D$6:$D$400,$S46)))</f>
        <v>Related articles</v>
      </c>
      <c r="E46" s="7" t="str">
        <f>IF($S46="","",IF(INDEX('Master Tracker'!$F$6:$F$400,$S46)="","",INDEX('Master Tracker'!$F$6:$F$400,$S46)))</f>
        <v>P1</v>
      </c>
      <c r="F46" s="7" t="str">
        <f>IF($S46="","",IF(INDEX('Master Tracker'!$G$6:$G$400,$S46)="","",INDEX('Master Tracker'!$G$6:$G$400,$S46)))</f>
        <v>Not Started</v>
      </c>
      <c r="G46" s="19">
        <f>IF($S46="","",IF(INDEX('Master Tracker'!$H$6:$H$400,$S46)="","",INDEX('Master Tracker'!$H$6:$H$400,$S46)))</f>
        <v>46314</v>
      </c>
      <c r="H46" s="19">
        <f>IF($S46="","",IF(INDEX('Master Tracker'!$I$6:$I$400,$S46)="","",INDEX('Master Tracker'!$I$6:$I$400,$S46)))</f>
        <v>46314</v>
      </c>
      <c r="I46" s="53">
        <f>IF($S46="","",IF(INDEX('Master Tracker'!$U$6:$U$400,$S46)="","",INDEX('Master Tracker'!$U$6:$U$400,$S46)))</f>
        <v>0</v>
      </c>
      <c r="J46" s="52" t="str">
        <f>IF($S46="","",IF(INDEX('Master Tracker'!$K$6:$K$400,$S46)="","",INDEX('Master Tracker'!$K$6:$K$400,$S46)))</f>
        <v>P3-01, P1-14</v>
      </c>
      <c r="K46" s="52" t="str">
        <f>IF($S46="","",IF(INDEX('Master Tracker'!$Y$6:$Y$400,$S46)="","",INDEX('Master Tracker'!$Y$6:$Y$400,$S46)))</f>
        <v>⏳ 2 open</v>
      </c>
      <c r="L46" s="52" t="str">
        <f>IF($S46="","",IF(INDEX('Master Tracker'!$M$6:$M$400,$S46)="","",INDEX('Master Tracker'!$M$6:$M$400,$S46)))</f>
        <v>template-parts/article/related.php</v>
      </c>
      <c r="M46" s="52" t="str">
        <f>IF($S46="","",IF(INDEX('Master Tracker'!$O$6:$O$400,$S46)="","",INDEX('Master Tracker'!$O$6:$O$400,$S46)))</f>
        <v>Related list relevant and cached</v>
      </c>
      <c r="N46" s="52" t="str">
        <f>IF($S46="","",IF(INDEX('Master Tracker'!$N$6:$N$400,$S46)="","",INDEX('Master Tracker'!$N$6:$N$400,$S46)))</f>
        <v>Check relevance on 5 posts; check cache</v>
      </c>
      <c r="O46" s="7" t="str">
        <f>IF($S46="","",IF(INDEX('Master Tracker'!$T$6:$T$400,$S46)="","",INDEX('Master Tracker'!$T$6:$T$400,$S46)))</f>
        <v>Not Tested</v>
      </c>
      <c r="P46" s="7" t="str">
        <f ca="1">IF($S46="","",IF(INDEX('Master Tracker'!$AC$6:$AC$400,$S46)="","",INDEX('Master Tracker'!$AC$6:$AC$400,$S46)))</f>
        <v>On track</v>
      </c>
      <c r="S46">
        <f>IFERROR(MATCH("Phase 3|"&amp;A46,'Master Tracker'!$Z$6:$Z$400,0),"")</f>
        <v>48</v>
      </c>
    </row>
    <row r="47" spans="1:19" ht="48" customHeight="1" x14ac:dyDescent="0.3">
      <c r="A47" s="7">
        <v>8</v>
      </c>
      <c r="B47" s="51" t="str">
        <f>IF($S47="","",IF(INDEX('Master Tracker'!$A$6:$A$400,$S47)="","",INDEX('Master Tracker'!$A$6:$A$400,$S47)))</f>
        <v>P3-08</v>
      </c>
      <c r="C47" s="52" t="str">
        <f>IF($S47="","",IF(INDEX('Master Tracker'!$C$6:$C$400,$S47)="","",INDEX('Master Tracker'!$C$6:$C$400,$S47)))</f>
        <v>Author Profiles</v>
      </c>
      <c r="D47" s="52" t="str">
        <f>IF($S47="","",IF(INDEX('Master Tracker'!$D$6:$D$400,$S47)="","",INDEX('Master Tracker'!$D$6:$D$400,$S47)))</f>
        <v>Author box &amp; author profile template</v>
      </c>
      <c r="E47" s="7" t="str">
        <f>IF($S47="","",IF(INDEX('Master Tracker'!$F$6:$F$400,$S47)="","",INDEX('Master Tracker'!$F$6:$F$400,$S47)))</f>
        <v>P0</v>
      </c>
      <c r="F47" s="7" t="str">
        <f>IF($S47="","",IF(INDEX('Master Tracker'!$G$6:$G$400,$S47)="","",INDEX('Master Tracker'!$G$6:$G$400,$S47)))</f>
        <v>Not Started</v>
      </c>
      <c r="G47" s="19">
        <f>IF($S47="","",IF(INDEX('Master Tracker'!$H$6:$H$400,$S47)="","",INDEX('Master Tracker'!$H$6:$H$400,$S47)))</f>
        <v>46314</v>
      </c>
      <c r="H47" s="19">
        <f>IF($S47="","",IF(INDEX('Master Tracker'!$I$6:$I$400,$S47)="","",INDEX('Master Tracker'!$I$6:$I$400,$S47)))</f>
        <v>46314</v>
      </c>
      <c r="I47" s="53">
        <f>IF($S47="","",IF(INDEX('Master Tracker'!$U$6:$U$400,$S47)="","",INDEX('Master Tracker'!$U$6:$U$400,$S47)))</f>
        <v>0</v>
      </c>
      <c r="J47" s="52" t="str">
        <f>IF($S47="","",IF(INDEX('Master Tracker'!$K$6:$K$400,$S47)="","",INDEX('Master Tracker'!$K$6:$K$400,$S47)))</f>
        <v>P1-06</v>
      </c>
      <c r="K47" s="52" t="str">
        <f>IF($S47="","",IF(INDEX('Master Tracker'!$Y$6:$Y$400,$S47)="","",INDEX('Master Tracker'!$Y$6:$Y$400,$S47)))</f>
        <v>⏳ 1 open</v>
      </c>
      <c r="L47" s="52" t="str">
        <f>IF($S47="","",IF(INDEX('Master Tracker'!$M$6:$M$400,$S47)="","",INDEX('Master Tracker'!$M$6:$M$400,$S47)))</f>
        <v>author.php, template-parts/article/author-box.php</v>
      </c>
      <c r="M47" s="52" t="str">
        <f>IF($S47="","",IF(INDEX('Master Tracker'!$O$6:$O$400,$S47)="","",INDEX('Master Tracker'!$O$6:$O$400,$S47)))</f>
        <v>Every author has a working profile page</v>
      </c>
      <c r="N47" s="52" t="str">
        <f>IF($S47="","",IF(INDEX('Master Tracker'!$N$6:$N$400,$S47)="","",INDEX('Master Tracker'!$N$6:$N$400,$S47)))</f>
        <v>Open 5 author pages incl. one with no bio/avatar</v>
      </c>
      <c r="O47" s="7" t="str">
        <f>IF($S47="","",IF(INDEX('Master Tracker'!$T$6:$T$400,$S47)="","",INDEX('Master Tracker'!$T$6:$T$400,$S47)))</f>
        <v>Not Tested</v>
      </c>
      <c r="P47" s="7" t="str">
        <f ca="1">IF($S47="","",IF(INDEX('Master Tracker'!$AC$6:$AC$400,$S47)="","",INDEX('Master Tracker'!$AC$6:$AC$400,$S47)))</f>
        <v>On track</v>
      </c>
      <c r="S47">
        <f>IFERROR(MATCH("Phase 3|"&amp;A47,'Master Tracker'!$Z$6:$Z$400,0),"")</f>
        <v>49</v>
      </c>
    </row>
    <row r="48" spans="1:19" ht="48" customHeight="1" x14ac:dyDescent="0.3">
      <c r="A48" s="7">
        <v>9</v>
      </c>
      <c r="B48" s="51" t="str">
        <f>IF($S48="","",IF(INDEX('Master Tracker'!$A$6:$A$400,$S48)="","",INDEX('Master Tracker'!$A$6:$A$400,$S48)))</f>
        <v>P3-09</v>
      </c>
      <c r="C48" s="52" t="str">
        <f>IF($S48="","",IF(INDEX('Master Tracker'!$C$6:$C$400,$S48)="","",INDEX('Master Tracker'!$C$6:$C$400,$S48)))</f>
        <v>Category Archives</v>
      </c>
      <c r="D48" s="52" t="str">
        <f>IF($S48="","",IF(INDEX('Master Tracker'!$D$6:$D$400,$S48)="","",INDEX('Master Tracker'!$D$6:$D$400,$S48)))</f>
        <v>Category archive template</v>
      </c>
      <c r="E48" s="7" t="str">
        <f>IF($S48="","",IF(INDEX('Master Tracker'!$F$6:$F$400,$S48)="","",INDEX('Master Tracker'!$F$6:$F$400,$S48)))</f>
        <v>P0</v>
      </c>
      <c r="F48" s="7" t="str">
        <f>IF($S48="","",IF(INDEX('Master Tracker'!$G$6:$G$400,$S48)="","",INDEX('Master Tracker'!$G$6:$G$400,$S48)))</f>
        <v>Not Started</v>
      </c>
      <c r="G48" s="19">
        <f>IF($S48="","",IF(INDEX('Master Tracker'!$H$6:$H$400,$S48)="","",INDEX('Master Tracker'!$H$6:$H$400,$S48)))</f>
        <v>46314</v>
      </c>
      <c r="H48" s="19">
        <f>IF($S48="","",IF(INDEX('Master Tracker'!$I$6:$I$400,$S48)="","",INDEX('Master Tracker'!$I$6:$I$400,$S48)))</f>
        <v>46314</v>
      </c>
      <c r="I48" s="53">
        <f>IF($S48="","",IF(INDEX('Master Tracker'!$U$6:$U$400,$S48)="","",INDEX('Master Tracker'!$U$6:$U$400,$S48)))</f>
        <v>0</v>
      </c>
      <c r="J48" s="52" t="str">
        <f>IF($S48="","",IF(INDEX('Master Tracker'!$K$6:$K$400,$S48)="","",INDEX('Master Tracker'!$K$6:$K$400,$S48)))</f>
        <v>P1-06</v>
      </c>
      <c r="K48" s="52" t="str">
        <f>IF($S48="","",IF(INDEX('Master Tracker'!$Y$6:$Y$400,$S48)="","",INDEX('Master Tracker'!$Y$6:$Y$400,$S48)))</f>
        <v>⏳ 1 open</v>
      </c>
      <c r="L48" s="52" t="str">
        <f>IF($S48="","",IF(INDEX('Master Tracker'!$M$6:$M$400,$S48)="","",INDEX('Master Tracker'!$M$6:$M$400,$S48)))</f>
        <v>category.php, archive.php</v>
      </c>
      <c r="M48" s="52" t="str">
        <f>IF($S48="","",IF(INDEX('Master Tracker'!$O$6:$O$400,$S48)="","",INDEX('Master Tracker'!$O$6:$O$400,$S48)))</f>
        <v>All categories render with correct posts and SEO-friendly URLs</v>
      </c>
      <c r="N48" s="52" t="str">
        <f>IF($S48="","",IF(INDEX('Master Tracker'!$N$6:$N$400,$S48)="","",INDEX('Master Tracker'!$N$6:$N$400,$S48)))</f>
        <v>Check every top-level category and 3 subcategories</v>
      </c>
      <c r="O48" s="7" t="str">
        <f>IF($S48="","",IF(INDEX('Master Tracker'!$T$6:$T$400,$S48)="","",INDEX('Master Tracker'!$T$6:$T$400,$S48)))</f>
        <v>Not Tested</v>
      </c>
      <c r="P48" s="7" t="str">
        <f ca="1">IF($S48="","",IF(INDEX('Master Tracker'!$AC$6:$AC$400,$S48)="","",INDEX('Master Tracker'!$AC$6:$AC$400,$S48)))</f>
        <v>On track</v>
      </c>
      <c r="S48">
        <f>IFERROR(MATCH("Phase 3|"&amp;A48,'Master Tracker'!$Z$6:$Z$400,0),"")</f>
        <v>50</v>
      </c>
    </row>
    <row r="49" spans="1:19" ht="48" customHeight="1" x14ac:dyDescent="0.3">
      <c r="A49" s="7">
        <v>10</v>
      </c>
      <c r="B49" s="51" t="str">
        <f>IF($S49="","",IF(INDEX('Master Tracker'!$A$6:$A$400,$S49)="","",INDEX('Master Tracker'!$A$6:$A$400,$S49)))</f>
        <v>P3-10</v>
      </c>
      <c r="C49" s="52" t="str">
        <f>IF($S49="","",IF(INDEX('Master Tracker'!$C$6:$C$400,$S49)="","",INDEX('Master Tracker'!$C$6:$C$400,$S49)))</f>
        <v>Taxonomy</v>
      </c>
      <c r="D49" s="52" t="str">
        <f>IF($S49="","",IF(INDEX('Master Tracker'!$D$6:$D$400,$S49)="","",INDEX('Master Tracker'!$D$6:$D$400,$S49)))</f>
        <v>Tag archive, search results &amp; 404</v>
      </c>
      <c r="E49" s="7" t="str">
        <f>IF($S49="","",IF(INDEX('Master Tracker'!$F$6:$F$400,$S49)="","",INDEX('Master Tracker'!$F$6:$F$400,$S49)))</f>
        <v>P1</v>
      </c>
      <c r="F49" s="7" t="str">
        <f>IF($S49="","",IF(INDEX('Master Tracker'!$G$6:$G$400,$S49)="","",INDEX('Master Tracker'!$G$6:$G$400,$S49)))</f>
        <v>Not Started</v>
      </c>
      <c r="G49" s="19">
        <f>IF($S49="","",IF(INDEX('Master Tracker'!$H$6:$H$400,$S49)="","",INDEX('Master Tracker'!$H$6:$H$400,$S49)))</f>
        <v>46314</v>
      </c>
      <c r="H49" s="19">
        <f>IF($S49="","",IF(INDEX('Master Tracker'!$I$6:$I$400,$S49)="","",INDEX('Master Tracker'!$I$6:$I$400,$S49)))</f>
        <v>46314</v>
      </c>
      <c r="I49" s="53">
        <f>IF($S49="","",IF(INDEX('Master Tracker'!$U$6:$U$400,$S49)="","",INDEX('Master Tracker'!$U$6:$U$400,$S49)))</f>
        <v>0</v>
      </c>
      <c r="J49" s="52" t="str">
        <f>IF($S49="","",IF(INDEX('Master Tracker'!$K$6:$K$400,$S49)="","",INDEX('Master Tracker'!$K$6:$K$400,$S49)))</f>
        <v>P3-09</v>
      </c>
      <c r="K49" s="52" t="str">
        <f>IF($S49="","",IF(INDEX('Master Tracker'!$Y$6:$Y$400,$S49)="","",INDEX('Master Tracker'!$Y$6:$Y$400,$S49)))</f>
        <v>⏳ 1 open</v>
      </c>
      <c r="L49" s="52" t="str">
        <f>IF($S49="","",IF(INDEX('Master Tracker'!$M$6:$M$400,$S49)="","",INDEX('Master Tracker'!$M$6:$M$400,$S49)))</f>
        <v>tag.php, search.php, 404.php</v>
      </c>
      <c r="M49" s="52" t="str">
        <f>IF($S49="","",IF(INDEX('Master Tracker'!$O$6:$O$400,$S49)="","",INDEX('Master Tracker'!$O$6:$O$400,$S49)))</f>
        <v>Search returns relevant results; 404 helpful</v>
      </c>
      <c r="N49" s="52" t="str">
        <f>IF($S49="","",IF(INDEX('Master Tracker'!$N$6:$N$400,$S49)="","",INDEX('Master Tracker'!$N$6:$N$400,$S49)))</f>
        <v>Search Arabic terms; visit unknown URL</v>
      </c>
      <c r="O49" s="7" t="str">
        <f>IF($S49="","",IF(INDEX('Master Tracker'!$T$6:$T$400,$S49)="","",INDEX('Master Tracker'!$T$6:$T$400,$S49)))</f>
        <v>Not Tested</v>
      </c>
      <c r="P49" s="7" t="str">
        <f ca="1">IF($S49="","",IF(INDEX('Master Tracker'!$AC$6:$AC$400,$S49)="","",INDEX('Master Tracker'!$AC$6:$AC$400,$S49)))</f>
        <v>On track</v>
      </c>
      <c r="S49">
        <f>IFERROR(MATCH("Phase 3|"&amp;A49,'Master Tracker'!$Z$6:$Z$400,0),"")</f>
        <v>51</v>
      </c>
    </row>
    <row r="50" spans="1:19" ht="48" customHeight="1" x14ac:dyDescent="0.3">
      <c r="A50" s="7">
        <v>11</v>
      </c>
      <c r="B50" s="51" t="str">
        <f>IF($S50="","",IF(INDEX('Master Tracker'!$A$6:$A$400,$S50)="","",INDEX('Master Tracker'!$A$6:$A$400,$S50)))</f>
        <v>P3-11</v>
      </c>
      <c r="C50" s="52" t="str">
        <f>IF($S50="","",IF(INDEX('Master Tracker'!$C$6:$C$400,$S50)="","",INDEX('Master Tracker'!$C$6:$C$400,$S50)))</f>
        <v>AJAX Filtering</v>
      </c>
      <c r="D50" s="52" t="str">
        <f>IF($S50="","",IF(INDEX('Master Tracker'!$D$6:$D$400,$S50)="","",INDEX('Master Tracker'!$D$6:$D$400,$S50)))</f>
        <v>AJAX archive filtering</v>
      </c>
      <c r="E50" s="7" t="str">
        <f>IF($S50="","",IF(INDEX('Master Tracker'!$F$6:$F$400,$S50)="","",INDEX('Master Tracker'!$F$6:$F$400,$S50)))</f>
        <v>P1</v>
      </c>
      <c r="F50" s="7" t="str">
        <f>IF($S50="","",IF(INDEX('Master Tracker'!$G$6:$G$400,$S50)="","",INDEX('Master Tracker'!$G$6:$G$400,$S50)))</f>
        <v>Not Started</v>
      </c>
      <c r="G50" s="19">
        <f>IF($S50="","",IF(INDEX('Master Tracker'!$H$6:$H$400,$S50)="","",INDEX('Master Tracker'!$H$6:$H$400,$S50)))</f>
        <v>46314</v>
      </c>
      <c r="H50" s="19">
        <f>IF($S50="","",IF(INDEX('Master Tracker'!$I$6:$I$400,$S50)="","",INDEX('Master Tracker'!$I$6:$I$400,$S50)))</f>
        <v>46315</v>
      </c>
      <c r="I50" s="53">
        <f>IF($S50="","",IF(INDEX('Master Tracker'!$U$6:$U$400,$S50)="","",INDEX('Master Tracker'!$U$6:$U$400,$S50)))</f>
        <v>0</v>
      </c>
      <c r="J50" s="52" t="str">
        <f>IF($S50="","",IF(INDEX('Master Tracker'!$K$6:$K$400,$S50)="","",INDEX('Master Tracker'!$K$6:$K$400,$S50)))</f>
        <v>P3-09</v>
      </c>
      <c r="K50" s="52" t="str">
        <f>IF($S50="","",IF(INDEX('Master Tracker'!$Y$6:$Y$400,$S50)="","",INDEX('Master Tracker'!$Y$6:$Y$400,$S50)))</f>
        <v>⏳ 1 open</v>
      </c>
      <c r="L50" s="52" t="str">
        <f>IF($S50="","",IF(INDEX('Master Tracker'!$M$6:$M$400,$S50)="","",INDEX('Master Tracker'!$M$6:$M$400,$S50)))</f>
        <v>inc/rest/archive-filter.php, assets/js/modules/filter.js</v>
      </c>
      <c r="M50" s="52" t="str">
        <f>IF($S50="","",IF(INDEX('Master Tracker'!$O$6:$O$400,$S50)="","",INDEX('Master Tracker'!$O$6:$O$400,$S50)))</f>
        <v>Filtering fast (&lt; 500 ms server), shareable URLs, works without JS</v>
      </c>
      <c r="N50" s="52" t="str">
        <f>IF($S50="","",IF(INDEX('Master Tracker'!$N$6:$N$400,$S50)="","",INDEX('Master Tracker'!$N$6:$N$400,$S50)))</f>
        <v>Apply filters; use back button; disable JS and confirm links still work</v>
      </c>
      <c r="O50" s="7" t="str">
        <f>IF($S50="","",IF(INDEX('Master Tracker'!$T$6:$T$400,$S50)="","",INDEX('Master Tracker'!$T$6:$T$400,$S50)))</f>
        <v>Not Tested</v>
      </c>
      <c r="P50" s="7" t="str">
        <f ca="1">IF($S50="","",IF(INDEX('Master Tracker'!$AC$6:$AC$400,$S50)="","",INDEX('Master Tracker'!$AC$6:$AC$400,$S50)))</f>
        <v>On track</v>
      </c>
      <c r="S50">
        <f>IFERROR(MATCH("Phase 3|"&amp;A50,'Master Tracker'!$Z$6:$Z$400,0),"")</f>
        <v>52</v>
      </c>
    </row>
    <row r="51" spans="1:19" ht="48" customHeight="1" x14ac:dyDescent="0.3">
      <c r="A51" s="7">
        <v>12</v>
      </c>
      <c r="B51" s="51" t="str">
        <f>IF($S51="","",IF(INDEX('Master Tracker'!$A$6:$A$400,$S51)="","",INDEX('Master Tracker'!$A$6:$A$400,$S51)))</f>
        <v>P3-12</v>
      </c>
      <c r="C51" s="52" t="str">
        <f>IF($S51="","",IF(INDEX('Master Tracker'!$C$6:$C$400,$S51)="","",INDEX('Master Tracker'!$C$6:$C$400,$S51)))</f>
        <v>Archive UX</v>
      </c>
      <c r="D51" s="52" t="str">
        <f>IF($S51="","",IF(INDEX('Master Tracker'!$D$6:$D$400,$S51)="","",INDEX('Master Tracker'!$D$6:$D$400,$S51)))</f>
        <v>Grid / list view switching</v>
      </c>
      <c r="E51" s="7" t="str">
        <f>IF($S51="","",IF(INDEX('Master Tracker'!$F$6:$F$400,$S51)="","",INDEX('Master Tracker'!$F$6:$F$400,$S51)))</f>
        <v>P2</v>
      </c>
      <c r="F51" s="7" t="str">
        <f>IF($S51="","",IF(INDEX('Master Tracker'!$G$6:$G$400,$S51)="","",INDEX('Master Tracker'!$G$6:$G$400,$S51)))</f>
        <v>Not Started</v>
      </c>
      <c r="G51" s="19">
        <f>IF($S51="","",IF(INDEX('Master Tracker'!$H$6:$H$400,$S51)="","",INDEX('Master Tracker'!$H$6:$H$400,$S51)))</f>
        <v>46315</v>
      </c>
      <c r="H51" s="19">
        <f>IF($S51="","",IF(INDEX('Master Tracker'!$I$6:$I$400,$S51)="","",INDEX('Master Tracker'!$I$6:$I$400,$S51)))</f>
        <v>46315</v>
      </c>
      <c r="I51" s="53">
        <f>IF($S51="","",IF(INDEX('Master Tracker'!$U$6:$U$400,$S51)="","",INDEX('Master Tracker'!$U$6:$U$400,$S51)))</f>
        <v>0</v>
      </c>
      <c r="J51" s="52" t="str">
        <f>IF($S51="","",IF(INDEX('Master Tracker'!$K$6:$K$400,$S51)="","",INDEX('Master Tracker'!$K$6:$K$400,$S51)))</f>
        <v>P3-09</v>
      </c>
      <c r="K51" s="52" t="str">
        <f>IF($S51="","",IF(INDEX('Master Tracker'!$Y$6:$Y$400,$S51)="","",INDEX('Master Tracker'!$Y$6:$Y$400,$S51)))</f>
        <v>⏳ 1 open</v>
      </c>
      <c r="L51" s="52" t="str">
        <f>IF($S51="","",IF(INDEX('Master Tracker'!$M$6:$M$400,$S51)="","",INDEX('Master Tracker'!$M$6:$M$400,$S51)))</f>
        <v>assets/js/modules/view-toggle.js</v>
      </c>
      <c r="M51" s="52" t="str">
        <f>IF($S51="","",IF(INDEX('Master Tracker'!$O$6:$O$400,$S51)="","",INDEX('Master Tracker'!$O$6:$O$400,$S51)))</f>
        <v>Toggle works on all archives</v>
      </c>
      <c r="N51" s="52" t="str">
        <f>IF($S51="","",IF(INDEX('Master Tracker'!$N$6:$N$400,$S51)="","",INDEX('Master Tracker'!$N$6:$N$400,$S51)))</f>
        <v>Toggle on archive; reload page; preference kept</v>
      </c>
      <c r="O51" s="7" t="str">
        <f>IF($S51="","",IF(INDEX('Master Tracker'!$T$6:$T$400,$S51)="","",INDEX('Master Tracker'!$T$6:$T$400,$S51)))</f>
        <v>Not Tested</v>
      </c>
      <c r="P51" s="7" t="str">
        <f ca="1">IF($S51="","",IF(INDEX('Master Tracker'!$AC$6:$AC$400,$S51)="","",INDEX('Master Tracker'!$AC$6:$AC$400,$S51)))</f>
        <v>On track</v>
      </c>
      <c r="S51">
        <f>IFERROR(MATCH("Phase 3|"&amp;A51,'Master Tracker'!$Z$6:$Z$400,0),"")</f>
        <v>53</v>
      </c>
    </row>
    <row r="52" spans="1:19" ht="48" customHeight="1" x14ac:dyDescent="0.3">
      <c r="A52" s="7">
        <v>13</v>
      </c>
      <c r="B52" s="51" t="str">
        <f>IF($S52="","",IF(INDEX('Master Tracker'!$A$6:$A$400,$S52)="","",INDEX('Master Tracker'!$A$6:$A$400,$S52)))</f>
        <v>P3-13</v>
      </c>
      <c r="C52" s="52" t="str">
        <f>IF($S52="","",IF(INDEX('Master Tracker'!$C$6:$C$400,$S52)="","",INDEX('Master Tracker'!$C$6:$C$400,$S52)))</f>
        <v>Pagination</v>
      </c>
      <c r="D52" s="52" t="str">
        <f>IF($S52="","",IF(INDEX('Master Tracker'!$D$6:$D$400,$S52)="","",INDEX('Master Tracker'!$D$6:$D$400,$S52)))</f>
        <v>Pagination</v>
      </c>
      <c r="E52" s="7" t="str">
        <f>IF($S52="","",IF(INDEX('Master Tracker'!$F$6:$F$400,$S52)="","",INDEX('Master Tracker'!$F$6:$F$400,$S52)))</f>
        <v>P0</v>
      </c>
      <c r="F52" s="7" t="str">
        <f>IF($S52="","",IF(INDEX('Master Tracker'!$G$6:$G$400,$S52)="","",INDEX('Master Tracker'!$G$6:$G$400,$S52)))</f>
        <v>Not Started</v>
      </c>
      <c r="G52" s="19">
        <f>IF($S52="","",IF(INDEX('Master Tracker'!$H$6:$H$400,$S52)="","",INDEX('Master Tracker'!$H$6:$H$400,$S52)))</f>
        <v>46315</v>
      </c>
      <c r="H52" s="19">
        <f>IF($S52="","",IF(INDEX('Master Tracker'!$I$6:$I$400,$S52)="","",INDEX('Master Tracker'!$I$6:$I$400,$S52)))</f>
        <v>46315</v>
      </c>
      <c r="I52" s="53">
        <f>IF($S52="","",IF(INDEX('Master Tracker'!$U$6:$U$400,$S52)="","",INDEX('Master Tracker'!$U$6:$U$400,$S52)))</f>
        <v>0</v>
      </c>
      <c r="J52" s="52" t="str">
        <f>IF($S52="","",IF(INDEX('Master Tracker'!$K$6:$K$400,$S52)="","",INDEX('Master Tracker'!$K$6:$K$400,$S52)))</f>
        <v>P3-09</v>
      </c>
      <c r="K52" s="52" t="str">
        <f>IF($S52="","",IF(INDEX('Master Tracker'!$Y$6:$Y$400,$S52)="","",INDEX('Master Tracker'!$Y$6:$Y$400,$S52)))</f>
        <v>⏳ 1 open</v>
      </c>
      <c r="L52" s="52" t="str">
        <f>IF($S52="","",IF(INDEX('Master Tracker'!$M$6:$M$400,$S52)="","",INDEX('Master Tracker'!$M$6:$M$400,$S52)))</f>
        <v>template-parts/components/pagination.php</v>
      </c>
      <c r="M52" s="52" t="str">
        <f>IF($S52="","",IF(INDEX('Master Tracker'!$O$6:$O$400,$S52)="","",INDEX('Master Tracker'!$O$6:$O$400,$S52)))</f>
        <v>Pagination works on all archives without duplicate content issues</v>
      </c>
      <c r="N52" s="52" t="str">
        <f>IF($S52="","",IF(INDEX('Master Tracker'!$N$6:$N$400,$S52)="","",INDEX('Master Tracker'!$N$6:$N$400,$S52)))</f>
        <v>Navigate to last page of large category; check rel/canonical</v>
      </c>
      <c r="O52" s="7" t="str">
        <f>IF($S52="","",IF(INDEX('Master Tracker'!$T$6:$T$400,$S52)="","",INDEX('Master Tracker'!$T$6:$T$400,$S52)))</f>
        <v>Not Tested</v>
      </c>
      <c r="P52" s="7" t="str">
        <f ca="1">IF($S52="","",IF(INDEX('Master Tracker'!$AC$6:$AC$400,$S52)="","",INDEX('Master Tracker'!$AC$6:$AC$400,$S52)))</f>
        <v>On track</v>
      </c>
      <c r="S52">
        <f>IFERROR(MATCH("Phase 3|"&amp;A52,'Master Tracker'!$Z$6:$Z$400,0),"")</f>
        <v>54</v>
      </c>
    </row>
    <row r="53" spans="1:19" ht="48" customHeight="1" x14ac:dyDescent="0.3">
      <c r="A53" s="7">
        <v>14</v>
      </c>
      <c r="B53" s="51" t="str">
        <f>IF($S53="","",IF(INDEX('Master Tracker'!$A$6:$A$400,$S53)="","",INDEX('Master Tracker'!$A$6:$A$400,$S53)))</f>
        <v>P3-14</v>
      </c>
      <c r="C53" s="52" t="str">
        <f>IF($S53="","",IF(INDEX('Master Tracker'!$C$6:$C$400,$S53)="","",INDEX('Master Tracker'!$C$6:$C$400,$S53)))</f>
        <v>Print</v>
      </c>
      <c r="D53" s="52" t="str">
        <f>IF($S53="","",IF(INDEX('Master Tracker'!$D$6:$D$400,$S53)="","",INDEX('Master Tracker'!$D$6:$D$400,$S53)))</f>
        <v>Print stylesheet</v>
      </c>
      <c r="E53" s="7" t="str">
        <f>IF($S53="","",IF(INDEX('Master Tracker'!$F$6:$F$400,$S53)="","",INDEX('Master Tracker'!$F$6:$F$400,$S53)))</f>
        <v>P2</v>
      </c>
      <c r="F53" s="7" t="str">
        <f>IF($S53="","",IF(INDEX('Master Tracker'!$G$6:$G$400,$S53)="","",INDEX('Master Tracker'!$G$6:$G$400,$S53)))</f>
        <v>Not Started</v>
      </c>
      <c r="G53" s="19">
        <f>IF($S53="","",IF(INDEX('Master Tracker'!$H$6:$H$400,$S53)="","",INDEX('Master Tracker'!$H$6:$H$400,$S53)))</f>
        <v>46315</v>
      </c>
      <c r="H53" s="19">
        <f>IF($S53="","",IF(INDEX('Master Tracker'!$I$6:$I$400,$S53)="","",INDEX('Master Tracker'!$I$6:$I$400,$S53)))</f>
        <v>46315</v>
      </c>
      <c r="I53" s="53">
        <f>IF($S53="","",IF(INDEX('Master Tracker'!$U$6:$U$400,$S53)="","",INDEX('Master Tracker'!$U$6:$U$400,$S53)))</f>
        <v>0</v>
      </c>
      <c r="J53" s="52" t="str">
        <f>IF($S53="","",IF(INDEX('Master Tracker'!$K$6:$K$400,$S53)="","",INDEX('Master Tracker'!$K$6:$K$400,$S53)))</f>
        <v>P3-01</v>
      </c>
      <c r="K53" s="52" t="str">
        <f>IF($S53="","",IF(INDEX('Master Tracker'!$Y$6:$Y$400,$S53)="","",INDEX('Master Tracker'!$Y$6:$Y$400,$S53)))</f>
        <v>⏳ 1 open</v>
      </c>
      <c r="L53" s="52" t="str">
        <f>IF($S53="","",IF(INDEX('Master Tracker'!$M$6:$M$400,$S53)="","",INDEX('Master Tracker'!$M$6:$M$400,$S53)))</f>
        <v>assets/css/print.css</v>
      </c>
      <c r="M53" s="52" t="str">
        <f>IF($S53="","",IF(INDEX('Master Tracker'!$O$6:$O$400,$S53)="","",INDEX('Master Tracker'!$O$6:$O$400,$S53)))</f>
        <v>Clean printable article</v>
      </c>
      <c r="N53" s="52" t="str">
        <f>IF($S53="","",IF(INDEX('Master Tracker'!$N$6:$N$400,$S53)="","",INDEX('Master Tracker'!$N$6:$N$400,$S53)))</f>
        <v>Print preview article in Chrome and Safari</v>
      </c>
      <c r="O53" s="7" t="str">
        <f>IF($S53="","",IF(INDEX('Master Tracker'!$T$6:$T$400,$S53)="","",INDEX('Master Tracker'!$T$6:$T$400,$S53)))</f>
        <v>Not Tested</v>
      </c>
      <c r="P53" s="7" t="str">
        <f ca="1">IF($S53="","",IF(INDEX('Master Tracker'!$AC$6:$AC$400,$S53)="","",INDEX('Master Tracker'!$AC$6:$AC$400,$S53)))</f>
        <v>On track</v>
      </c>
      <c r="S53">
        <f>IFERROR(MATCH("Phase 3|"&amp;A53,'Master Tracker'!$Z$6:$Z$400,0),"")</f>
        <v>55</v>
      </c>
    </row>
    <row r="54" spans="1:19" ht="48" customHeight="1" x14ac:dyDescent="0.3">
      <c r="A54" s="7">
        <v>15</v>
      </c>
      <c r="B54" s="51" t="str">
        <f>IF($S54="","",IF(INDEX('Master Tracker'!$A$6:$A$400,$S54)="","",INDEX('Master Tracker'!$A$6:$A$400,$S54)))</f>
        <v>P3-15</v>
      </c>
      <c r="C54" s="52" t="str">
        <f>IF($S54="","",IF(INDEX('Master Tracker'!$C$6:$C$400,$S54)="","",INDEX('Master Tracker'!$C$6:$C$400,$S54)))</f>
        <v>SEO</v>
      </c>
      <c r="D54" s="52" t="str">
        <f>IF($S54="","",IF(INDEX('Master Tracker'!$D$6:$D$400,$S54)="","",INDEX('Master Tracker'!$D$6:$D$400,$S54)))</f>
        <v>SEO compatibility, schema &amp; breadcrumbs</v>
      </c>
      <c r="E54" s="7" t="str">
        <f>IF($S54="","",IF(INDEX('Master Tracker'!$F$6:$F$400,$S54)="","",INDEX('Master Tracker'!$F$6:$F$400,$S54)))</f>
        <v>P0</v>
      </c>
      <c r="F54" s="7" t="str">
        <f>IF($S54="","",IF(INDEX('Master Tracker'!$G$6:$G$400,$S54)="","",INDEX('Master Tracker'!$G$6:$G$400,$S54)))</f>
        <v>Not Started</v>
      </c>
      <c r="G54" s="19">
        <f>IF($S54="","",IF(INDEX('Master Tracker'!$H$6:$H$400,$S54)="","",INDEX('Master Tracker'!$H$6:$H$400,$S54)))</f>
        <v>46315</v>
      </c>
      <c r="H54" s="19">
        <f>IF($S54="","",IF(INDEX('Master Tracker'!$I$6:$I$400,$S54)="","",INDEX('Master Tracker'!$I$6:$I$400,$S54)))</f>
        <v>46315</v>
      </c>
      <c r="I54" s="53">
        <f>IF($S54="","",IF(INDEX('Master Tracker'!$U$6:$U$400,$S54)="","",INDEX('Master Tracker'!$U$6:$U$400,$S54)))</f>
        <v>0</v>
      </c>
      <c r="J54" s="52" t="str">
        <f>IF($S54="","",IF(INDEX('Master Tracker'!$K$6:$K$400,$S54)="","",INDEX('Master Tracker'!$K$6:$K$400,$S54)))</f>
        <v>P3-01, P3-09, P6-06</v>
      </c>
      <c r="K54" s="52" t="str">
        <f>IF($S54="","",IF(INDEX('Master Tracker'!$Y$6:$Y$400,$S54)="","",INDEX('Master Tracker'!$Y$6:$Y$400,$S54)))</f>
        <v>⏳ 3 open</v>
      </c>
      <c r="L54" s="52" t="str">
        <f>IF($S54="","",IF(INDEX('Master Tracker'!$M$6:$M$400,$S54)="","",INDEX('Master Tracker'!$M$6:$M$400,$S54)))</f>
        <v>inc/seo.php, header.php</v>
      </c>
      <c r="M54" s="52" t="str">
        <f>IF($S54="","",IF(INDEX('Master Tracker'!$O$6:$O$400,$S54)="","",INDEX('Master Tracker'!$O$6:$O$400,$S54)))</f>
        <v>SEO output matches or improves baseline; valid structured data</v>
      </c>
      <c r="N54" s="52" t="str">
        <f>IF($S54="","",IF(INDEX('Master Tracker'!$N$6:$N$400,$S54)="","",INDEX('Master Tracker'!$N$6:$N$400,$S54)))</f>
        <v>Compare head tags with baseline; Rich Results test on 3 articles</v>
      </c>
      <c r="O54" s="7" t="str">
        <f>IF($S54="","",IF(INDEX('Master Tracker'!$T$6:$T$400,$S54)="","",INDEX('Master Tracker'!$T$6:$T$400,$S54)))</f>
        <v>Not Tested</v>
      </c>
      <c r="P54" s="7" t="str">
        <f ca="1">IF($S54="","",IF(INDEX('Master Tracker'!$AC$6:$AC$400,$S54)="","",INDEX('Master Tracker'!$AC$6:$AC$400,$S54)))</f>
        <v>On track</v>
      </c>
      <c r="S54">
        <f>IFERROR(MATCH("Phase 3|"&amp;A54,'Master Tracker'!$Z$6:$Z$400,0),"")</f>
        <v>56</v>
      </c>
    </row>
    <row r="55" spans="1:19" ht="48" customHeight="1" x14ac:dyDescent="0.3">
      <c r="A55" s="7">
        <v>16</v>
      </c>
      <c r="B55" s="51" t="str">
        <f>IF($S55="","",IF(INDEX('Master Tracker'!$A$6:$A$400,$S55)="","",INDEX('Master Tracker'!$A$6:$A$400,$S55)))</f>
        <v>P3-16</v>
      </c>
      <c r="C55" s="52" t="str">
        <f>IF($S55="","",IF(INDEX('Master Tracker'!$C$6:$C$400,$S55)="","",INDEX('Master Tracker'!$C$6:$C$400,$S55)))</f>
        <v>Phase QA</v>
      </c>
      <c r="D55" s="52" t="str">
        <f>IF($S55="","",IF(INDEX('Master Tracker'!$D$6:$D$400,$S55)="","",INDEX('Master Tracker'!$D$6:$D$400,$S55)))</f>
        <v>Editorial templates sign-off</v>
      </c>
      <c r="E55" s="7" t="str">
        <f>IF($S55="","",IF(INDEX('Master Tracker'!$F$6:$F$400,$S55)="","",INDEX('Master Tracker'!$F$6:$F$400,$S55)))</f>
        <v>P0</v>
      </c>
      <c r="F55" s="7" t="str">
        <f>IF($S55="","",IF(INDEX('Master Tracker'!$G$6:$G$400,$S55)="","",INDEX('Master Tracker'!$G$6:$G$400,$S55)))</f>
        <v>Not Started</v>
      </c>
      <c r="G55" s="19">
        <f>IF($S55="","",IF(INDEX('Master Tracker'!$H$6:$H$400,$S55)="","",INDEX('Master Tracker'!$H$6:$H$400,$S55)))</f>
        <v>46315</v>
      </c>
      <c r="H55" s="19">
        <f>IF($S55="","",IF(INDEX('Master Tracker'!$I$6:$I$400,$S55)="","",INDEX('Master Tracker'!$I$6:$I$400,$S55)))</f>
        <v>46315</v>
      </c>
      <c r="I55" s="53">
        <f>IF($S55="","",IF(INDEX('Master Tracker'!$U$6:$U$400,$S55)="","",INDEX('Master Tracker'!$U$6:$U$400,$S55)))</f>
        <v>0</v>
      </c>
      <c r="J55" s="52" t="str">
        <f>IF($S55="","",IF(INDEX('Master Tracker'!$K$6:$K$400,$S55)="","",INDEX('Master Tracker'!$K$6:$K$400,$S55)))</f>
        <v>P3-03, P3-11, P3-15</v>
      </c>
      <c r="K55" s="52" t="str">
        <f>IF($S55="","",IF(INDEX('Master Tracker'!$Y$6:$Y$400,$S55)="","",INDEX('Master Tracker'!$Y$6:$Y$400,$S55)))</f>
        <v>⏳ 3 open</v>
      </c>
      <c r="L55" s="52" t="str">
        <f>IF($S55="","",IF(INDEX('Master Tracker'!$M$6:$M$400,$S55)="","",INDEX('Master Tracker'!$M$6:$M$400,$S55)))</f>
        <v>—</v>
      </c>
      <c r="M55" s="52" t="str">
        <f>IF($S55="","",IF(INDEX('Master Tracker'!$O$6:$O$400,$S55)="","",INDEX('Master Tracker'!$O$6:$O$400,$S55)))</f>
        <v>Templates approved for Phase 4</v>
      </c>
      <c r="N55" s="52" t="str">
        <f>IF($S55="","",IF(INDEX('Master Tracker'!$N$6:$N$400,$S55)="","",INDEX('Master Tracker'!$N$6:$N$400,$S55)))</f>
        <v>QA sheet rows for templates 2–4</v>
      </c>
      <c r="O55" s="7" t="str">
        <f>IF($S55="","",IF(INDEX('Master Tracker'!$T$6:$T$400,$S55)="","",INDEX('Master Tracker'!$T$6:$T$400,$S55)))</f>
        <v>Not Tested</v>
      </c>
      <c r="P55" s="7" t="str">
        <f ca="1">IF($S55="","",IF(INDEX('Master Tracker'!$AC$6:$AC$400,$S55)="","",INDEX('Master Tracker'!$AC$6:$AC$400,$S55)))</f>
        <v>On track</v>
      </c>
      <c r="S55">
        <f>IFERROR(MATCH("Phase 3|"&amp;A55,'Master Tracker'!$Z$6:$Z$400,0),"")</f>
        <v>57</v>
      </c>
    </row>
    <row r="56" spans="1:19" ht="15" customHeight="1" x14ac:dyDescent="0.3">
      <c r="A56" s="7">
        <v>17</v>
      </c>
      <c r="B56" s="51" t="str">
        <f>IF($S56="","",IF(INDEX('Master Tracker'!$A$6:$A$400,$S56)="","",INDEX('Master Tracker'!$A$6:$A$400,$S56)))</f>
        <v/>
      </c>
      <c r="C56" s="52" t="str">
        <f>IF($S56="","",IF(INDEX('Master Tracker'!$C$6:$C$400,$S56)="","",INDEX('Master Tracker'!$C$6:$C$400,$S56)))</f>
        <v/>
      </c>
      <c r="D56" s="52" t="str">
        <f>IF($S56="","",IF(INDEX('Master Tracker'!$D$6:$D$400,$S56)="","",INDEX('Master Tracker'!$D$6:$D$400,$S56)))</f>
        <v/>
      </c>
      <c r="E56" s="7" t="str">
        <f>IF($S56="","",IF(INDEX('Master Tracker'!$F$6:$F$400,$S56)="","",INDEX('Master Tracker'!$F$6:$F$400,$S56)))</f>
        <v/>
      </c>
      <c r="F56" s="7" t="str">
        <f>IF($S56="","",IF(INDEX('Master Tracker'!$G$6:$G$400,$S56)="","",INDEX('Master Tracker'!$G$6:$G$400,$S56)))</f>
        <v/>
      </c>
      <c r="G56" s="19" t="str">
        <f>IF($S56="","",IF(INDEX('Master Tracker'!$H$6:$H$400,$S56)="","",INDEX('Master Tracker'!$H$6:$H$400,$S56)))</f>
        <v/>
      </c>
      <c r="H56" s="19" t="str">
        <f>IF($S56="","",IF(INDEX('Master Tracker'!$I$6:$I$400,$S56)="","",INDEX('Master Tracker'!$I$6:$I$400,$S56)))</f>
        <v/>
      </c>
      <c r="I56" s="53" t="str">
        <f>IF($S56="","",IF(INDEX('Master Tracker'!$U$6:$U$400,$S56)="","",INDEX('Master Tracker'!$U$6:$U$400,$S56)))</f>
        <v/>
      </c>
      <c r="J56" s="52" t="str">
        <f>IF($S56="","",IF(INDEX('Master Tracker'!$K$6:$K$400,$S56)="","",INDEX('Master Tracker'!$K$6:$K$400,$S56)))</f>
        <v/>
      </c>
      <c r="K56" s="52" t="str">
        <f>IF($S56="","",IF(INDEX('Master Tracker'!$Y$6:$Y$400,$S56)="","",INDEX('Master Tracker'!$Y$6:$Y$400,$S56)))</f>
        <v/>
      </c>
      <c r="L56" s="52" t="str">
        <f>IF($S56="","",IF(INDEX('Master Tracker'!$M$6:$M$400,$S56)="","",INDEX('Master Tracker'!$M$6:$M$400,$S56)))</f>
        <v/>
      </c>
      <c r="M56" s="52" t="str">
        <f>IF($S56="","",IF(INDEX('Master Tracker'!$O$6:$O$400,$S56)="","",INDEX('Master Tracker'!$O$6:$O$400,$S56)))</f>
        <v/>
      </c>
      <c r="N56" s="52" t="str">
        <f>IF($S56="","",IF(INDEX('Master Tracker'!$N$6:$N$400,$S56)="","",INDEX('Master Tracker'!$N$6:$N$400,$S56)))</f>
        <v/>
      </c>
      <c r="O56" s="7" t="str">
        <f>IF($S56="","",IF(INDEX('Master Tracker'!$T$6:$T$400,$S56)="","",INDEX('Master Tracker'!$T$6:$T$400,$S56)))</f>
        <v/>
      </c>
      <c r="P56" s="7" t="str">
        <f>IF($S56="","",IF(INDEX('Master Tracker'!$AC$6:$AC$400,$S56)="","",INDEX('Master Tracker'!$AC$6:$AC$400,$S56)))</f>
        <v/>
      </c>
      <c r="S56" t="str">
        <f>IFERROR(MATCH("Phase 3|"&amp;A56,'Master Tracker'!$Z$6:$Z$400,0),"")</f>
        <v/>
      </c>
    </row>
    <row r="57" spans="1:19" ht="15" customHeight="1" x14ac:dyDescent="0.3">
      <c r="A57" s="7">
        <v>18</v>
      </c>
      <c r="B57" s="51" t="str">
        <f>IF($S57="","",IF(INDEX('Master Tracker'!$A$6:$A$400,$S57)="","",INDEX('Master Tracker'!$A$6:$A$400,$S57)))</f>
        <v/>
      </c>
      <c r="C57" s="52" t="str">
        <f>IF($S57="","",IF(INDEX('Master Tracker'!$C$6:$C$400,$S57)="","",INDEX('Master Tracker'!$C$6:$C$400,$S57)))</f>
        <v/>
      </c>
      <c r="D57" s="52" t="str">
        <f>IF($S57="","",IF(INDEX('Master Tracker'!$D$6:$D$400,$S57)="","",INDEX('Master Tracker'!$D$6:$D$400,$S57)))</f>
        <v/>
      </c>
      <c r="E57" s="7" t="str">
        <f>IF($S57="","",IF(INDEX('Master Tracker'!$F$6:$F$400,$S57)="","",INDEX('Master Tracker'!$F$6:$F$400,$S57)))</f>
        <v/>
      </c>
      <c r="F57" s="7" t="str">
        <f>IF($S57="","",IF(INDEX('Master Tracker'!$G$6:$G$400,$S57)="","",INDEX('Master Tracker'!$G$6:$G$400,$S57)))</f>
        <v/>
      </c>
      <c r="G57" s="19" t="str">
        <f>IF($S57="","",IF(INDEX('Master Tracker'!$H$6:$H$400,$S57)="","",INDEX('Master Tracker'!$H$6:$H$400,$S57)))</f>
        <v/>
      </c>
      <c r="H57" s="19" t="str">
        <f>IF($S57="","",IF(INDEX('Master Tracker'!$I$6:$I$400,$S57)="","",INDEX('Master Tracker'!$I$6:$I$400,$S57)))</f>
        <v/>
      </c>
      <c r="I57" s="53" t="str">
        <f>IF($S57="","",IF(INDEX('Master Tracker'!$U$6:$U$400,$S57)="","",INDEX('Master Tracker'!$U$6:$U$400,$S57)))</f>
        <v/>
      </c>
      <c r="J57" s="52" t="str">
        <f>IF($S57="","",IF(INDEX('Master Tracker'!$K$6:$K$400,$S57)="","",INDEX('Master Tracker'!$K$6:$K$400,$S57)))</f>
        <v/>
      </c>
      <c r="K57" s="52" t="str">
        <f>IF($S57="","",IF(INDEX('Master Tracker'!$Y$6:$Y$400,$S57)="","",INDEX('Master Tracker'!$Y$6:$Y$400,$S57)))</f>
        <v/>
      </c>
      <c r="L57" s="52" t="str">
        <f>IF($S57="","",IF(INDEX('Master Tracker'!$M$6:$M$400,$S57)="","",INDEX('Master Tracker'!$M$6:$M$400,$S57)))</f>
        <v/>
      </c>
      <c r="M57" s="52" t="str">
        <f>IF($S57="","",IF(INDEX('Master Tracker'!$O$6:$O$400,$S57)="","",INDEX('Master Tracker'!$O$6:$O$400,$S57)))</f>
        <v/>
      </c>
      <c r="N57" s="52" t="str">
        <f>IF($S57="","",IF(INDEX('Master Tracker'!$N$6:$N$400,$S57)="","",INDEX('Master Tracker'!$N$6:$N$400,$S57)))</f>
        <v/>
      </c>
      <c r="O57" s="7" t="str">
        <f>IF($S57="","",IF(INDEX('Master Tracker'!$T$6:$T$400,$S57)="","",INDEX('Master Tracker'!$T$6:$T$400,$S57)))</f>
        <v/>
      </c>
      <c r="P57" s="7" t="str">
        <f>IF($S57="","",IF(INDEX('Master Tracker'!$AC$6:$AC$400,$S57)="","",INDEX('Master Tracker'!$AC$6:$AC$400,$S57)))</f>
        <v/>
      </c>
      <c r="S57" t="str">
        <f>IFERROR(MATCH("Phase 3|"&amp;A57,'Master Tracker'!$Z$6:$Z$400,0),"")</f>
        <v/>
      </c>
    </row>
    <row r="58" spans="1:19" ht="15" customHeight="1" x14ac:dyDescent="0.3">
      <c r="A58" s="7">
        <v>19</v>
      </c>
      <c r="B58" s="51" t="str">
        <f>IF($S58="","",IF(INDEX('Master Tracker'!$A$6:$A$400,$S58)="","",INDEX('Master Tracker'!$A$6:$A$400,$S58)))</f>
        <v/>
      </c>
      <c r="C58" s="52" t="str">
        <f>IF($S58="","",IF(INDEX('Master Tracker'!$C$6:$C$400,$S58)="","",INDEX('Master Tracker'!$C$6:$C$400,$S58)))</f>
        <v/>
      </c>
      <c r="D58" s="52" t="str">
        <f>IF($S58="","",IF(INDEX('Master Tracker'!$D$6:$D$400,$S58)="","",INDEX('Master Tracker'!$D$6:$D$400,$S58)))</f>
        <v/>
      </c>
      <c r="E58" s="7" t="str">
        <f>IF($S58="","",IF(INDEX('Master Tracker'!$F$6:$F$400,$S58)="","",INDEX('Master Tracker'!$F$6:$F$400,$S58)))</f>
        <v/>
      </c>
      <c r="F58" s="7" t="str">
        <f>IF($S58="","",IF(INDEX('Master Tracker'!$G$6:$G$400,$S58)="","",INDEX('Master Tracker'!$G$6:$G$400,$S58)))</f>
        <v/>
      </c>
      <c r="G58" s="19" t="str">
        <f>IF($S58="","",IF(INDEX('Master Tracker'!$H$6:$H$400,$S58)="","",INDEX('Master Tracker'!$H$6:$H$400,$S58)))</f>
        <v/>
      </c>
      <c r="H58" s="19" t="str">
        <f>IF($S58="","",IF(INDEX('Master Tracker'!$I$6:$I$400,$S58)="","",INDEX('Master Tracker'!$I$6:$I$400,$S58)))</f>
        <v/>
      </c>
      <c r="I58" s="53" t="str">
        <f>IF($S58="","",IF(INDEX('Master Tracker'!$U$6:$U$400,$S58)="","",INDEX('Master Tracker'!$U$6:$U$400,$S58)))</f>
        <v/>
      </c>
      <c r="J58" s="52" t="str">
        <f>IF($S58="","",IF(INDEX('Master Tracker'!$K$6:$K$400,$S58)="","",INDEX('Master Tracker'!$K$6:$K$400,$S58)))</f>
        <v/>
      </c>
      <c r="K58" s="52" t="str">
        <f>IF($S58="","",IF(INDEX('Master Tracker'!$Y$6:$Y$400,$S58)="","",INDEX('Master Tracker'!$Y$6:$Y$400,$S58)))</f>
        <v/>
      </c>
      <c r="L58" s="52" t="str">
        <f>IF($S58="","",IF(INDEX('Master Tracker'!$M$6:$M$400,$S58)="","",INDEX('Master Tracker'!$M$6:$M$400,$S58)))</f>
        <v/>
      </c>
      <c r="M58" s="52" t="str">
        <f>IF($S58="","",IF(INDEX('Master Tracker'!$O$6:$O$400,$S58)="","",INDEX('Master Tracker'!$O$6:$O$400,$S58)))</f>
        <v/>
      </c>
      <c r="N58" s="52" t="str">
        <f>IF($S58="","",IF(INDEX('Master Tracker'!$N$6:$N$400,$S58)="","",INDEX('Master Tracker'!$N$6:$N$400,$S58)))</f>
        <v/>
      </c>
      <c r="O58" s="7" t="str">
        <f>IF($S58="","",IF(INDEX('Master Tracker'!$T$6:$T$400,$S58)="","",INDEX('Master Tracker'!$T$6:$T$400,$S58)))</f>
        <v/>
      </c>
      <c r="P58" s="7" t="str">
        <f>IF($S58="","",IF(INDEX('Master Tracker'!$AC$6:$AC$400,$S58)="","",INDEX('Master Tracker'!$AC$6:$AC$400,$S58)))</f>
        <v/>
      </c>
      <c r="S58" t="str">
        <f>IFERROR(MATCH("Phase 3|"&amp;A58,'Master Tracker'!$Z$6:$Z$400,0),"")</f>
        <v/>
      </c>
    </row>
    <row r="59" spans="1:19" ht="15" customHeight="1" x14ac:dyDescent="0.3">
      <c r="A59" s="7">
        <v>20</v>
      </c>
      <c r="B59" s="51" t="str">
        <f>IF($S59="","",IF(INDEX('Master Tracker'!$A$6:$A$400,$S59)="","",INDEX('Master Tracker'!$A$6:$A$400,$S59)))</f>
        <v/>
      </c>
      <c r="C59" s="52" t="str">
        <f>IF($S59="","",IF(INDEX('Master Tracker'!$C$6:$C$400,$S59)="","",INDEX('Master Tracker'!$C$6:$C$400,$S59)))</f>
        <v/>
      </c>
      <c r="D59" s="52" t="str">
        <f>IF($S59="","",IF(INDEX('Master Tracker'!$D$6:$D$400,$S59)="","",INDEX('Master Tracker'!$D$6:$D$400,$S59)))</f>
        <v/>
      </c>
      <c r="E59" s="7" t="str">
        <f>IF($S59="","",IF(INDEX('Master Tracker'!$F$6:$F$400,$S59)="","",INDEX('Master Tracker'!$F$6:$F$400,$S59)))</f>
        <v/>
      </c>
      <c r="F59" s="7" t="str">
        <f>IF($S59="","",IF(INDEX('Master Tracker'!$G$6:$G$400,$S59)="","",INDEX('Master Tracker'!$G$6:$G$400,$S59)))</f>
        <v/>
      </c>
      <c r="G59" s="19" t="str">
        <f>IF($S59="","",IF(INDEX('Master Tracker'!$H$6:$H$400,$S59)="","",INDEX('Master Tracker'!$H$6:$H$400,$S59)))</f>
        <v/>
      </c>
      <c r="H59" s="19" t="str">
        <f>IF($S59="","",IF(INDEX('Master Tracker'!$I$6:$I$400,$S59)="","",INDEX('Master Tracker'!$I$6:$I$400,$S59)))</f>
        <v/>
      </c>
      <c r="I59" s="53" t="str">
        <f>IF($S59="","",IF(INDEX('Master Tracker'!$U$6:$U$400,$S59)="","",INDEX('Master Tracker'!$U$6:$U$400,$S59)))</f>
        <v/>
      </c>
      <c r="J59" s="52" t="str">
        <f>IF($S59="","",IF(INDEX('Master Tracker'!$K$6:$K$400,$S59)="","",INDEX('Master Tracker'!$K$6:$K$400,$S59)))</f>
        <v/>
      </c>
      <c r="K59" s="52" t="str">
        <f>IF($S59="","",IF(INDEX('Master Tracker'!$Y$6:$Y$400,$S59)="","",INDEX('Master Tracker'!$Y$6:$Y$400,$S59)))</f>
        <v/>
      </c>
      <c r="L59" s="52" t="str">
        <f>IF($S59="","",IF(INDEX('Master Tracker'!$M$6:$M$400,$S59)="","",INDEX('Master Tracker'!$M$6:$M$400,$S59)))</f>
        <v/>
      </c>
      <c r="M59" s="52" t="str">
        <f>IF($S59="","",IF(INDEX('Master Tracker'!$O$6:$O$400,$S59)="","",INDEX('Master Tracker'!$O$6:$O$400,$S59)))</f>
        <v/>
      </c>
      <c r="N59" s="52" t="str">
        <f>IF($S59="","",IF(INDEX('Master Tracker'!$N$6:$N$400,$S59)="","",INDEX('Master Tracker'!$N$6:$N$400,$S59)))</f>
        <v/>
      </c>
      <c r="O59" s="7" t="str">
        <f>IF($S59="","",IF(INDEX('Master Tracker'!$T$6:$T$400,$S59)="","",INDEX('Master Tracker'!$T$6:$T$400,$S59)))</f>
        <v/>
      </c>
      <c r="P59" s="7" t="str">
        <f>IF($S59="","",IF(INDEX('Master Tracker'!$AC$6:$AC$400,$S59)="","",INDEX('Master Tracker'!$AC$6:$AC$400,$S59)))</f>
        <v/>
      </c>
      <c r="S59" t="str">
        <f>IFERROR(MATCH("Phase 3|"&amp;A59,'Master Tracker'!$Z$6:$Z$400,0),"")</f>
        <v/>
      </c>
    </row>
    <row r="60" spans="1:19" ht="15" customHeight="1" x14ac:dyDescent="0.3">
      <c r="A60" s="7">
        <v>21</v>
      </c>
      <c r="B60" s="51" t="str">
        <f>IF($S60="","",IF(INDEX('Master Tracker'!$A$6:$A$400,$S60)="","",INDEX('Master Tracker'!$A$6:$A$400,$S60)))</f>
        <v/>
      </c>
      <c r="C60" s="52" t="str">
        <f>IF($S60="","",IF(INDEX('Master Tracker'!$C$6:$C$400,$S60)="","",INDEX('Master Tracker'!$C$6:$C$400,$S60)))</f>
        <v/>
      </c>
      <c r="D60" s="52" t="str">
        <f>IF($S60="","",IF(INDEX('Master Tracker'!$D$6:$D$400,$S60)="","",INDEX('Master Tracker'!$D$6:$D$400,$S60)))</f>
        <v/>
      </c>
      <c r="E60" s="7" t="str">
        <f>IF($S60="","",IF(INDEX('Master Tracker'!$F$6:$F$400,$S60)="","",INDEX('Master Tracker'!$F$6:$F$400,$S60)))</f>
        <v/>
      </c>
      <c r="F60" s="7" t="str">
        <f>IF($S60="","",IF(INDEX('Master Tracker'!$G$6:$G$400,$S60)="","",INDEX('Master Tracker'!$G$6:$G$400,$S60)))</f>
        <v/>
      </c>
      <c r="G60" s="19" t="str">
        <f>IF($S60="","",IF(INDEX('Master Tracker'!$H$6:$H$400,$S60)="","",INDEX('Master Tracker'!$H$6:$H$400,$S60)))</f>
        <v/>
      </c>
      <c r="H60" s="19" t="str">
        <f>IF($S60="","",IF(INDEX('Master Tracker'!$I$6:$I$400,$S60)="","",INDEX('Master Tracker'!$I$6:$I$400,$S60)))</f>
        <v/>
      </c>
      <c r="I60" s="53" t="str">
        <f>IF($S60="","",IF(INDEX('Master Tracker'!$U$6:$U$400,$S60)="","",INDEX('Master Tracker'!$U$6:$U$400,$S60)))</f>
        <v/>
      </c>
      <c r="J60" s="52" t="str">
        <f>IF($S60="","",IF(INDEX('Master Tracker'!$K$6:$K$400,$S60)="","",INDEX('Master Tracker'!$K$6:$K$400,$S60)))</f>
        <v/>
      </c>
      <c r="K60" s="52" t="str">
        <f>IF($S60="","",IF(INDEX('Master Tracker'!$Y$6:$Y$400,$S60)="","",INDEX('Master Tracker'!$Y$6:$Y$400,$S60)))</f>
        <v/>
      </c>
      <c r="L60" s="52" t="str">
        <f>IF($S60="","",IF(INDEX('Master Tracker'!$M$6:$M$400,$S60)="","",INDEX('Master Tracker'!$M$6:$M$400,$S60)))</f>
        <v/>
      </c>
      <c r="M60" s="52" t="str">
        <f>IF($S60="","",IF(INDEX('Master Tracker'!$O$6:$O$400,$S60)="","",INDEX('Master Tracker'!$O$6:$O$400,$S60)))</f>
        <v/>
      </c>
      <c r="N60" s="52" t="str">
        <f>IF($S60="","",IF(INDEX('Master Tracker'!$N$6:$N$400,$S60)="","",INDEX('Master Tracker'!$N$6:$N$400,$S60)))</f>
        <v/>
      </c>
      <c r="O60" s="7" t="str">
        <f>IF($S60="","",IF(INDEX('Master Tracker'!$T$6:$T$400,$S60)="","",INDEX('Master Tracker'!$T$6:$T$400,$S60)))</f>
        <v/>
      </c>
      <c r="P60" s="7" t="str">
        <f>IF($S60="","",IF(INDEX('Master Tracker'!$AC$6:$AC$400,$S60)="","",INDEX('Master Tracker'!$AC$6:$AC$400,$S60)))</f>
        <v/>
      </c>
      <c r="S60" t="str">
        <f>IFERROR(MATCH("Phase 3|"&amp;A60,'Master Tracker'!$Z$6:$Z$400,0),"")</f>
        <v/>
      </c>
    </row>
    <row r="61" spans="1:19" ht="15" customHeight="1" x14ac:dyDescent="0.3">
      <c r="A61" s="7">
        <v>22</v>
      </c>
      <c r="B61" s="51" t="str">
        <f>IF($S61="","",IF(INDEX('Master Tracker'!$A$6:$A$400,$S61)="","",INDEX('Master Tracker'!$A$6:$A$400,$S61)))</f>
        <v/>
      </c>
      <c r="C61" s="52" t="str">
        <f>IF($S61="","",IF(INDEX('Master Tracker'!$C$6:$C$400,$S61)="","",INDEX('Master Tracker'!$C$6:$C$400,$S61)))</f>
        <v/>
      </c>
      <c r="D61" s="52" t="str">
        <f>IF($S61="","",IF(INDEX('Master Tracker'!$D$6:$D$400,$S61)="","",INDEX('Master Tracker'!$D$6:$D$400,$S61)))</f>
        <v/>
      </c>
      <c r="E61" s="7" t="str">
        <f>IF($S61="","",IF(INDEX('Master Tracker'!$F$6:$F$400,$S61)="","",INDEX('Master Tracker'!$F$6:$F$400,$S61)))</f>
        <v/>
      </c>
      <c r="F61" s="7" t="str">
        <f>IF($S61="","",IF(INDEX('Master Tracker'!$G$6:$G$400,$S61)="","",INDEX('Master Tracker'!$G$6:$G$400,$S61)))</f>
        <v/>
      </c>
      <c r="G61" s="19" t="str">
        <f>IF($S61="","",IF(INDEX('Master Tracker'!$H$6:$H$400,$S61)="","",INDEX('Master Tracker'!$H$6:$H$400,$S61)))</f>
        <v/>
      </c>
      <c r="H61" s="19" t="str">
        <f>IF($S61="","",IF(INDEX('Master Tracker'!$I$6:$I$400,$S61)="","",INDEX('Master Tracker'!$I$6:$I$400,$S61)))</f>
        <v/>
      </c>
      <c r="I61" s="53" t="str">
        <f>IF($S61="","",IF(INDEX('Master Tracker'!$U$6:$U$400,$S61)="","",INDEX('Master Tracker'!$U$6:$U$400,$S61)))</f>
        <v/>
      </c>
      <c r="J61" s="52" t="str">
        <f>IF($S61="","",IF(INDEX('Master Tracker'!$K$6:$K$400,$S61)="","",INDEX('Master Tracker'!$K$6:$K$400,$S61)))</f>
        <v/>
      </c>
      <c r="K61" s="52" t="str">
        <f>IF($S61="","",IF(INDEX('Master Tracker'!$Y$6:$Y$400,$S61)="","",INDEX('Master Tracker'!$Y$6:$Y$400,$S61)))</f>
        <v/>
      </c>
      <c r="L61" s="52" t="str">
        <f>IF($S61="","",IF(INDEX('Master Tracker'!$M$6:$M$400,$S61)="","",INDEX('Master Tracker'!$M$6:$M$400,$S61)))</f>
        <v/>
      </c>
      <c r="M61" s="52" t="str">
        <f>IF($S61="","",IF(INDEX('Master Tracker'!$O$6:$O$400,$S61)="","",INDEX('Master Tracker'!$O$6:$O$400,$S61)))</f>
        <v/>
      </c>
      <c r="N61" s="52" t="str">
        <f>IF($S61="","",IF(INDEX('Master Tracker'!$N$6:$N$400,$S61)="","",INDEX('Master Tracker'!$N$6:$N$400,$S61)))</f>
        <v/>
      </c>
      <c r="O61" s="7" t="str">
        <f>IF($S61="","",IF(INDEX('Master Tracker'!$T$6:$T$400,$S61)="","",INDEX('Master Tracker'!$T$6:$T$400,$S61)))</f>
        <v/>
      </c>
      <c r="P61" s="7" t="str">
        <f>IF($S61="","",IF(INDEX('Master Tracker'!$AC$6:$AC$400,$S61)="","",INDEX('Master Tracker'!$AC$6:$AC$400,$S61)))</f>
        <v/>
      </c>
      <c r="S61" t="str">
        <f>IFERROR(MATCH("Phase 3|"&amp;A61,'Master Tracker'!$Z$6:$Z$400,0),"")</f>
        <v/>
      </c>
    </row>
    <row r="62" spans="1:19" ht="15" customHeight="1" x14ac:dyDescent="0.3">
      <c r="A62" s="7">
        <v>23</v>
      </c>
      <c r="B62" s="51" t="str">
        <f>IF($S62="","",IF(INDEX('Master Tracker'!$A$6:$A$400,$S62)="","",INDEX('Master Tracker'!$A$6:$A$400,$S62)))</f>
        <v/>
      </c>
      <c r="C62" s="52" t="str">
        <f>IF($S62="","",IF(INDEX('Master Tracker'!$C$6:$C$400,$S62)="","",INDEX('Master Tracker'!$C$6:$C$400,$S62)))</f>
        <v/>
      </c>
      <c r="D62" s="52" t="str">
        <f>IF($S62="","",IF(INDEX('Master Tracker'!$D$6:$D$400,$S62)="","",INDEX('Master Tracker'!$D$6:$D$400,$S62)))</f>
        <v/>
      </c>
      <c r="E62" s="7" t="str">
        <f>IF($S62="","",IF(INDEX('Master Tracker'!$F$6:$F$400,$S62)="","",INDEX('Master Tracker'!$F$6:$F$400,$S62)))</f>
        <v/>
      </c>
      <c r="F62" s="7" t="str">
        <f>IF($S62="","",IF(INDEX('Master Tracker'!$G$6:$G$400,$S62)="","",INDEX('Master Tracker'!$G$6:$G$400,$S62)))</f>
        <v/>
      </c>
      <c r="G62" s="19" t="str">
        <f>IF($S62="","",IF(INDEX('Master Tracker'!$H$6:$H$400,$S62)="","",INDEX('Master Tracker'!$H$6:$H$400,$S62)))</f>
        <v/>
      </c>
      <c r="H62" s="19" t="str">
        <f>IF($S62="","",IF(INDEX('Master Tracker'!$I$6:$I$400,$S62)="","",INDEX('Master Tracker'!$I$6:$I$400,$S62)))</f>
        <v/>
      </c>
      <c r="I62" s="53" t="str">
        <f>IF($S62="","",IF(INDEX('Master Tracker'!$U$6:$U$400,$S62)="","",INDEX('Master Tracker'!$U$6:$U$400,$S62)))</f>
        <v/>
      </c>
      <c r="J62" s="52" t="str">
        <f>IF($S62="","",IF(INDEX('Master Tracker'!$K$6:$K$400,$S62)="","",INDEX('Master Tracker'!$K$6:$K$400,$S62)))</f>
        <v/>
      </c>
      <c r="K62" s="52" t="str">
        <f>IF($S62="","",IF(INDEX('Master Tracker'!$Y$6:$Y$400,$S62)="","",INDEX('Master Tracker'!$Y$6:$Y$400,$S62)))</f>
        <v/>
      </c>
      <c r="L62" s="52" t="str">
        <f>IF($S62="","",IF(INDEX('Master Tracker'!$M$6:$M$400,$S62)="","",INDEX('Master Tracker'!$M$6:$M$400,$S62)))</f>
        <v/>
      </c>
      <c r="M62" s="52" t="str">
        <f>IF($S62="","",IF(INDEX('Master Tracker'!$O$6:$O$400,$S62)="","",INDEX('Master Tracker'!$O$6:$O$400,$S62)))</f>
        <v/>
      </c>
      <c r="N62" s="52" t="str">
        <f>IF($S62="","",IF(INDEX('Master Tracker'!$N$6:$N$400,$S62)="","",INDEX('Master Tracker'!$N$6:$N$400,$S62)))</f>
        <v/>
      </c>
      <c r="O62" s="7" t="str">
        <f>IF($S62="","",IF(INDEX('Master Tracker'!$T$6:$T$400,$S62)="","",INDEX('Master Tracker'!$T$6:$T$400,$S62)))</f>
        <v/>
      </c>
      <c r="P62" s="7" t="str">
        <f>IF($S62="","",IF(INDEX('Master Tracker'!$AC$6:$AC$400,$S62)="","",INDEX('Master Tracker'!$AC$6:$AC$400,$S62)))</f>
        <v/>
      </c>
      <c r="S62" t="str">
        <f>IFERROR(MATCH("Phase 3|"&amp;A62,'Master Tracker'!$Z$6:$Z$400,0),"")</f>
        <v/>
      </c>
    </row>
    <row r="63" spans="1:19" ht="15" customHeight="1" x14ac:dyDescent="0.3">
      <c r="A63" s="7">
        <v>24</v>
      </c>
      <c r="B63" s="51" t="str">
        <f>IF($S63="","",IF(INDEX('Master Tracker'!$A$6:$A$400,$S63)="","",INDEX('Master Tracker'!$A$6:$A$400,$S63)))</f>
        <v/>
      </c>
      <c r="C63" s="52" t="str">
        <f>IF($S63="","",IF(INDEX('Master Tracker'!$C$6:$C$400,$S63)="","",INDEX('Master Tracker'!$C$6:$C$400,$S63)))</f>
        <v/>
      </c>
      <c r="D63" s="52" t="str">
        <f>IF($S63="","",IF(INDEX('Master Tracker'!$D$6:$D$400,$S63)="","",INDEX('Master Tracker'!$D$6:$D$400,$S63)))</f>
        <v/>
      </c>
      <c r="E63" s="7" t="str">
        <f>IF($S63="","",IF(INDEX('Master Tracker'!$F$6:$F$400,$S63)="","",INDEX('Master Tracker'!$F$6:$F$400,$S63)))</f>
        <v/>
      </c>
      <c r="F63" s="7" t="str">
        <f>IF($S63="","",IF(INDEX('Master Tracker'!$G$6:$G$400,$S63)="","",INDEX('Master Tracker'!$G$6:$G$400,$S63)))</f>
        <v/>
      </c>
      <c r="G63" s="19" t="str">
        <f>IF($S63="","",IF(INDEX('Master Tracker'!$H$6:$H$400,$S63)="","",INDEX('Master Tracker'!$H$6:$H$400,$S63)))</f>
        <v/>
      </c>
      <c r="H63" s="19" t="str">
        <f>IF($S63="","",IF(INDEX('Master Tracker'!$I$6:$I$400,$S63)="","",INDEX('Master Tracker'!$I$6:$I$400,$S63)))</f>
        <v/>
      </c>
      <c r="I63" s="53" t="str">
        <f>IF($S63="","",IF(INDEX('Master Tracker'!$U$6:$U$400,$S63)="","",INDEX('Master Tracker'!$U$6:$U$400,$S63)))</f>
        <v/>
      </c>
      <c r="J63" s="52" t="str">
        <f>IF($S63="","",IF(INDEX('Master Tracker'!$K$6:$K$400,$S63)="","",INDEX('Master Tracker'!$K$6:$K$400,$S63)))</f>
        <v/>
      </c>
      <c r="K63" s="52" t="str">
        <f>IF($S63="","",IF(INDEX('Master Tracker'!$Y$6:$Y$400,$S63)="","",INDEX('Master Tracker'!$Y$6:$Y$400,$S63)))</f>
        <v/>
      </c>
      <c r="L63" s="52" t="str">
        <f>IF($S63="","",IF(INDEX('Master Tracker'!$M$6:$M$400,$S63)="","",INDEX('Master Tracker'!$M$6:$M$400,$S63)))</f>
        <v/>
      </c>
      <c r="M63" s="52" t="str">
        <f>IF($S63="","",IF(INDEX('Master Tracker'!$O$6:$O$400,$S63)="","",INDEX('Master Tracker'!$O$6:$O$400,$S63)))</f>
        <v/>
      </c>
      <c r="N63" s="52" t="str">
        <f>IF($S63="","",IF(INDEX('Master Tracker'!$N$6:$N$400,$S63)="","",INDEX('Master Tracker'!$N$6:$N$400,$S63)))</f>
        <v/>
      </c>
      <c r="O63" s="7" t="str">
        <f>IF($S63="","",IF(INDEX('Master Tracker'!$T$6:$T$400,$S63)="","",INDEX('Master Tracker'!$T$6:$T$400,$S63)))</f>
        <v/>
      </c>
      <c r="P63" s="7" t="str">
        <f>IF($S63="","",IF(INDEX('Master Tracker'!$AC$6:$AC$400,$S63)="","",INDEX('Master Tracker'!$AC$6:$AC$400,$S63)))</f>
        <v/>
      </c>
      <c r="S63" t="str">
        <f>IFERROR(MATCH("Phase 3|"&amp;A63,'Master Tracker'!$Z$6:$Z$400,0),"")</f>
        <v/>
      </c>
    </row>
  </sheetData>
  <mergeCells count="54">
    <mergeCell ref="B36:R36"/>
    <mergeCell ref="A1:R1"/>
    <mergeCell ref="J13:R13"/>
    <mergeCell ref="A19:H19"/>
    <mergeCell ref="B33:R33"/>
    <mergeCell ref="P6:R6"/>
    <mergeCell ref="A38:R38"/>
    <mergeCell ref="J18:R18"/>
    <mergeCell ref="B29:R29"/>
    <mergeCell ref="A10:R10"/>
    <mergeCell ref="J23:R23"/>
    <mergeCell ref="B34:R34"/>
    <mergeCell ref="A14:H14"/>
    <mergeCell ref="B28:R28"/>
    <mergeCell ref="J17:R17"/>
    <mergeCell ref="A23:H23"/>
    <mergeCell ref="A22:H22"/>
    <mergeCell ref="A17:H17"/>
    <mergeCell ref="J14:R14"/>
    <mergeCell ref="B30:R30"/>
    <mergeCell ref="A20:H20"/>
    <mergeCell ref="J19:R19"/>
    <mergeCell ref="A2:R2"/>
    <mergeCell ref="A16:H16"/>
    <mergeCell ref="J22:R22"/>
    <mergeCell ref="J21:R21"/>
    <mergeCell ref="A12:H12"/>
    <mergeCell ref="J12:R12"/>
    <mergeCell ref="A18:H18"/>
    <mergeCell ref="E6:F6"/>
    <mergeCell ref="A21:H21"/>
    <mergeCell ref="P5:R5"/>
    <mergeCell ref="A9:R9"/>
    <mergeCell ref="A6:C6"/>
    <mergeCell ref="H5:I5"/>
    <mergeCell ref="A13:H13"/>
    <mergeCell ref="B35:R35"/>
    <mergeCell ref="A24:H24"/>
    <mergeCell ref="E5:F5"/>
    <mergeCell ref="A3:C3"/>
    <mergeCell ref="B31:R31"/>
    <mergeCell ref="J20:R20"/>
    <mergeCell ref="A26:R26"/>
    <mergeCell ref="J16:R16"/>
    <mergeCell ref="H6:I6"/>
    <mergeCell ref="B27:R27"/>
    <mergeCell ref="A5:C5"/>
    <mergeCell ref="J6:K6"/>
    <mergeCell ref="B32:R32"/>
    <mergeCell ref="J24:R24"/>
    <mergeCell ref="A7:R7"/>
    <mergeCell ref="A15:H15"/>
    <mergeCell ref="J5:K5"/>
    <mergeCell ref="J15:R15"/>
  </mergeCells>
  <conditionalFormatting sqref="F40:F63">
    <cfRule type="expression" dxfId="108" priority="5">
      <formula>$F40="Completed"</formula>
    </cfRule>
    <cfRule type="expression" dxfId="107" priority="6">
      <formula>$F40="In Progress"</formula>
    </cfRule>
    <cfRule type="expression" dxfId="106" priority="7">
      <formula>$F40="Testing"</formula>
    </cfRule>
    <cfRule type="expression" dxfId="105" priority="8">
      <formula>$F40="In Review"</formula>
    </cfRule>
    <cfRule type="expression" dxfId="104" priority="9">
      <formula>$F40="Blocked"</formula>
    </cfRule>
    <cfRule type="expression" dxfId="103" priority="10">
      <formula>$F40="Not Started"</formula>
    </cfRule>
  </conditionalFormatting>
  <conditionalFormatting sqref="I40:I63">
    <cfRule type="dataBar" priority="11">
      <dataBar>
        <cfvo type="num" val="0"/>
        <cfvo type="num" val="1"/>
        <color rgb="FF10B981"/>
      </dataBar>
    </cfRule>
  </conditionalFormatting>
  <conditionalFormatting sqref="O40:O63">
    <cfRule type="expression" dxfId="102" priority="19">
      <formula>$O40="Pass"</formula>
    </cfRule>
    <cfRule type="expression" dxfId="101" priority="20">
      <formula>$O40="Fail"</formula>
    </cfRule>
    <cfRule type="expression" dxfId="100" priority="21">
      <formula>$O40="Partial"</formula>
    </cfRule>
  </conditionalFormatting>
  <conditionalFormatting sqref="P6">
    <cfRule type="expression" dxfId="99" priority="1">
      <formula>$P$6="Complete"</formula>
    </cfRule>
    <cfRule type="expression" dxfId="98" priority="2">
      <formula>$P$6="On Track"</formula>
    </cfRule>
    <cfRule type="expression" dxfId="97" priority="3">
      <formula>$P$6="Behind"</formula>
    </cfRule>
    <cfRule type="expression" dxfId="96" priority="4">
      <formula>$P$6="Blocked"</formula>
    </cfRule>
  </conditionalFormatting>
  <conditionalFormatting sqref="P40:P63">
    <cfRule type="expression" dxfId="95" priority="12">
      <formula>$P40="Overdue"</formula>
    </cfRule>
    <cfRule type="expression" dxfId="94" priority="13">
      <formula>$P40="Blocked"</formula>
    </cfRule>
    <cfRule type="expression" dxfId="93" priority="14">
      <formula>$P40="Due soon"</formula>
    </cfRule>
    <cfRule type="expression" dxfId="92" priority="15">
      <formula>$P40="Done"</formula>
    </cfRule>
    <cfRule type="expression" dxfId="91" priority="16">
      <formula>$P40="Dependency open"</formula>
    </cfRule>
    <cfRule type="expression" dxfId="90" priority="17">
      <formula>$P40="External req."</formula>
    </cfRule>
    <cfRule type="expression" dxfId="89" priority="18">
      <formula>$P40="On track"</formula>
    </cfRule>
  </conditionalFormatting>
  <hyperlinks>
    <hyperlink ref="A3" location="'Executive Dashboard'!A1" display="← Dashboard" xr:uid="{00000000-0004-0000-0400-000000000000}"/>
    <hyperlink ref="D3" location="'Master Tracker'!A1" display="Open Master Tracker →" xr:uid="{00000000-0004-0000-0400-000001000000}"/>
    <hyperlink ref="F3" r:id="rId1" xr:uid="{00000000-0004-0000-0400-000002000000}"/>
  </hyperlinks>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34155"/>
    <pageSetUpPr fitToPage="1"/>
  </sheetPr>
  <dimension ref="A1:S57"/>
  <sheetViews>
    <sheetView showGridLines="0" zoomScale="90" workbookViewId="0">
      <pane ySplit="3" topLeftCell="A4" activePane="bottomLeft" state="frozen"/>
      <selection pane="bottomLeft"/>
    </sheetView>
  </sheetViews>
  <sheetFormatPr defaultRowHeight="14.4" x14ac:dyDescent="0.3"/>
  <cols>
    <col min="1" max="1" width="5" customWidth="1"/>
    <col min="2" max="2" width="9" customWidth="1"/>
    <col min="3" max="3" width="15" customWidth="1"/>
    <col min="4" max="4" width="32" customWidth="1"/>
    <col min="5" max="5" width="8" customWidth="1"/>
    <col min="6" max="6" width="12" customWidth="1"/>
    <col min="7" max="9" width="10" customWidth="1"/>
    <col min="10" max="10" width="16" customWidth="1"/>
    <col min="11" max="11" width="12" customWidth="1"/>
    <col min="12" max="12" width="30" customWidth="1"/>
    <col min="13" max="14" width="38" customWidth="1"/>
    <col min="15" max="15" width="10" customWidth="1"/>
    <col min="16" max="16" width="13" customWidth="1"/>
    <col min="17" max="18" width="12" customWidth="1"/>
    <col min="19" max="19" width="4" hidden="1" customWidth="1"/>
  </cols>
  <sheetData>
    <row r="1" spans="1:18" ht="34.049999999999997" customHeight="1" x14ac:dyDescent="0.3">
      <c r="A1" s="111" t="s">
        <v>1011</v>
      </c>
      <c r="B1" s="112"/>
      <c r="C1" s="112"/>
      <c r="D1" s="112"/>
      <c r="E1" s="112"/>
      <c r="F1" s="112"/>
      <c r="G1" s="112"/>
      <c r="H1" s="112"/>
      <c r="I1" s="112"/>
      <c r="J1" s="112"/>
      <c r="K1" s="112"/>
      <c r="L1" s="112"/>
      <c r="M1" s="112"/>
      <c r="N1" s="112"/>
      <c r="O1" s="112"/>
      <c r="P1" s="112"/>
      <c r="Q1" s="112"/>
      <c r="R1" s="112"/>
    </row>
    <row r="2" spans="1:18" ht="19.95" customHeight="1" x14ac:dyDescent="0.3">
      <c r="A2" s="79" t="s">
        <v>1012</v>
      </c>
      <c r="B2" s="80"/>
      <c r="C2" s="80"/>
      <c r="D2" s="80"/>
      <c r="E2" s="80"/>
      <c r="F2" s="80"/>
      <c r="G2" s="80"/>
      <c r="H2" s="80"/>
      <c r="I2" s="80"/>
      <c r="J2" s="80"/>
      <c r="K2" s="80"/>
      <c r="L2" s="80"/>
      <c r="M2" s="80"/>
      <c r="N2" s="80"/>
      <c r="O2" s="80"/>
      <c r="P2" s="80"/>
      <c r="Q2" s="80"/>
      <c r="R2" s="80"/>
    </row>
    <row r="3" spans="1:18" x14ac:dyDescent="0.3">
      <c r="A3" s="131" t="s">
        <v>109</v>
      </c>
      <c r="B3" s="86"/>
      <c r="C3" s="86"/>
      <c r="D3" s="33" t="s">
        <v>889</v>
      </c>
      <c r="F3" s="3" t="s">
        <v>110</v>
      </c>
    </row>
    <row r="5" spans="1:18" x14ac:dyDescent="0.3">
      <c r="A5" s="129" t="s">
        <v>890</v>
      </c>
      <c r="B5" s="130"/>
      <c r="C5" s="130"/>
      <c r="D5" s="46" t="s">
        <v>891</v>
      </c>
      <c r="E5" s="129" t="s">
        <v>892</v>
      </c>
      <c r="F5" s="130"/>
      <c r="G5" s="46" t="s">
        <v>893</v>
      </c>
      <c r="H5" s="129" t="s">
        <v>35</v>
      </c>
      <c r="I5" s="130"/>
      <c r="J5" s="129" t="s">
        <v>38</v>
      </c>
      <c r="K5" s="130"/>
      <c r="L5" s="46" t="s">
        <v>39</v>
      </c>
      <c r="M5" s="46" t="s">
        <v>894</v>
      </c>
      <c r="N5" s="46" t="s">
        <v>40</v>
      </c>
      <c r="O5" s="46" t="s">
        <v>895</v>
      </c>
      <c r="P5" s="134" t="s">
        <v>896</v>
      </c>
      <c r="Q5" s="86"/>
      <c r="R5" s="86"/>
    </row>
    <row r="6" spans="1:18" ht="31.95" customHeight="1" x14ac:dyDescent="0.3">
      <c r="A6" s="136">
        <f>IFERROR(SUMPRODUCT(('Master Tracker'!$B$6:$B$400="Phase 4")*'Master Tracker'!$U$6:$U$400)/COUNTIFS('Master Tracker'!$B$6:$B$400,"Phase 4",'Master Tracker'!$A$6:$A$400,"?*"),0)</f>
        <v>0</v>
      </c>
      <c r="B6" s="133"/>
      <c r="C6" s="133"/>
      <c r="D6" s="47">
        <f ca="1">IFERROR(SUMPRODUCT(('Master Tracker'!$B$6:$B$400="Phase 4")*'Master Tracker'!$V$6:$V$400)/COUNTIFS('Master Tracker'!$B$6:$B$400,"Phase 4",'Master Tracker'!$A$6:$A$400,"?*"),0)</f>
        <v>0</v>
      </c>
      <c r="E6" s="132">
        <f>COUNTIFS('Master Tracker'!$B$6:$B$400,"Phase 4",'Master Tracker'!$A$6:$A$400,"?*")</f>
        <v>12</v>
      </c>
      <c r="F6" s="133"/>
      <c r="G6" s="48">
        <f>COUNTIFS('Master Tracker'!$B$6:$B$400,"Phase 4",'Master Tracker'!$G$6:$G$400,"Completed")</f>
        <v>0</v>
      </c>
      <c r="H6" s="132">
        <f>COUNTIFS('Master Tracker'!$B$6:$B$400,"Phase 4",'Master Tracker'!$G$6:$G$400,"In Progress")</f>
        <v>0</v>
      </c>
      <c r="I6" s="133"/>
      <c r="J6" s="132">
        <f>COUNTIFS('Master Tracker'!$B$6:$B$400,"Phase 4",'Master Tracker'!$G$6:$G$400,"Blocked")</f>
        <v>0</v>
      </c>
      <c r="K6" s="133"/>
      <c r="L6" s="48">
        <f ca="1">COUNTIFS('Master Tracker'!$B$6:$B$400,"Phase 4",'Master Tracker'!$X$6:$X$400,"OVERDUE")</f>
        <v>0</v>
      </c>
      <c r="M6" s="48">
        <f>COUNTIFS('Master Tracker'!$B$6:$B$400,"Phase 4",'Master Tracker'!$G$6:$G$400,"In Review")+COUNTIFS('Master Tracker'!$B$6:$B$400,"Phase 4",'Master Tracker'!$G$6:$G$400,"Testing")</f>
        <v>0</v>
      </c>
      <c r="N6" s="48">
        <f>COUNTIFS('Master Tracker'!$B$6:$B$400,"Phase 4",'Master Tracker'!$F$6:$F$400,"P0",'Master Tracker'!$G$6:$G$400,"&lt;&gt;Completed",'Master Tracker'!$A$6:$A$400,"?*")</f>
        <v>9</v>
      </c>
      <c r="O6" s="49">
        <f>_xlfn.MAXIFS('Master Tracker'!$I$6:$I$400,'Master Tracker'!$B$6:$B$400,"Phase 4")</f>
        <v>46317</v>
      </c>
      <c r="P6" s="137" t="str">
        <f ca="1">IF(E6=0,"—",IF(G6=E6,"Complete",IF(J6&gt;0,"Blocked",IF(L6&gt;0,"Behind",IF(A6+0.1&lt;D6,"Behind",IF(A6&gt;0,"On Track","Not Started"))))))</f>
        <v>Not Started</v>
      </c>
      <c r="Q6" s="86"/>
      <c r="R6" s="86"/>
    </row>
    <row r="7" spans="1:18" ht="22.05" customHeight="1" x14ac:dyDescent="0.3">
      <c r="A7" s="127" t="str">
        <f ca="1">"Progress  "&amp;REPT("█",ROUND(A6*50,0))&amp;REPT("░",50-ROUND(A6*50,0))&amp;"  "&amp;TEXT(A6,"0%")&amp;"  (planned "&amp;TEXT(D6,"0%")&amp;")"</f>
        <v>Progress  ░░░░░░░░░░░░░░░░░░░░░░░░░░░░░░░░░░░░░░░░░░░░░░░░░░  0%  (planned 0%)</v>
      </c>
      <c r="B7" s="86"/>
      <c r="C7" s="86"/>
      <c r="D7" s="86"/>
      <c r="E7" s="86"/>
      <c r="F7" s="86"/>
      <c r="G7" s="86"/>
      <c r="H7" s="86"/>
      <c r="I7" s="86"/>
      <c r="J7" s="86"/>
      <c r="K7" s="86"/>
      <c r="L7" s="86"/>
      <c r="M7" s="86"/>
      <c r="N7" s="86"/>
      <c r="O7" s="86"/>
      <c r="P7" s="86"/>
      <c r="Q7" s="86"/>
      <c r="R7" s="86"/>
    </row>
    <row r="9" spans="1:18" ht="22.05" customHeight="1" x14ac:dyDescent="0.3">
      <c r="A9" s="71" t="s">
        <v>897</v>
      </c>
      <c r="B9" s="72"/>
      <c r="C9" s="72"/>
      <c r="D9" s="72"/>
      <c r="E9" s="72"/>
      <c r="F9" s="72"/>
      <c r="G9" s="72"/>
      <c r="H9" s="72"/>
      <c r="I9" s="72"/>
      <c r="J9" s="72"/>
      <c r="K9" s="72"/>
      <c r="L9" s="72"/>
      <c r="M9" s="72"/>
      <c r="N9" s="72"/>
      <c r="O9" s="72"/>
      <c r="P9" s="72"/>
      <c r="Q9" s="72"/>
      <c r="R9" s="72"/>
    </row>
    <row r="10" spans="1:18" ht="46.05" customHeight="1" x14ac:dyDescent="0.3">
      <c r="A10" s="135" t="s">
        <v>1013</v>
      </c>
      <c r="B10" s="86"/>
      <c r="C10" s="86"/>
      <c r="D10" s="86"/>
      <c r="E10" s="86"/>
      <c r="F10" s="86"/>
      <c r="G10" s="86"/>
      <c r="H10" s="86"/>
      <c r="I10" s="86"/>
      <c r="J10" s="86"/>
      <c r="K10" s="86"/>
      <c r="L10" s="86"/>
      <c r="M10" s="86"/>
      <c r="N10" s="86"/>
      <c r="O10" s="86"/>
      <c r="P10" s="86"/>
      <c r="Q10" s="86"/>
      <c r="R10" s="86"/>
    </row>
    <row r="12" spans="1:18" ht="22.05" customHeight="1" x14ac:dyDescent="0.3">
      <c r="A12" s="71" t="s">
        <v>899</v>
      </c>
      <c r="B12" s="72"/>
      <c r="C12" s="72"/>
      <c r="D12" s="72"/>
      <c r="E12" s="72"/>
      <c r="F12" s="72"/>
      <c r="G12" s="72"/>
      <c r="H12" s="72"/>
      <c r="J12" s="71" t="s">
        <v>900</v>
      </c>
      <c r="K12" s="72"/>
      <c r="L12" s="72"/>
      <c r="M12" s="72"/>
      <c r="N12" s="72"/>
      <c r="O12" s="72"/>
      <c r="P12" s="72"/>
      <c r="Q12" s="72"/>
      <c r="R12" s="72"/>
    </row>
    <row r="13" spans="1:18" x14ac:dyDescent="0.3">
      <c r="A13" s="128" t="s">
        <v>1014</v>
      </c>
      <c r="B13" s="86"/>
      <c r="C13" s="86"/>
      <c r="D13" s="86"/>
      <c r="E13" s="86"/>
      <c r="F13" s="86"/>
      <c r="G13" s="86"/>
      <c r="H13" s="86"/>
      <c r="J13" s="128" t="s">
        <v>1015</v>
      </c>
      <c r="K13" s="86"/>
      <c r="L13" s="86"/>
      <c r="M13" s="86"/>
      <c r="N13" s="86"/>
      <c r="O13" s="86"/>
      <c r="P13" s="86"/>
      <c r="Q13" s="86"/>
      <c r="R13" s="86"/>
    </row>
    <row r="14" spans="1:18" x14ac:dyDescent="0.3">
      <c r="A14" s="126" t="s">
        <v>1016</v>
      </c>
      <c r="B14" s="86"/>
      <c r="C14" s="86"/>
      <c r="D14" s="86"/>
      <c r="E14" s="86"/>
      <c r="F14" s="86"/>
      <c r="G14" s="86"/>
      <c r="H14" s="86"/>
      <c r="J14" s="126" t="s">
        <v>1017</v>
      </c>
      <c r="K14" s="86"/>
      <c r="L14" s="86"/>
      <c r="M14" s="86"/>
      <c r="N14" s="86"/>
      <c r="O14" s="86"/>
      <c r="P14" s="86"/>
      <c r="Q14" s="86"/>
      <c r="R14" s="86"/>
    </row>
    <row r="15" spans="1:18" x14ac:dyDescent="0.3">
      <c r="A15" s="128" t="s">
        <v>1018</v>
      </c>
      <c r="B15" s="86"/>
      <c r="C15" s="86"/>
      <c r="D15" s="86"/>
      <c r="E15" s="86"/>
      <c r="F15" s="86"/>
      <c r="G15" s="86"/>
      <c r="H15" s="86"/>
      <c r="J15" s="128" t="s">
        <v>1019</v>
      </c>
      <c r="K15" s="86"/>
      <c r="L15" s="86"/>
      <c r="M15" s="86"/>
      <c r="N15" s="86"/>
      <c r="O15" s="86"/>
      <c r="P15" s="86"/>
      <c r="Q15" s="86"/>
      <c r="R15" s="86"/>
    </row>
    <row r="16" spans="1:18" x14ac:dyDescent="0.3">
      <c r="A16" s="126" t="s">
        <v>1020</v>
      </c>
      <c r="B16" s="86"/>
      <c r="C16" s="86"/>
      <c r="D16" s="86"/>
      <c r="E16" s="86"/>
      <c r="F16" s="86"/>
      <c r="G16" s="86"/>
      <c r="H16" s="86"/>
      <c r="J16" s="126" t="s">
        <v>1021</v>
      </c>
      <c r="K16" s="86"/>
      <c r="L16" s="86"/>
      <c r="M16" s="86"/>
      <c r="N16" s="86"/>
      <c r="O16" s="86"/>
      <c r="P16" s="86"/>
      <c r="Q16" s="86"/>
      <c r="R16" s="86"/>
    </row>
    <row r="17" spans="1:18" x14ac:dyDescent="0.3">
      <c r="A17" s="128" t="s">
        <v>1022</v>
      </c>
      <c r="B17" s="86"/>
      <c r="C17" s="86"/>
      <c r="D17" s="86"/>
      <c r="E17" s="86"/>
      <c r="F17" s="86"/>
      <c r="G17" s="86"/>
      <c r="H17" s="86"/>
      <c r="J17" s="128" t="s">
        <v>1023</v>
      </c>
      <c r="K17" s="86"/>
      <c r="L17" s="86"/>
      <c r="M17" s="86"/>
      <c r="N17" s="86"/>
      <c r="O17" s="86"/>
      <c r="P17" s="86"/>
      <c r="Q17" s="86"/>
      <c r="R17" s="86"/>
    </row>
    <row r="18" spans="1:18" x14ac:dyDescent="0.3">
      <c r="A18" s="126" t="s">
        <v>1024</v>
      </c>
      <c r="B18" s="86"/>
      <c r="C18" s="86"/>
      <c r="D18" s="86"/>
      <c r="E18" s="86"/>
      <c r="F18" s="86"/>
      <c r="G18" s="86"/>
      <c r="H18" s="86"/>
      <c r="J18" s="126" t="s">
        <v>1025</v>
      </c>
      <c r="K18" s="86"/>
      <c r="L18" s="86"/>
      <c r="M18" s="86"/>
      <c r="N18" s="86"/>
      <c r="O18" s="86"/>
      <c r="P18" s="86"/>
      <c r="Q18" s="86"/>
      <c r="R18" s="86"/>
    </row>
    <row r="19" spans="1:18" x14ac:dyDescent="0.3">
      <c r="A19" s="128" t="s">
        <v>1026</v>
      </c>
      <c r="B19" s="86"/>
      <c r="C19" s="86"/>
      <c r="D19" s="86"/>
      <c r="E19" s="86"/>
      <c r="F19" s="86"/>
      <c r="G19" s="86"/>
      <c r="H19" s="86"/>
      <c r="J19" s="128" t="s">
        <v>1027</v>
      </c>
      <c r="K19" s="86"/>
      <c r="L19" s="86"/>
      <c r="M19" s="86"/>
      <c r="N19" s="86"/>
      <c r="O19" s="86"/>
      <c r="P19" s="86"/>
      <c r="Q19" s="86"/>
      <c r="R19" s="86"/>
    </row>
    <row r="20" spans="1:18" x14ac:dyDescent="0.3">
      <c r="A20" s="126"/>
      <c r="B20" s="86"/>
      <c r="C20" s="86"/>
      <c r="D20" s="86"/>
      <c r="E20" s="86"/>
      <c r="F20" s="86"/>
      <c r="G20" s="86"/>
      <c r="H20" s="86"/>
      <c r="J20" s="126" t="s">
        <v>1028</v>
      </c>
      <c r="K20" s="86"/>
      <c r="L20" s="86"/>
      <c r="M20" s="86"/>
      <c r="N20" s="86"/>
      <c r="O20" s="86"/>
      <c r="P20" s="86"/>
      <c r="Q20" s="86"/>
      <c r="R20" s="86"/>
    </row>
    <row r="21" spans="1:18" x14ac:dyDescent="0.3">
      <c r="A21" s="128"/>
      <c r="B21" s="86"/>
      <c r="C21" s="86"/>
      <c r="D21" s="86"/>
      <c r="E21" s="86"/>
      <c r="F21" s="86"/>
      <c r="G21" s="86"/>
      <c r="H21" s="86"/>
      <c r="J21" s="128" t="s">
        <v>1029</v>
      </c>
      <c r="K21" s="86"/>
      <c r="L21" s="86"/>
      <c r="M21" s="86"/>
      <c r="N21" s="86"/>
      <c r="O21" s="86"/>
      <c r="P21" s="86"/>
      <c r="Q21" s="86"/>
      <c r="R21" s="86"/>
    </row>
    <row r="22" spans="1:18" x14ac:dyDescent="0.3">
      <c r="A22" s="126"/>
      <c r="B22" s="86"/>
      <c r="C22" s="86"/>
      <c r="D22" s="86"/>
      <c r="E22" s="86"/>
      <c r="F22" s="86"/>
      <c r="G22" s="86"/>
      <c r="H22" s="86"/>
      <c r="J22" s="126" t="s">
        <v>1030</v>
      </c>
      <c r="K22" s="86"/>
      <c r="L22" s="86"/>
      <c r="M22" s="86"/>
      <c r="N22" s="86"/>
      <c r="O22" s="86"/>
      <c r="P22" s="86"/>
      <c r="Q22" s="86"/>
      <c r="R22" s="86"/>
    </row>
    <row r="24" spans="1:18" ht="22.05" customHeight="1" x14ac:dyDescent="0.3">
      <c r="A24" s="71" t="s">
        <v>922</v>
      </c>
      <c r="B24" s="72"/>
      <c r="C24" s="72"/>
      <c r="D24" s="72"/>
      <c r="E24" s="72"/>
      <c r="F24" s="72"/>
      <c r="G24" s="72"/>
      <c r="H24" s="72"/>
      <c r="I24" s="72"/>
      <c r="J24" s="72"/>
      <c r="K24" s="72"/>
      <c r="L24" s="72"/>
      <c r="M24" s="72"/>
      <c r="N24" s="72"/>
      <c r="O24" s="72"/>
      <c r="P24" s="72"/>
      <c r="Q24" s="72"/>
      <c r="R24" s="72"/>
    </row>
    <row r="25" spans="1:18" x14ac:dyDescent="0.3">
      <c r="A25" s="50">
        <v>1</v>
      </c>
      <c r="B25" s="126" t="s">
        <v>1031</v>
      </c>
      <c r="C25" s="86"/>
      <c r="D25" s="86"/>
      <c r="E25" s="86"/>
      <c r="F25" s="86"/>
      <c r="G25" s="86"/>
      <c r="H25" s="86"/>
      <c r="I25" s="86"/>
      <c r="J25" s="86"/>
      <c r="K25" s="86"/>
      <c r="L25" s="86"/>
      <c r="M25" s="86"/>
      <c r="N25" s="86"/>
      <c r="O25" s="86"/>
      <c r="P25" s="86"/>
      <c r="Q25" s="86"/>
      <c r="R25" s="86"/>
    </row>
    <row r="26" spans="1:18" x14ac:dyDescent="0.3">
      <c r="A26" s="50">
        <v>2</v>
      </c>
      <c r="B26" s="128" t="s">
        <v>1032</v>
      </c>
      <c r="C26" s="86"/>
      <c r="D26" s="86"/>
      <c r="E26" s="86"/>
      <c r="F26" s="86"/>
      <c r="G26" s="86"/>
      <c r="H26" s="86"/>
      <c r="I26" s="86"/>
      <c r="J26" s="86"/>
      <c r="K26" s="86"/>
      <c r="L26" s="86"/>
      <c r="M26" s="86"/>
      <c r="N26" s="86"/>
      <c r="O26" s="86"/>
      <c r="P26" s="86"/>
      <c r="Q26" s="86"/>
      <c r="R26" s="86"/>
    </row>
    <row r="27" spans="1:18" x14ac:dyDescent="0.3">
      <c r="A27" s="50">
        <v>3</v>
      </c>
      <c r="B27" s="126" t="s">
        <v>1033</v>
      </c>
      <c r="C27" s="86"/>
      <c r="D27" s="86"/>
      <c r="E27" s="86"/>
      <c r="F27" s="86"/>
      <c r="G27" s="86"/>
      <c r="H27" s="86"/>
      <c r="I27" s="86"/>
      <c r="J27" s="86"/>
      <c r="K27" s="86"/>
      <c r="L27" s="86"/>
      <c r="M27" s="86"/>
      <c r="N27" s="86"/>
      <c r="O27" s="86"/>
      <c r="P27" s="86"/>
      <c r="Q27" s="86"/>
      <c r="R27" s="86"/>
    </row>
    <row r="28" spans="1:18" x14ac:dyDescent="0.3">
      <c r="A28" s="50">
        <v>4</v>
      </c>
      <c r="B28" s="128" t="s">
        <v>1034</v>
      </c>
      <c r="C28" s="86"/>
      <c r="D28" s="86"/>
      <c r="E28" s="86"/>
      <c r="F28" s="86"/>
      <c r="G28" s="86"/>
      <c r="H28" s="86"/>
      <c r="I28" s="86"/>
      <c r="J28" s="86"/>
      <c r="K28" s="86"/>
      <c r="L28" s="86"/>
      <c r="M28" s="86"/>
      <c r="N28" s="86"/>
      <c r="O28" s="86"/>
      <c r="P28" s="86"/>
      <c r="Q28" s="86"/>
      <c r="R28" s="86"/>
    </row>
    <row r="29" spans="1:18" x14ac:dyDescent="0.3">
      <c r="A29" s="50">
        <v>5</v>
      </c>
      <c r="B29" s="126" t="s">
        <v>1035</v>
      </c>
      <c r="C29" s="86"/>
      <c r="D29" s="86"/>
      <c r="E29" s="86"/>
      <c r="F29" s="86"/>
      <c r="G29" s="86"/>
      <c r="H29" s="86"/>
      <c r="I29" s="86"/>
      <c r="J29" s="86"/>
      <c r="K29" s="86"/>
      <c r="L29" s="86"/>
      <c r="M29" s="86"/>
      <c r="N29" s="86"/>
      <c r="O29" s="86"/>
      <c r="P29" s="86"/>
      <c r="Q29" s="86"/>
      <c r="R29" s="86"/>
    </row>
    <row r="30" spans="1:18" x14ac:dyDescent="0.3">
      <c r="A30" s="50">
        <v>6</v>
      </c>
      <c r="B30" s="128" t="s">
        <v>1036</v>
      </c>
      <c r="C30" s="86"/>
      <c r="D30" s="86"/>
      <c r="E30" s="86"/>
      <c r="F30" s="86"/>
      <c r="G30" s="86"/>
      <c r="H30" s="86"/>
      <c r="I30" s="86"/>
      <c r="J30" s="86"/>
      <c r="K30" s="86"/>
      <c r="L30" s="86"/>
      <c r="M30" s="86"/>
      <c r="N30" s="86"/>
      <c r="O30" s="86"/>
      <c r="P30" s="86"/>
      <c r="Q30" s="86"/>
      <c r="R30" s="86"/>
    </row>
    <row r="31" spans="1:18" x14ac:dyDescent="0.3">
      <c r="A31" s="50">
        <v>7</v>
      </c>
      <c r="B31" s="126" t="s">
        <v>1037</v>
      </c>
      <c r="C31" s="86"/>
      <c r="D31" s="86"/>
      <c r="E31" s="86"/>
      <c r="F31" s="86"/>
      <c r="G31" s="86"/>
      <c r="H31" s="86"/>
      <c r="I31" s="86"/>
      <c r="J31" s="86"/>
      <c r="K31" s="86"/>
      <c r="L31" s="86"/>
      <c r="M31" s="86"/>
      <c r="N31" s="86"/>
      <c r="O31" s="86"/>
      <c r="P31" s="86"/>
      <c r="Q31" s="86"/>
      <c r="R31" s="86"/>
    </row>
    <row r="32" spans="1:18" x14ac:dyDescent="0.3">
      <c r="A32" s="50">
        <v>8</v>
      </c>
      <c r="B32" s="128" t="s">
        <v>1038</v>
      </c>
      <c r="C32" s="86"/>
      <c r="D32" s="86"/>
      <c r="E32" s="86"/>
      <c r="F32" s="86"/>
      <c r="G32" s="86"/>
      <c r="H32" s="86"/>
      <c r="I32" s="86"/>
      <c r="J32" s="86"/>
      <c r="K32" s="86"/>
      <c r="L32" s="86"/>
      <c r="M32" s="86"/>
      <c r="N32" s="86"/>
      <c r="O32" s="86"/>
      <c r="P32" s="86"/>
      <c r="Q32" s="86"/>
      <c r="R32" s="86"/>
    </row>
    <row r="33" spans="1:19" x14ac:dyDescent="0.3">
      <c r="A33" s="50">
        <v>9</v>
      </c>
      <c r="B33" s="126" t="s">
        <v>1039</v>
      </c>
      <c r="C33" s="86"/>
      <c r="D33" s="86"/>
      <c r="E33" s="86"/>
      <c r="F33" s="86"/>
      <c r="G33" s="86"/>
      <c r="H33" s="86"/>
      <c r="I33" s="86"/>
      <c r="J33" s="86"/>
      <c r="K33" s="86"/>
      <c r="L33" s="86"/>
      <c r="M33" s="86"/>
      <c r="N33" s="86"/>
      <c r="O33" s="86"/>
      <c r="P33" s="86"/>
      <c r="Q33" s="86"/>
      <c r="R33" s="86"/>
    </row>
    <row r="34" spans="1:19" x14ac:dyDescent="0.3">
      <c r="A34" s="50">
        <v>10</v>
      </c>
      <c r="B34" s="128" t="s">
        <v>1040</v>
      </c>
      <c r="C34" s="86"/>
      <c r="D34" s="86"/>
      <c r="E34" s="86"/>
      <c r="F34" s="86"/>
      <c r="G34" s="86"/>
      <c r="H34" s="86"/>
      <c r="I34" s="86"/>
      <c r="J34" s="86"/>
      <c r="K34" s="86"/>
      <c r="L34" s="86"/>
      <c r="M34" s="86"/>
      <c r="N34" s="86"/>
      <c r="O34" s="86"/>
      <c r="P34" s="86"/>
      <c r="Q34" s="86"/>
      <c r="R34" s="86"/>
    </row>
    <row r="36" spans="1:19" ht="22.05" customHeight="1" x14ac:dyDescent="0.3">
      <c r="A36" s="71" t="s">
        <v>933</v>
      </c>
      <c r="B36" s="72"/>
      <c r="C36" s="72"/>
      <c r="D36" s="72"/>
      <c r="E36" s="72"/>
      <c r="F36" s="72"/>
      <c r="G36" s="72"/>
      <c r="H36" s="72"/>
      <c r="I36" s="72"/>
      <c r="J36" s="72"/>
      <c r="K36" s="72"/>
      <c r="L36" s="72"/>
      <c r="M36" s="72"/>
      <c r="N36" s="72"/>
      <c r="O36" s="72"/>
      <c r="P36" s="72"/>
      <c r="Q36" s="72"/>
      <c r="R36" s="72"/>
    </row>
    <row r="37" spans="1:19" x14ac:dyDescent="0.3">
      <c r="A37" s="12" t="s">
        <v>934</v>
      </c>
      <c r="B37" s="12" t="s">
        <v>112</v>
      </c>
      <c r="C37" s="12" t="s">
        <v>935</v>
      </c>
      <c r="D37" s="12" t="s">
        <v>91</v>
      </c>
      <c r="E37" s="12" t="s">
        <v>66</v>
      </c>
      <c r="F37" s="12" t="s">
        <v>70</v>
      </c>
      <c r="G37" s="12" t="s">
        <v>936</v>
      </c>
      <c r="H37" s="12" t="s">
        <v>92</v>
      </c>
      <c r="I37" s="12" t="s">
        <v>937</v>
      </c>
      <c r="J37" s="12" t="s">
        <v>938</v>
      </c>
      <c r="K37" s="12" t="s">
        <v>939</v>
      </c>
      <c r="L37" s="12" t="s">
        <v>940</v>
      </c>
      <c r="M37" s="12" t="s">
        <v>941</v>
      </c>
      <c r="N37" s="12" t="s">
        <v>942</v>
      </c>
      <c r="O37" s="12" t="s">
        <v>943</v>
      </c>
      <c r="P37" s="12" t="s">
        <v>944</v>
      </c>
    </row>
    <row r="38" spans="1:19" ht="48" customHeight="1" x14ac:dyDescent="0.3">
      <c r="A38" s="7">
        <v>1</v>
      </c>
      <c r="B38" s="51" t="str">
        <f>IF($S38="","",IF(INDEX('Master Tracker'!$A$6:$A$400,$S38)="","",INDEX('Master Tracker'!$A$6:$A$400,$S38)))</f>
        <v>P4-01</v>
      </c>
      <c r="C38" s="52" t="str">
        <f>IF($S38="","",IF(INDEX('Master Tracker'!$C$6:$C$400,$S38)="","",INDEX('Master Tracker'!$C$6:$C$400,$S38)))</f>
        <v>CPT Engine</v>
      </c>
      <c r="D38" s="52" t="str">
        <f>IF($S38="","",IF(INDEX('Master Tracker'!$D$6:$D$400,$S38)="","",INDEX('Master Tracker'!$D$6:$D$400,$S38)))</f>
        <v>Register magazine_issue custom post type</v>
      </c>
      <c r="E38" s="7" t="str">
        <f>IF($S38="","",IF(INDEX('Master Tracker'!$F$6:$F$400,$S38)="","",INDEX('Master Tracker'!$F$6:$F$400,$S38)))</f>
        <v>P0</v>
      </c>
      <c r="F38" s="7" t="str">
        <f>IF($S38="","",IF(INDEX('Master Tracker'!$G$6:$G$400,$S38)="","",INDEX('Master Tracker'!$G$6:$G$400,$S38)))</f>
        <v>Not Started</v>
      </c>
      <c r="G38" s="19">
        <f>IF($S38="","",IF(INDEX('Master Tracker'!$H$6:$H$400,$S38)="","",INDEX('Master Tracker'!$H$6:$H$400,$S38)))</f>
        <v>46316</v>
      </c>
      <c r="H38" s="19">
        <f>IF($S38="","",IF(INDEX('Master Tracker'!$I$6:$I$400,$S38)="","",INDEX('Master Tracker'!$I$6:$I$400,$S38)))</f>
        <v>46316</v>
      </c>
      <c r="I38" s="53">
        <f>IF($S38="","",IF(INDEX('Master Tracker'!$U$6:$U$400,$S38)="","",INDEX('Master Tracker'!$U$6:$U$400,$S38)))</f>
        <v>0</v>
      </c>
      <c r="J38" s="52" t="str">
        <f>IF($S38="","",IF(INDEX('Master Tracker'!$K$6:$K$400,$S38)="","",INDEX('Master Tracker'!$K$6:$K$400,$S38)))</f>
        <v>P1-17</v>
      </c>
      <c r="K38" s="52" t="str">
        <f>IF($S38="","",IF(INDEX('Master Tracker'!$Y$6:$Y$400,$S38)="","",INDEX('Master Tracker'!$Y$6:$Y$400,$S38)))</f>
        <v>⏳ 1 open</v>
      </c>
      <c r="L38" s="52" t="str">
        <f>IF($S38="","",IF(INDEX('Master Tracker'!$M$6:$M$400,$S38)="","",INDEX('Master Tracker'!$M$6:$M$400,$S38)))</f>
        <v>inc/cpt-issues.php</v>
      </c>
      <c r="M38" s="52" t="str">
        <f>IF($S38="","",IF(INDEX('Master Tracker'!$O$6:$O$400,$S38)="","",INDEX('Master Tracker'!$O$6:$O$400,$S38)))</f>
        <v>CPT live with clean URLs</v>
      </c>
      <c r="N38" s="52" t="str">
        <f>IF($S38="","",IF(INDEX('Master Tracker'!$N$6:$N$400,$S38)="","",INDEX('Master Tracker'!$N$6:$N$400,$S38)))</f>
        <v>Create test issue; check archive URL and REST response; flush permalinks</v>
      </c>
      <c r="O38" s="7" t="str">
        <f>IF($S38="","",IF(INDEX('Master Tracker'!$T$6:$T$400,$S38)="","",INDEX('Master Tracker'!$T$6:$T$400,$S38)))</f>
        <v>Not Tested</v>
      </c>
      <c r="P38" s="7" t="str">
        <f ca="1">IF($S38="","",IF(INDEX('Master Tracker'!$AC$6:$AC$400,$S38)="","",INDEX('Master Tracker'!$AC$6:$AC$400,$S38)))</f>
        <v>On track</v>
      </c>
      <c r="S38">
        <f>IFERROR(MATCH("Phase 4|"&amp;A38,'Master Tracker'!$Z$6:$Z$400,0),"")</f>
        <v>58</v>
      </c>
    </row>
    <row r="39" spans="1:19" ht="48" customHeight="1" x14ac:dyDescent="0.3">
      <c r="A39" s="7">
        <v>2</v>
      </c>
      <c r="B39" s="51" t="str">
        <f>IF($S39="","",IF(INDEX('Master Tracker'!$A$6:$A$400,$S39)="","",INDEX('Master Tracker'!$A$6:$A$400,$S39)))</f>
        <v>P4-02</v>
      </c>
      <c r="C39" s="52" t="str">
        <f>IF($S39="","",IF(INDEX('Master Tracker'!$C$6:$C$400,$S39)="","",INDEX('Master Tracker'!$C$6:$C$400,$S39)))</f>
        <v>CPT Engine</v>
      </c>
      <c r="D39" s="52" t="str">
        <f>IF($S39="","",IF(INDEX('Master Tracker'!$D$6:$D$400,$S39)="","",INDEX('Master Tracker'!$D$6:$D$400,$S39)))</f>
        <v>Issue fields: number, date, year, decade, PDF, access</v>
      </c>
      <c r="E39" s="7" t="str">
        <f>IF($S39="","",IF(INDEX('Master Tracker'!$F$6:$F$400,$S39)="","",INDEX('Master Tracker'!$F$6:$F$400,$S39)))</f>
        <v>P0</v>
      </c>
      <c r="F39" s="7" t="str">
        <f>IF($S39="","",IF(INDEX('Master Tracker'!$G$6:$G$400,$S39)="","",INDEX('Master Tracker'!$G$6:$G$400,$S39)))</f>
        <v>Not Started</v>
      </c>
      <c r="G39" s="19">
        <f>IF($S39="","",IF(INDEX('Master Tracker'!$H$6:$H$400,$S39)="","",INDEX('Master Tracker'!$H$6:$H$400,$S39)))</f>
        <v>46316</v>
      </c>
      <c r="H39" s="19">
        <f>IF($S39="","",IF(INDEX('Master Tracker'!$I$6:$I$400,$S39)="","",INDEX('Master Tracker'!$I$6:$I$400,$S39)))</f>
        <v>46316</v>
      </c>
      <c r="I39" s="53">
        <f>IF($S39="","",IF(INDEX('Master Tracker'!$U$6:$U$400,$S39)="","",INDEX('Master Tracker'!$U$6:$U$400,$S39)))</f>
        <v>0</v>
      </c>
      <c r="J39" s="52" t="str">
        <f>IF($S39="","",IF(INDEX('Master Tracker'!$K$6:$K$400,$S39)="","",INDEX('Master Tracker'!$K$6:$K$400,$S39)))</f>
        <v>P4-01</v>
      </c>
      <c r="K39" s="52" t="str">
        <f>IF($S39="","",IF(INDEX('Master Tracker'!$Y$6:$Y$400,$S39)="","",INDEX('Master Tracker'!$Y$6:$Y$400,$S39)))</f>
        <v>⏳ 1 open</v>
      </c>
      <c r="L39" s="52" t="str">
        <f>IF($S39="","",IF(INDEX('Master Tracker'!$M$6:$M$400,$S39)="","",INDEX('Master Tracker'!$M$6:$M$400,$S39)))</f>
        <v>inc/issue-meta.php</v>
      </c>
      <c r="M39" s="52" t="str">
        <f>IF($S39="","",IF(INDEX('Master Tracker'!$O$6:$O$400,$S39)="","",INDEX('Master Tracker'!$O$6:$O$400,$S39)))</f>
        <v>All issue metadata editable and validated</v>
      </c>
      <c r="N39" s="52" t="str">
        <f>IF($S39="","",IF(INDEX('Master Tracker'!$N$6:$N$400,$S39)="","",INDEX('Master Tracker'!$N$6:$N$400,$S39)))</f>
        <v>Save issue; decade auto-calculates; invalid values rejected</v>
      </c>
      <c r="O39" s="7" t="str">
        <f>IF($S39="","",IF(INDEX('Master Tracker'!$T$6:$T$400,$S39)="","",INDEX('Master Tracker'!$T$6:$T$400,$S39)))</f>
        <v>Not Tested</v>
      </c>
      <c r="P39" s="7" t="str">
        <f ca="1">IF($S39="","",IF(INDEX('Master Tracker'!$AC$6:$AC$400,$S39)="","",INDEX('Master Tracker'!$AC$6:$AC$400,$S39)))</f>
        <v>On track</v>
      </c>
      <c r="S39">
        <f>IFERROR(MATCH("Phase 4|"&amp;A39,'Master Tracker'!$Z$6:$Z$400,0),"")</f>
        <v>59</v>
      </c>
    </row>
    <row r="40" spans="1:19" ht="48" customHeight="1" x14ac:dyDescent="0.3">
      <c r="A40" s="7">
        <v>3</v>
      </c>
      <c r="B40" s="51" t="str">
        <f>IF($S40="","",IF(INDEX('Master Tracker'!$A$6:$A$400,$S40)="","",INDEX('Master Tracker'!$A$6:$A$400,$S40)))</f>
        <v>P4-03</v>
      </c>
      <c r="C40" s="52" t="str">
        <f>IF($S40="","",IF(INDEX('Master Tracker'!$C$6:$C$400,$S40)="","",INDEX('Master Tracker'!$C$6:$C$400,$S40)))</f>
        <v>Historical Assets</v>
      </c>
      <c r="D40" s="52" t="str">
        <f>IF($S40="","",IF(INDEX('Master Tracker'!$D$6:$D$400,$S40)="","",INDEX('Master Tracker'!$D$6:$D$400,$S40)))</f>
        <v>Collect 48 historical issue PDFs, covers &amp; manifest</v>
      </c>
      <c r="E40" s="7" t="str">
        <f>IF($S40="","",IF(INDEX('Master Tracker'!$F$6:$F$400,$S40)="","",INDEX('Master Tracker'!$F$6:$F$400,$S40)))</f>
        <v>P0</v>
      </c>
      <c r="F40" s="7" t="str">
        <f>IF($S40="","",IF(INDEX('Master Tracker'!$G$6:$G$400,$S40)="","",INDEX('Master Tracker'!$G$6:$G$400,$S40)))</f>
        <v>Not Started</v>
      </c>
      <c r="G40" s="19">
        <f>IF($S40="","",IF(INDEX('Master Tracker'!$H$6:$H$400,$S40)="","",INDEX('Master Tracker'!$H$6:$H$400,$S40)))</f>
        <v>46307</v>
      </c>
      <c r="H40" s="19">
        <f>IF($S40="","",IF(INDEX('Master Tracker'!$I$6:$I$400,$S40)="","",INDEX('Master Tracker'!$I$6:$I$400,$S40)))</f>
        <v>46315</v>
      </c>
      <c r="I40" s="53">
        <f>IF($S40="","",IF(INDEX('Master Tracker'!$U$6:$U$400,$S40)="","",INDEX('Master Tracker'!$U$6:$U$400,$S40)))</f>
        <v>0</v>
      </c>
      <c r="J40" s="52" t="str">
        <f>IF($S40="","",IF(INDEX('Master Tracker'!$K$6:$K$400,$S40)="","",INDEX('Master Tracker'!$K$6:$K$400,$S40)))</f>
        <v/>
      </c>
      <c r="K40" s="52" t="str">
        <f>IF($S40="","",IF(INDEX('Master Tracker'!$Y$6:$Y$400,$S40)="","",INDEX('Master Tracker'!$Y$6:$Y$400,$S40)))</f>
        <v/>
      </c>
      <c r="L40" s="52" t="str">
        <f>IF($S40="","",IF(INDEX('Master Tracker'!$M$6:$M$400,$S40)="","",INDEX('Master Tracker'!$M$6:$M$400,$S40)))</f>
        <v>url: shared drive</v>
      </c>
      <c r="M40" s="52" t="str">
        <f>IF($S40="","",IF(INDEX('Master Tracker'!$O$6:$O$400,$S40)="","",INDEX('Master Tracker'!$O$6:$O$400,$S40)))</f>
        <v>All historical assets received and checked</v>
      </c>
      <c r="N40" s="52" t="str">
        <f>IF($S40="","",IF(INDEX('Master Tracker'!$N$6:$N$400,$S40)="","",INDEX('Master Tracker'!$N$6:$N$400,$S40)))</f>
        <v>Count received files = 48 PDFs + 48 covers; manifest complete</v>
      </c>
      <c r="O40" s="7" t="str">
        <f>IF($S40="","",IF(INDEX('Master Tracker'!$T$6:$T$400,$S40)="","",INDEX('Master Tracker'!$T$6:$T$400,$S40)))</f>
        <v>Not Tested</v>
      </c>
      <c r="P40" s="7" t="str">
        <f ca="1">IF($S40="","",IF(INDEX('Master Tracker'!$AC$6:$AC$400,$S40)="","",INDEX('Master Tracker'!$AC$6:$AC$400,$S40)))</f>
        <v>External req.</v>
      </c>
      <c r="S40">
        <f>IFERROR(MATCH("Phase 4|"&amp;A40,'Master Tracker'!$Z$6:$Z$400,0),"")</f>
        <v>60</v>
      </c>
    </row>
    <row r="41" spans="1:19" ht="48" customHeight="1" x14ac:dyDescent="0.3">
      <c r="A41" s="7">
        <v>4</v>
      </c>
      <c r="B41" s="51" t="str">
        <f>IF($S41="","",IF(INDEX('Master Tracker'!$A$6:$A$400,$S41)="","",INDEX('Master Tracker'!$A$6:$A$400,$S41)))</f>
        <v>P4-04</v>
      </c>
      <c r="C41" s="52" t="str">
        <f>IF($S41="","",IF(INDEX('Master Tracker'!$C$6:$C$400,$S41)="","",INDEX('Master Tracker'!$C$6:$C$400,$S41)))</f>
        <v>Migration</v>
      </c>
      <c r="D41" s="52" t="str">
        <f>IF($S41="","",IF(INDEX('Master Tracker'!$D$6:$D$400,$S41)="","",INDEX('Master Tracker'!$D$6:$D$400,$S41)))</f>
        <v>Historical issue migration (import 48 issues)</v>
      </c>
      <c r="E41" s="7" t="str">
        <f>IF($S41="","",IF(INDEX('Master Tracker'!$F$6:$F$400,$S41)="","",INDEX('Master Tracker'!$F$6:$F$400,$S41)))</f>
        <v>P0</v>
      </c>
      <c r="F41" s="7" t="str">
        <f>IF($S41="","",IF(INDEX('Master Tracker'!$G$6:$G$400,$S41)="","",INDEX('Master Tracker'!$G$6:$G$400,$S41)))</f>
        <v>Not Started</v>
      </c>
      <c r="G41" s="19">
        <f>IF($S41="","",IF(INDEX('Master Tracker'!$H$6:$H$400,$S41)="","",INDEX('Master Tracker'!$H$6:$H$400,$S41)))</f>
        <v>46316</v>
      </c>
      <c r="H41" s="19">
        <f>IF($S41="","",IF(INDEX('Master Tracker'!$I$6:$I$400,$S41)="","",INDEX('Master Tracker'!$I$6:$I$400,$S41)))</f>
        <v>46316</v>
      </c>
      <c r="I41" s="53">
        <f>IF($S41="","",IF(INDEX('Master Tracker'!$U$6:$U$400,$S41)="","",INDEX('Master Tracker'!$U$6:$U$400,$S41)))</f>
        <v>0</v>
      </c>
      <c r="J41" s="52" t="str">
        <f>IF($S41="","",IF(INDEX('Master Tracker'!$K$6:$K$400,$S41)="","",INDEX('Master Tracker'!$K$6:$K$400,$S41)))</f>
        <v>P4-02, P4-03</v>
      </c>
      <c r="K41" s="52" t="str">
        <f>IF($S41="","",IF(INDEX('Master Tracker'!$Y$6:$Y$400,$S41)="","",INDEX('Master Tracker'!$Y$6:$Y$400,$S41)))</f>
        <v>⏳ 2 open</v>
      </c>
      <c r="L41" s="52" t="str">
        <f>IF($S41="","",IF(INDEX('Master Tracker'!$M$6:$M$400,$S41)="","",INDEX('Master Tracker'!$M$6:$M$400,$S41)))</f>
        <v>inc/issue-import.php, issues-manifest.csv</v>
      </c>
      <c r="M41" s="52" t="str">
        <f>IF($S41="","",IF(INDEX('Master Tracker'!$O$6:$O$400,$S41)="","",INDEX('Master Tracker'!$O$6:$O$400,$S41)))</f>
        <v>All 48 issues imported with correct metadata, covers and PDFs</v>
      </c>
      <c r="N41" s="52" t="str">
        <f>IF($S41="","",IF(INDEX('Master Tracker'!$N$6:$N$400,$S41)="","",INDEX('Master Tracker'!$N$6:$N$400,$S41)))</f>
        <v>Run import twice; still 48 issues; spot-check 10</v>
      </c>
      <c r="O41" s="7" t="str">
        <f>IF($S41="","",IF(INDEX('Master Tracker'!$T$6:$T$400,$S41)="","",INDEX('Master Tracker'!$T$6:$T$400,$S41)))</f>
        <v>Not Tested</v>
      </c>
      <c r="P41" s="7" t="str">
        <f ca="1">IF($S41="","",IF(INDEX('Master Tracker'!$AC$6:$AC$400,$S41)="","",INDEX('Master Tracker'!$AC$6:$AC$400,$S41)))</f>
        <v>External req.</v>
      </c>
      <c r="S41">
        <f>IFERROR(MATCH("Phase 4|"&amp;A41,'Master Tracker'!$Z$6:$Z$400,0),"")</f>
        <v>61</v>
      </c>
    </row>
    <row r="42" spans="1:19" ht="48" customHeight="1" x14ac:dyDescent="0.3">
      <c r="A42" s="7">
        <v>5</v>
      </c>
      <c r="B42" s="51" t="str">
        <f>IF($S42="","",IF(INDEX('Master Tracker'!$A$6:$A$400,$S42)="","",INDEX('Master Tracker'!$A$6:$A$400,$S42)))</f>
        <v>P4-05</v>
      </c>
      <c r="C42" s="52" t="str">
        <f>IF($S42="","",IF(INDEX('Master Tracker'!$C$6:$C$400,$S42)="","",INDEX('Master Tracker'!$C$6:$C$400,$S42)))</f>
        <v>Cover Images</v>
      </c>
      <c r="D42" s="52" t="str">
        <f>IF($S42="","",IF(INDEX('Master Tracker'!$D$6:$D$400,$S42)="","",INDEX('Master Tracker'!$D$6:$D$400,$S42)))</f>
        <v>Cover image optimization</v>
      </c>
      <c r="E42" s="7" t="str">
        <f>IF($S42="","",IF(INDEX('Master Tracker'!$F$6:$F$400,$S42)="","",INDEX('Master Tracker'!$F$6:$F$400,$S42)))</f>
        <v>P1</v>
      </c>
      <c r="F42" s="7" t="str">
        <f>IF($S42="","",IF(INDEX('Master Tracker'!$G$6:$G$400,$S42)="","",INDEX('Master Tracker'!$G$6:$G$400,$S42)))</f>
        <v>Not Started</v>
      </c>
      <c r="G42" s="19">
        <f>IF($S42="","",IF(INDEX('Master Tracker'!$H$6:$H$400,$S42)="","",INDEX('Master Tracker'!$H$6:$H$400,$S42)))</f>
        <v>46316</v>
      </c>
      <c r="H42" s="19">
        <f>IF($S42="","",IF(INDEX('Master Tracker'!$I$6:$I$400,$S42)="","",INDEX('Master Tracker'!$I$6:$I$400,$S42)))</f>
        <v>46316</v>
      </c>
      <c r="I42" s="53">
        <f>IF($S42="","",IF(INDEX('Master Tracker'!$U$6:$U$400,$S42)="","",INDEX('Master Tracker'!$U$6:$U$400,$S42)))</f>
        <v>0</v>
      </c>
      <c r="J42" s="52" t="str">
        <f>IF($S42="","",IF(INDEX('Master Tracker'!$K$6:$K$400,$S42)="","",INDEX('Master Tracker'!$K$6:$K$400,$S42)))</f>
        <v>P4-04</v>
      </c>
      <c r="K42" s="52" t="str">
        <f>IF($S42="","",IF(INDEX('Master Tracker'!$Y$6:$Y$400,$S42)="","",INDEX('Master Tracker'!$Y$6:$Y$400,$S42)))</f>
        <v>⏳ 1 open</v>
      </c>
      <c r="L42" s="52" t="str">
        <f>IF($S42="","",IF(INDEX('Master Tracker'!$M$6:$M$400,$S42)="","",INDEX('Master Tracker'!$M$6:$M$400,$S42)))</f>
        <v>inc/media.php</v>
      </c>
      <c r="M42" s="52" t="str">
        <f>IF($S42="","",IF(INDEX('Master Tracker'!$O$6:$O$400,$S42)="","",INDEX('Master Tracker'!$O$6:$O$400,$S42)))</f>
        <v>Covers sharp and lightweight</v>
      </c>
      <c r="N42" s="52" t="str">
        <f>IF($S42="","",IF(INDEX('Master Tracker'!$N$6:$N$400,$S42)="","",INDEX('Master Tracker'!$N$6:$N$400,$S42)))</f>
        <v>Check archive weight and image dimensions</v>
      </c>
      <c r="O42" s="7" t="str">
        <f>IF($S42="","",IF(INDEX('Master Tracker'!$T$6:$T$400,$S42)="","",INDEX('Master Tracker'!$T$6:$T$400,$S42)))</f>
        <v>Not Tested</v>
      </c>
      <c r="P42" s="7" t="str">
        <f ca="1">IF($S42="","",IF(INDEX('Master Tracker'!$AC$6:$AC$400,$S42)="","",INDEX('Master Tracker'!$AC$6:$AC$400,$S42)))</f>
        <v>On track</v>
      </c>
      <c r="S42">
        <f>IFERROR(MATCH("Phase 4|"&amp;A42,'Master Tracker'!$Z$6:$Z$400,0),"")</f>
        <v>62</v>
      </c>
    </row>
    <row r="43" spans="1:19" ht="48" customHeight="1" x14ac:dyDescent="0.3">
      <c r="A43" s="7">
        <v>6</v>
      </c>
      <c r="B43" s="51" t="str">
        <f>IF($S43="","",IF(INDEX('Master Tracker'!$A$6:$A$400,$S43)="","",INDEX('Master Tracker'!$A$6:$A$400,$S43)))</f>
        <v>P4-06</v>
      </c>
      <c r="C43" s="52" t="str">
        <f>IF($S43="","",IF(INDEX('Master Tracker'!$C$6:$C$400,$S43)="","",INDEX('Master Tracker'!$C$6:$C$400,$S43)))</f>
        <v>Issue Archive</v>
      </c>
      <c r="D43" s="52" t="str">
        <f>IF($S43="","",IF(INDEX('Master Tracker'!$D$6:$D$400,$S43)="","",INDEX('Master Tracker'!$D$6:$D$400,$S43)))</f>
        <v>Issue archive template</v>
      </c>
      <c r="E43" s="7" t="str">
        <f>IF($S43="","",IF(INDEX('Master Tracker'!$F$6:$F$400,$S43)="","",INDEX('Master Tracker'!$F$6:$F$400,$S43)))</f>
        <v>P0</v>
      </c>
      <c r="F43" s="7" t="str">
        <f>IF($S43="","",IF(INDEX('Master Tracker'!$G$6:$G$400,$S43)="","",INDEX('Master Tracker'!$G$6:$G$400,$S43)))</f>
        <v>Not Started</v>
      </c>
      <c r="G43" s="19">
        <f>IF($S43="","",IF(INDEX('Master Tracker'!$H$6:$H$400,$S43)="","",INDEX('Master Tracker'!$H$6:$H$400,$S43)))</f>
        <v>46316</v>
      </c>
      <c r="H43" s="19">
        <f>IF($S43="","",IF(INDEX('Master Tracker'!$I$6:$I$400,$S43)="","",INDEX('Master Tracker'!$I$6:$I$400,$S43)))</f>
        <v>46316</v>
      </c>
      <c r="I43" s="53">
        <f>IF($S43="","",IF(INDEX('Master Tracker'!$U$6:$U$400,$S43)="","",INDEX('Master Tracker'!$U$6:$U$400,$S43)))</f>
        <v>0</v>
      </c>
      <c r="J43" s="52" t="str">
        <f>IF($S43="","",IF(INDEX('Master Tracker'!$K$6:$K$400,$S43)="","",INDEX('Master Tracker'!$K$6:$K$400,$S43)))</f>
        <v>P4-01</v>
      </c>
      <c r="K43" s="52" t="str">
        <f>IF($S43="","",IF(INDEX('Master Tracker'!$Y$6:$Y$400,$S43)="","",INDEX('Master Tracker'!$Y$6:$Y$400,$S43)))</f>
        <v>⏳ 1 open</v>
      </c>
      <c r="L43" s="52" t="str">
        <f>IF($S43="","",IF(INDEX('Master Tracker'!$M$6:$M$400,$S43)="","",INDEX('Master Tracker'!$M$6:$M$400,$S43)))</f>
        <v>archive-magazine_issue.php, template-parts/issue/card.php</v>
      </c>
      <c r="M43" s="52" t="str">
        <f>IF($S43="","",IF(INDEX('Master Tracker'!$O$6:$O$400,$S43)="","",INDEX('Master Tracker'!$O$6:$O$400,$S43)))</f>
        <v>Archive lists all issues correctly</v>
      </c>
      <c r="N43" s="52" t="str">
        <f>IF($S43="","",IF(INDEX('Master Tracker'!$N$6:$N$400,$S43)="","",INDEX('Master Tracker'!$N$6:$N$400,$S43)))</f>
        <v>Open archive; check ordering and pagination</v>
      </c>
      <c r="O43" s="7" t="str">
        <f>IF($S43="","",IF(INDEX('Master Tracker'!$T$6:$T$400,$S43)="","",INDEX('Master Tracker'!$T$6:$T$400,$S43)))</f>
        <v>Not Tested</v>
      </c>
      <c r="P43" s="7" t="str">
        <f ca="1">IF($S43="","",IF(INDEX('Master Tracker'!$AC$6:$AC$400,$S43)="","",INDEX('Master Tracker'!$AC$6:$AC$400,$S43)))</f>
        <v>On track</v>
      </c>
      <c r="S43">
        <f>IFERROR(MATCH("Phase 4|"&amp;A43,'Master Tracker'!$Z$6:$Z$400,0),"")</f>
        <v>63</v>
      </c>
    </row>
    <row r="44" spans="1:19" ht="48" customHeight="1" x14ac:dyDescent="0.3">
      <c r="A44" s="7">
        <v>7</v>
      </c>
      <c r="B44" s="51" t="str">
        <f>IF($S44="","",IF(INDEX('Master Tracker'!$A$6:$A$400,$S44)="","",INDEX('Master Tracker'!$A$6:$A$400,$S44)))</f>
        <v>P4-07</v>
      </c>
      <c r="C44" s="52" t="str">
        <f>IF($S44="","",IF(INDEX('Master Tracker'!$C$6:$C$400,$S44)="","",INDEX('Master Tracker'!$C$6:$C$400,$S44)))</f>
        <v>Issue Archive</v>
      </c>
      <c r="D44" s="52" t="str">
        <f>IF($S44="","",IF(INDEX('Master Tracker'!$D$6:$D$400,$S44)="","",INDEX('Master Tracker'!$D$6:$D$400,$S44)))</f>
        <v>Year &amp; decade filtering</v>
      </c>
      <c r="E44" s="7" t="str">
        <f>IF($S44="","",IF(INDEX('Master Tracker'!$F$6:$F$400,$S44)="","",INDEX('Master Tracker'!$F$6:$F$400,$S44)))</f>
        <v>P1</v>
      </c>
      <c r="F44" s="7" t="str">
        <f>IF($S44="","",IF(INDEX('Master Tracker'!$G$6:$G$400,$S44)="","",INDEX('Master Tracker'!$G$6:$G$400,$S44)))</f>
        <v>Not Started</v>
      </c>
      <c r="G44" s="19">
        <f>IF($S44="","",IF(INDEX('Master Tracker'!$H$6:$H$400,$S44)="","",INDEX('Master Tracker'!$H$6:$H$400,$S44)))</f>
        <v>46316</v>
      </c>
      <c r="H44" s="19">
        <f>IF($S44="","",IF(INDEX('Master Tracker'!$I$6:$I$400,$S44)="","",INDEX('Master Tracker'!$I$6:$I$400,$S44)))</f>
        <v>46316</v>
      </c>
      <c r="I44" s="53">
        <f>IF($S44="","",IF(INDEX('Master Tracker'!$U$6:$U$400,$S44)="","",INDEX('Master Tracker'!$U$6:$U$400,$S44)))</f>
        <v>0</v>
      </c>
      <c r="J44" s="52" t="str">
        <f>IF($S44="","",IF(INDEX('Master Tracker'!$K$6:$K$400,$S44)="","",INDEX('Master Tracker'!$K$6:$K$400,$S44)))</f>
        <v>P4-06</v>
      </c>
      <c r="K44" s="52" t="str">
        <f>IF($S44="","",IF(INDEX('Master Tracker'!$Y$6:$Y$400,$S44)="","",INDEX('Master Tracker'!$Y$6:$Y$400,$S44)))</f>
        <v>⏳ 1 open</v>
      </c>
      <c r="L44" s="52" t="str">
        <f>IF($S44="","",IF(INDEX('Master Tracker'!$M$6:$M$400,$S44)="","",INDEX('Master Tracker'!$M$6:$M$400,$S44)))</f>
        <v>archive-magazine_issue.php, assets/js/modules/issue-filter.js</v>
      </c>
      <c r="M44" s="52" t="str">
        <f>IF($S44="","",IF(INDEX('Master Tracker'!$O$6:$O$400,$S44)="","",INDEX('Master Tracker'!$O$6:$O$400,$S44)))</f>
        <v>Filters return correct issues</v>
      </c>
      <c r="N44" s="52" t="str">
        <f>IF($S44="","",IF(INDEX('Master Tracker'!$N$6:$N$400,$S44)="","",INDEX('Master Tracker'!$N$6:$N$400,$S44)))</f>
        <v>Filter each decade/year; counts match manifest</v>
      </c>
      <c r="O44" s="7" t="str">
        <f>IF($S44="","",IF(INDEX('Master Tracker'!$T$6:$T$400,$S44)="","",INDEX('Master Tracker'!$T$6:$T$400,$S44)))</f>
        <v>Not Tested</v>
      </c>
      <c r="P44" s="7" t="str">
        <f ca="1">IF($S44="","",IF(INDEX('Master Tracker'!$AC$6:$AC$400,$S44)="","",INDEX('Master Tracker'!$AC$6:$AC$400,$S44)))</f>
        <v>On track</v>
      </c>
      <c r="S44">
        <f>IFERROR(MATCH("Phase 4|"&amp;A44,'Master Tracker'!$Z$6:$Z$400,0),"")</f>
        <v>64</v>
      </c>
    </row>
    <row r="45" spans="1:19" ht="48" customHeight="1" x14ac:dyDescent="0.3">
      <c r="A45" s="7">
        <v>8</v>
      </c>
      <c r="B45" s="51" t="str">
        <f>IF($S45="","",IF(INDEX('Master Tracker'!$A$6:$A$400,$S45)="","",INDEX('Master Tracker'!$A$6:$A$400,$S45)))</f>
        <v>P4-08</v>
      </c>
      <c r="C45" s="52" t="str">
        <f>IF($S45="","",IF(INDEX('Master Tracker'!$C$6:$C$400,$S45)="","",INDEX('Master Tracker'!$C$6:$C$400,$S45)))</f>
        <v>Single Issue</v>
      </c>
      <c r="D45" s="52" t="str">
        <f>IF($S45="","",IF(INDEX('Master Tracker'!$D$6:$D$400,$S45)="","",INDEX('Master Tracker'!$D$6:$D$400,$S45)))</f>
        <v>Single issue page</v>
      </c>
      <c r="E45" s="7" t="str">
        <f>IF($S45="","",IF(INDEX('Master Tracker'!$F$6:$F$400,$S45)="","",INDEX('Master Tracker'!$F$6:$F$400,$S45)))</f>
        <v>P0</v>
      </c>
      <c r="F45" s="7" t="str">
        <f>IF($S45="","",IF(INDEX('Master Tracker'!$G$6:$G$400,$S45)="","",INDEX('Master Tracker'!$G$6:$G$400,$S45)))</f>
        <v>Not Started</v>
      </c>
      <c r="G45" s="19">
        <f>IF($S45="","",IF(INDEX('Master Tracker'!$H$6:$H$400,$S45)="","",INDEX('Master Tracker'!$H$6:$H$400,$S45)))</f>
        <v>46317</v>
      </c>
      <c r="H45" s="19">
        <f>IF($S45="","",IF(INDEX('Master Tracker'!$I$6:$I$400,$S45)="","",INDEX('Master Tracker'!$I$6:$I$400,$S45)))</f>
        <v>46317</v>
      </c>
      <c r="I45" s="53">
        <f>IF($S45="","",IF(INDEX('Master Tracker'!$U$6:$U$400,$S45)="","",INDEX('Master Tracker'!$U$6:$U$400,$S45)))</f>
        <v>0</v>
      </c>
      <c r="J45" s="52" t="str">
        <f>IF($S45="","",IF(INDEX('Master Tracker'!$K$6:$K$400,$S45)="","",INDEX('Master Tracker'!$K$6:$K$400,$S45)))</f>
        <v>P4-02</v>
      </c>
      <c r="K45" s="52" t="str">
        <f>IF($S45="","",IF(INDEX('Master Tracker'!$Y$6:$Y$400,$S45)="","",INDEX('Master Tracker'!$Y$6:$Y$400,$S45)))</f>
        <v>⏳ 1 open</v>
      </c>
      <c r="L45" s="52" t="str">
        <f>IF($S45="","",IF(INDEX('Master Tracker'!$M$6:$M$400,$S45)="","",INDEX('Master Tracker'!$M$6:$M$400,$S45)))</f>
        <v>single-magazine_issue.php</v>
      </c>
      <c r="M45" s="52" t="str">
        <f>IF($S45="","",IF(INDEX('Master Tracker'!$O$6:$O$400,$S45)="","",INDEX('Master Tracker'!$O$6:$O$400,$S45)))</f>
        <v>Single issue page complete for every issue</v>
      </c>
      <c r="N45" s="52" t="str">
        <f>IF($S45="","",IF(INDEX('Master Tracker'!$N$6:$N$400,$S45)="","",INDEX('Master Tracker'!$N$6:$N$400,$S45)))</f>
        <v>Open 5 issues incl. oldest and newest</v>
      </c>
      <c r="O45" s="7" t="str">
        <f>IF($S45="","",IF(INDEX('Master Tracker'!$T$6:$T$400,$S45)="","",INDEX('Master Tracker'!$T$6:$T$400,$S45)))</f>
        <v>Not Tested</v>
      </c>
      <c r="P45" s="7" t="str">
        <f ca="1">IF($S45="","",IF(INDEX('Master Tracker'!$AC$6:$AC$400,$S45)="","",INDEX('Master Tracker'!$AC$6:$AC$400,$S45)))</f>
        <v>On track</v>
      </c>
      <c r="S45">
        <f>IFERROR(MATCH("Phase 4|"&amp;A45,'Master Tracker'!$Z$6:$Z$400,0),"")</f>
        <v>65</v>
      </c>
    </row>
    <row r="46" spans="1:19" ht="48" customHeight="1" x14ac:dyDescent="0.3">
      <c r="A46" s="7">
        <v>9</v>
      </c>
      <c r="B46" s="51" t="str">
        <f>IF($S46="","",IF(INDEX('Master Tracker'!$A$6:$A$400,$S46)="","",INDEX('Master Tracker'!$A$6:$A$400,$S46)))</f>
        <v>P4-09</v>
      </c>
      <c r="C46" s="52" t="str">
        <f>IF($S46="","",IF(INDEX('Master Tracker'!$C$6:$C$400,$S46)="","",INDEX('Master Tracker'!$C$6:$C$400,$S46)))</f>
        <v>Flipbook</v>
      </c>
      <c r="D46" s="52" t="str">
        <f>IF($S46="","",IF(INDEX('Master Tracker'!$D$6:$D$400,$S46)="","",INDEX('Master Tracker'!$D$6:$D$400,$S46)))</f>
        <v>Flipbook reader</v>
      </c>
      <c r="E46" s="7" t="str">
        <f>IF($S46="","",IF(INDEX('Master Tracker'!$F$6:$F$400,$S46)="","",INDEX('Master Tracker'!$F$6:$F$400,$S46)))</f>
        <v>P1</v>
      </c>
      <c r="F46" s="7" t="str">
        <f>IF($S46="","",IF(INDEX('Master Tracker'!$G$6:$G$400,$S46)="","",INDEX('Master Tracker'!$G$6:$G$400,$S46)))</f>
        <v>Not Started</v>
      </c>
      <c r="G46" s="19">
        <f>IF($S46="","",IF(INDEX('Master Tracker'!$H$6:$H$400,$S46)="","",INDEX('Master Tracker'!$H$6:$H$400,$S46)))</f>
        <v>46317</v>
      </c>
      <c r="H46" s="19">
        <f>IF($S46="","",IF(INDEX('Master Tracker'!$I$6:$I$400,$S46)="","",INDEX('Master Tracker'!$I$6:$I$400,$S46)))</f>
        <v>46317</v>
      </c>
      <c r="I46" s="53">
        <f>IF($S46="","",IF(INDEX('Master Tracker'!$U$6:$U$400,$S46)="","",INDEX('Master Tracker'!$U$6:$U$400,$S46)))</f>
        <v>0</v>
      </c>
      <c r="J46" s="52" t="str">
        <f>IF($S46="","",IF(INDEX('Master Tracker'!$K$6:$K$400,$S46)="","",INDEX('Master Tracker'!$K$6:$K$400,$S46)))</f>
        <v>P4-08</v>
      </c>
      <c r="K46" s="52" t="str">
        <f>IF($S46="","",IF(INDEX('Master Tracker'!$Y$6:$Y$400,$S46)="","",INDEX('Master Tracker'!$Y$6:$Y$400,$S46)))</f>
        <v>⏳ 1 open</v>
      </c>
      <c r="L46" s="52" t="str">
        <f>IF($S46="","",IF(INDEX('Master Tracker'!$M$6:$M$400,$S46)="","",INDEX('Master Tracker'!$M$6:$M$400,$S46)))</f>
        <v>assets/js/modules/flipbook.js, assets/vendor/pdfjs/*</v>
      </c>
      <c r="M46" s="52" t="str">
        <f>IF($S46="","",IF(INDEX('Master Tracker'!$O$6:$O$400,$S46)="","",INDEX('Master Tracker'!$O$6:$O$400,$S46)))</f>
        <v>Readable flipbook on desktop &amp; mobile without blocking page load</v>
      </c>
      <c r="N46" s="52" t="str">
        <f>IF($S46="","",IF(INDEX('Master Tracker'!$N$6:$N$400,$S46)="","",INDEX('Master Tracker'!$N$6:$N$400,$S46)))</f>
        <v>Open large PDF on mobile &amp; desktop; measure load time</v>
      </c>
      <c r="O46" s="7" t="str">
        <f>IF($S46="","",IF(INDEX('Master Tracker'!$T$6:$T$400,$S46)="","",INDEX('Master Tracker'!$T$6:$T$400,$S46)))</f>
        <v>Not Tested</v>
      </c>
      <c r="P46" s="7" t="str">
        <f ca="1">IF($S46="","",IF(INDEX('Master Tracker'!$AC$6:$AC$400,$S46)="","",INDEX('Master Tracker'!$AC$6:$AC$400,$S46)))</f>
        <v>On track</v>
      </c>
      <c r="S46">
        <f>IFERROR(MATCH("Phase 4|"&amp;A46,'Master Tracker'!$Z$6:$Z$400,0),"")</f>
        <v>66</v>
      </c>
    </row>
    <row r="47" spans="1:19" ht="48" customHeight="1" x14ac:dyDescent="0.3">
      <c r="A47" s="7">
        <v>10</v>
      </c>
      <c r="B47" s="51" t="str">
        <f>IF($S47="","",IF(INDEX('Master Tracker'!$A$6:$A$400,$S47)="","",INDEX('Master Tracker'!$A$6:$A$400,$S47)))</f>
        <v>P4-10</v>
      </c>
      <c r="C47" s="52" t="str">
        <f>IF($S47="","",IF(INDEX('Master Tracker'!$C$6:$C$400,$S47)="","",INDEX('Master Tracker'!$C$6:$C$400,$S47)))</f>
        <v>PDF Downloads</v>
      </c>
      <c r="D47" s="52" t="str">
        <f>IF($S47="","",IF(INDEX('Master Tracker'!$D$6:$D$400,$S47)="","",INDEX('Master Tracker'!$D$6:$D$400,$S47)))</f>
        <v>Secure PDF downloads</v>
      </c>
      <c r="E47" s="7" t="str">
        <f>IF($S47="","",IF(INDEX('Master Tracker'!$F$6:$F$400,$S47)="","",INDEX('Master Tracker'!$F$6:$F$400,$S47)))</f>
        <v>P0</v>
      </c>
      <c r="F47" s="7" t="str">
        <f>IF($S47="","",IF(INDEX('Master Tracker'!$G$6:$G$400,$S47)="","",INDEX('Master Tracker'!$G$6:$G$400,$S47)))</f>
        <v>Not Started</v>
      </c>
      <c r="G47" s="19">
        <f>IF($S47="","",IF(INDEX('Master Tracker'!$H$6:$H$400,$S47)="","",INDEX('Master Tracker'!$H$6:$H$400,$S47)))</f>
        <v>46317</v>
      </c>
      <c r="H47" s="19">
        <f>IF($S47="","",IF(INDEX('Master Tracker'!$I$6:$I$400,$S47)="","",INDEX('Master Tracker'!$I$6:$I$400,$S47)))</f>
        <v>46317</v>
      </c>
      <c r="I47" s="53">
        <f>IF($S47="","",IF(INDEX('Master Tracker'!$U$6:$U$400,$S47)="","",INDEX('Master Tracker'!$U$6:$U$400,$S47)))</f>
        <v>0</v>
      </c>
      <c r="J47" s="52" t="str">
        <f>IF($S47="","",IF(INDEX('Master Tracker'!$K$6:$K$400,$S47)="","",INDEX('Master Tracker'!$K$6:$K$400,$S47)))</f>
        <v>P4-08</v>
      </c>
      <c r="K47" s="52" t="str">
        <f>IF($S47="","",IF(INDEX('Master Tracker'!$Y$6:$Y$400,$S47)="","",INDEX('Master Tracker'!$Y$6:$Y$400,$S47)))</f>
        <v>⏳ 1 open</v>
      </c>
      <c r="L47" s="52" t="str">
        <f>IF($S47="","",IF(INDEX('Master Tracker'!$M$6:$M$400,$S47)="","",INDEX('Master Tracker'!$M$6:$M$400,$S47)))</f>
        <v>inc/pdf-download.php</v>
      </c>
      <c r="M47" s="52" t="str">
        <f>IF($S47="","",IF(INDEX('Master Tracker'!$O$6:$O$400,$S47)="","",INDEX('Master Tracker'!$O$6:$O$400,$S47)))</f>
        <v>Downloads work and respect access rules</v>
      </c>
      <c r="N47" s="52" t="str">
        <f>IF($S47="","",IF(INDEX('Master Tracker'!$N$6:$N$400,$S47)="","",INDEX('Master Tracker'!$N$6:$N$400,$S47)))</f>
        <v>Download as guest/member/subscriber; check headers</v>
      </c>
      <c r="O47" s="7" t="str">
        <f>IF($S47="","",IF(INDEX('Master Tracker'!$T$6:$T$400,$S47)="","",INDEX('Master Tracker'!$T$6:$T$400,$S47)))</f>
        <v>Not Tested</v>
      </c>
      <c r="P47" s="7" t="str">
        <f ca="1">IF($S47="","",IF(INDEX('Master Tracker'!$AC$6:$AC$400,$S47)="","",INDEX('Master Tracker'!$AC$6:$AC$400,$S47)))</f>
        <v>On track</v>
      </c>
      <c r="S47">
        <f>IFERROR(MATCH("Phase 4|"&amp;A47,'Master Tracker'!$Z$6:$Z$400,0),"")</f>
        <v>67</v>
      </c>
    </row>
    <row r="48" spans="1:19" ht="48" customHeight="1" x14ac:dyDescent="0.3">
      <c r="A48" s="7">
        <v>11</v>
      </c>
      <c r="B48" s="51" t="str">
        <f>IF($S48="","",IF(INDEX('Master Tracker'!$A$6:$A$400,$S48)="","",INDEX('Master Tracker'!$A$6:$A$400,$S48)))</f>
        <v>P4-11</v>
      </c>
      <c r="C48" s="52" t="str">
        <f>IF($S48="","",IF(INDEX('Master Tracker'!$C$6:$C$400,$S48)="","",INDEX('Master Tracker'!$C$6:$C$400,$S48)))</f>
        <v>Access Control</v>
      </c>
      <c r="D48" s="52" t="str">
        <f>IF($S48="","",IF(INDEX('Master Tracker'!$D$6:$D$400,$S48)="","",INDEX('Master Tracker'!$D$6:$D$400,$S48)))</f>
        <v>Issue access restrictions</v>
      </c>
      <c r="E48" s="7" t="str">
        <f>IF($S48="","",IF(INDEX('Master Tracker'!$F$6:$F$400,$S48)="","",INDEX('Master Tracker'!$F$6:$F$400,$S48)))</f>
        <v>P0</v>
      </c>
      <c r="F48" s="7" t="str">
        <f>IF($S48="","",IF(INDEX('Master Tracker'!$G$6:$G$400,$S48)="","",INDEX('Master Tracker'!$G$6:$G$400,$S48)))</f>
        <v>Not Started</v>
      </c>
      <c r="G48" s="19">
        <f>IF($S48="","",IF(INDEX('Master Tracker'!$H$6:$H$400,$S48)="","",INDEX('Master Tracker'!$H$6:$H$400,$S48)))</f>
        <v>46317</v>
      </c>
      <c r="H48" s="19">
        <f>IF($S48="","",IF(INDEX('Master Tracker'!$I$6:$I$400,$S48)="","",INDEX('Master Tracker'!$I$6:$I$400,$S48)))</f>
        <v>46317</v>
      </c>
      <c r="I48" s="53">
        <f>IF($S48="","",IF(INDEX('Master Tracker'!$U$6:$U$400,$S48)="","",INDEX('Master Tracker'!$U$6:$U$400,$S48)))</f>
        <v>0</v>
      </c>
      <c r="J48" s="52" t="str">
        <f>IF($S48="","",IF(INDEX('Master Tracker'!$K$6:$K$400,$S48)="","",INDEX('Master Tracker'!$K$6:$K$400,$S48)))</f>
        <v>P4-10, P5-07</v>
      </c>
      <c r="K48" s="52" t="str">
        <f>IF($S48="","",IF(INDEX('Master Tracker'!$Y$6:$Y$400,$S48)="","",INDEX('Master Tracker'!$Y$6:$Y$400,$S48)))</f>
        <v>⏳ 2 open</v>
      </c>
      <c r="L48" s="52" t="str">
        <f>IF($S48="","",IF(INDEX('Master Tracker'!$M$6:$M$400,$S48)="","",INDEX('Master Tracker'!$M$6:$M$400,$S48)))</f>
        <v>inc/pdf-download.php, .htaccess</v>
      </c>
      <c r="M48" s="52" t="str">
        <f>IF($S48="","",IF(INDEX('Master Tracker'!$O$6:$O$400,$S48)="","",INDEX('Master Tracker'!$O$6:$O$400,$S48)))</f>
        <v>Restricted PDFs cannot be accessed without entitlement</v>
      </c>
      <c r="N48" s="52" t="str">
        <f>IF($S48="","",IF(INDEX('Master Tracker'!$N$6:$N$400,$S48)="","",INDEX('Master Tracker'!$N$6:$N$400,$S48)))</f>
        <v>Try direct PDF URL logged-out; test each tier</v>
      </c>
      <c r="O48" s="7" t="str">
        <f>IF($S48="","",IF(INDEX('Master Tracker'!$T$6:$T$400,$S48)="","",INDEX('Master Tracker'!$T$6:$T$400,$S48)))</f>
        <v>Not Tested</v>
      </c>
      <c r="P48" s="7" t="str">
        <f ca="1">IF($S48="","",IF(INDEX('Master Tracker'!$AC$6:$AC$400,$S48)="","",INDEX('Master Tracker'!$AC$6:$AC$400,$S48)))</f>
        <v>External req.</v>
      </c>
      <c r="S48">
        <f>IFERROR(MATCH("Phase 4|"&amp;A48,'Master Tracker'!$Z$6:$Z$400,0),"")</f>
        <v>68</v>
      </c>
    </row>
    <row r="49" spans="1:19" ht="48" customHeight="1" x14ac:dyDescent="0.3">
      <c r="A49" s="7">
        <v>12</v>
      </c>
      <c r="B49" s="51" t="str">
        <f>IF($S49="","",IF(INDEX('Master Tracker'!$A$6:$A$400,$S49)="","",INDEX('Master Tracker'!$A$6:$A$400,$S49)))</f>
        <v>P4-12</v>
      </c>
      <c r="C49" s="52" t="str">
        <f>IF($S49="","",IF(INDEX('Master Tracker'!$C$6:$C$400,$S49)="","",INDEX('Master Tracker'!$C$6:$C$400,$S49)))</f>
        <v>Phase QA</v>
      </c>
      <c r="D49" s="52" t="str">
        <f>IF($S49="","",IF(INDEX('Master Tracker'!$D$6:$D$400,$S49)="","",INDEX('Master Tracker'!$D$6:$D$400,$S49)))</f>
        <v>Verify all 48 issues</v>
      </c>
      <c r="E49" s="7" t="str">
        <f>IF($S49="","",IF(INDEX('Master Tracker'!$F$6:$F$400,$S49)="","",INDEX('Master Tracker'!$F$6:$F$400,$S49)))</f>
        <v>P0</v>
      </c>
      <c r="F49" s="7" t="str">
        <f>IF($S49="","",IF(INDEX('Master Tracker'!$G$6:$G$400,$S49)="","",INDEX('Master Tracker'!$G$6:$G$400,$S49)))</f>
        <v>Not Started</v>
      </c>
      <c r="G49" s="19">
        <f>IF($S49="","",IF(INDEX('Master Tracker'!$H$6:$H$400,$S49)="","",INDEX('Master Tracker'!$H$6:$H$400,$S49)))</f>
        <v>46317</v>
      </c>
      <c r="H49" s="19">
        <f>IF($S49="","",IF(INDEX('Master Tracker'!$I$6:$I$400,$S49)="","",INDEX('Master Tracker'!$I$6:$I$400,$S49)))</f>
        <v>46317</v>
      </c>
      <c r="I49" s="53">
        <f>IF($S49="","",IF(INDEX('Master Tracker'!$U$6:$U$400,$S49)="","",INDEX('Master Tracker'!$U$6:$U$400,$S49)))</f>
        <v>0</v>
      </c>
      <c r="J49" s="52" t="str">
        <f>IF($S49="","",IF(INDEX('Master Tracker'!$K$6:$K$400,$S49)="","",INDEX('Master Tracker'!$K$6:$K$400,$S49)))</f>
        <v>P4-04, P4-07, P4-09</v>
      </c>
      <c r="K49" s="52" t="str">
        <f>IF($S49="","",IF(INDEX('Master Tracker'!$Y$6:$Y$400,$S49)="","",INDEX('Master Tracker'!$Y$6:$Y$400,$S49)))</f>
        <v>⏳ 3 open</v>
      </c>
      <c r="L49" s="52" t="str">
        <f>IF($S49="","",IF(INDEX('Master Tracker'!$M$6:$M$400,$S49)="","",INDEX('Master Tracker'!$M$6:$M$400,$S49)))</f>
        <v>issues-manifest.csv</v>
      </c>
      <c r="M49" s="52" t="str">
        <f>IF($S49="","",IF(INDEX('Master Tracker'!$O$6:$O$400,$S49)="","",INDEX('Master Tracker'!$O$6:$O$400,$S49)))</f>
        <v>48/48 issues verified</v>
      </c>
      <c r="N49" s="52" t="str">
        <f>IF($S49="","",IF(INDEX('Master Tracker'!$N$6:$N$400,$S49)="","",INDEX('Master Tracker'!$N$6:$N$400,$S49)))</f>
        <v>Tick all 48 against manifest</v>
      </c>
      <c r="O49" s="7" t="str">
        <f>IF($S49="","",IF(INDEX('Master Tracker'!$T$6:$T$400,$S49)="","",INDEX('Master Tracker'!$T$6:$T$400,$S49)))</f>
        <v>Not Tested</v>
      </c>
      <c r="P49" s="7" t="str">
        <f ca="1">IF($S49="","",IF(INDEX('Master Tracker'!$AC$6:$AC$400,$S49)="","",INDEX('Master Tracker'!$AC$6:$AC$400,$S49)))</f>
        <v>On track</v>
      </c>
      <c r="S49">
        <f>IFERROR(MATCH("Phase 4|"&amp;A49,'Master Tracker'!$Z$6:$Z$400,0),"")</f>
        <v>69</v>
      </c>
    </row>
    <row r="50" spans="1:19" ht="15" customHeight="1" x14ac:dyDescent="0.3">
      <c r="A50" s="7">
        <v>13</v>
      </c>
      <c r="B50" s="51" t="str">
        <f>IF($S50="","",IF(INDEX('Master Tracker'!$A$6:$A$400,$S50)="","",INDEX('Master Tracker'!$A$6:$A$400,$S50)))</f>
        <v/>
      </c>
      <c r="C50" s="52" t="str">
        <f>IF($S50="","",IF(INDEX('Master Tracker'!$C$6:$C$400,$S50)="","",INDEX('Master Tracker'!$C$6:$C$400,$S50)))</f>
        <v/>
      </c>
      <c r="D50" s="52" t="str">
        <f>IF($S50="","",IF(INDEX('Master Tracker'!$D$6:$D$400,$S50)="","",INDEX('Master Tracker'!$D$6:$D$400,$S50)))</f>
        <v/>
      </c>
      <c r="E50" s="7" t="str">
        <f>IF($S50="","",IF(INDEX('Master Tracker'!$F$6:$F$400,$S50)="","",INDEX('Master Tracker'!$F$6:$F$400,$S50)))</f>
        <v/>
      </c>
      <c r="F50" s="7" t="str">
        <f>IF($S50="","",IF(INDEX('Master Tracker'!$G$6:$G$400,$S50)="","",INDEX('Master Tracker'!$G$6:$G$400,$S50)))</f>
        <v/>
      </c>
      <c r="G50" s="19" t="str">
        <f>IF($S50="","",IF(INDEX('Master Tracker'!$H$6:$H$400,$S50)="","",INDEX('Master Tracker'!$H$6:$H$400,$S50)))</f>
        <v/>
      </c>
      <c r="H50" s="19" t="str">
        <f>IF($S50="","",IF(INDEX('Master Tracker'!$I$6:$I$400,$S50)="","",INDEX('Master Tracker'!$I$6:$I$400,$S50)))</f>
        <v/>
      </c>
      <c r="I50" s="53" t="str">
        <f>IF($S50="","",IF(INDEX('Master Tracker'!$U$6:$U$400,$S50)="","",INDEX('Master Tracker'!$U$6:$U$400,$S50)))</f>
        <v/>
      </c>
      <c r="J50" s="52" t="str">
        <f>IF($S50="","",IF(INDEX('Master Tracker'!$K$6:$K$400,$S50)="","",INDEX('Master Tracker'!$K$6:$K$400,$S50)))</f>
        <v/>
      </c>
      <c r="K50" s="52" t="str">
        <f>IF($S50="","",IF(INDEX('Master Tracker'!$Y$6:$Y$400,$S50)="","",INDEX('Master Tracker'!$Y$6:$Y$400,$S50)))</f>
        <v/>
      </c>
      <c r="L50" s="52" t="str">
        <f>IF($S50="","",IF(INDEX('Master Tracker'!$M$6:$M$400,$S50)="","",INDEX('Master Tracker'!$M$6:$M$400,$S50)))</f>
        <v/>
      </c>
      <c r="M50" s="52" t="str">
        <f>IF($S50="","",IF(INDEX('Master Tracker'!$O$6:$O$400,$S50)="","",INDEX('Master Tracker'!$O$6:$O$400,$S50)))</f>
        <v/>
      </c>
      <c r="N50" s="52" t="str">
        <f>IF($S50="","",IF(INDEX('Master Tracker'!$N$6:$N$400,$S50)="","",INDEX('Master Tracker'!$N$6:$N$400,$S50)))</f>
        <v/>
      </c>
      <c r="O50" s="7" t="str">
        <f>IF($S50="","",IF(INDEX('Master Tracker'!$T$6:$T$400,$S50)="","",INDEX('Master Tracker'!$T$6:$T$400,$S50)))</f>
        <v/>
      </c>
      <c r="P50" s="7" t="str">
        <f>IF($S50="","",IF(INDEX('Master Tracker'!$AC$6:$AC$400,$S50)="","",INDEX('Master Tracker'!$AC$6:$AC$400,$S50)))</f>
        <v/>
      </c>
      <c r="S50" t="str">
        <f>IFERROR(MATCH("Phase 4|"&amp;A50,'Master Tracker'!$Z$6:$Z$400,0),"")</f>
        <v/>
      </c>
    </row>
    <row r="51" spans="1:19" ht="15" customHeight="1" x14ac:dyDescent="0.3">
      <c r="A51" s="7">
        <v>14</v>
      </c>
      <c r="B51" s="51" t="str">
        <f>IF($S51="","",IF(INDEX('Master Tracker'!$A$6:$A$400,$S51)="","",INDEX('Master Tracker'!$A$6:$A$400,$S51)))</f>
        <v/>
      </c>
      <c r="C51" s="52" t="str">
        <f>IF($S51="","",IF(INDEX('Master Tracker'!$C$6:$C$400,$S51)="","",INDEX('Master Tracker'!$C$6:$C$400,$S51)))</f>
        <v/>
      </c>
      <c r="D51" s="52" t="str">
        <f>IF($S51="","",IF(INDEX('Master Tracker'!$D$6:$D$400,$S51)="","",INDEX('Master Tracker'!$D$6:$D$400,$S51)))</f>
        <v/>
      </c>
      <c r="E51" s="7" t="str">
        <f>IF($S51="","",IF(INDEX('Master Tracker'!$F$6:$F$400,$S51)="","",INDEX('Master Tracker'!$F$6:$F$400,$S51)))</f>
        <v/>
      </c>
      <c r="F51" s="7" t="str">
        <f>IF($S51="","",IF(INDEX('Master Tracker'!$G$6:$G$400,$S51)="","",INDEX('Master Tracker'!$G$6:$G$400,$S51)))</f>
        <v/>
      </c>
      <c r="G51" s="19" t="str">
        <f>IF($S51="","",IF(INDEX('Master Tracker'!$H$6:$H$400,$S51)="","",INDEX('Master Tracker'!$H$6:$H$400,$S51)))</f>
        <v/>
      </c>
      <c r="H51" s="19" t="str">
        <f>IF($S51="","",IF(INDEX('Master Tracker'!$I$6:$I$400,$S51)="","",INDEX('Master Tracker'!$I$6:$I$400,$S51)))</f>
        <v/>
      </c>
      <c r="I51" s="53" t="str">
        <f>IF($S51="","",IF(INDEX('Master Tracker'!$U$6:$U$400,$S51)="","",INDEX('Master Tracker'!$U$6:$U$400,$S51)))</f>
        <v/>
      </c>
      <c r="J51" s="52" t="str">
        <f>IF($S51="","",IF(INDEX('Master Tracker'!$K$6:$K$400,$S51)="","",INDEX('Master Tracker'!$K$6:$K$400,$S51)))</f>
        <v/>
      </c>
      <c r="K51" s="52" t="str">
        <f>IF($S51="","",IF(INDEX('Master Tracker'!$Y$6:$Y$400,$S51)="","",INDEX('Master Tracker'!$Y$6:$Y$400,$S51)))</f>
        <v/>
      </c>
      <c r="L51" s="52" t="str">
        <f>IF($S51="","",IF(INDEX('Master Tracker'!$M$6:$M$400,$S51)="","",INDEX('Master Tracker'!$M$6:$M$400,$S51)))</f>
        <v/>
      </c>
      <c r="M51" s="52" t="str">
        <f>IF($S51="","",IF(INDEX('Master Tracker'!$O$6:$O$400,$S51)="","",INDEX('Master Tracker'!$O$6:$O$400,$S51)))</f>
        <v/>
      </c>
      <c r="N51" s="52" t="str">
        <f>IF($S51="","",IF(INDEX('Master Tracker'!$N$6:$N$400,$S51)="","",INDEX('Master Tracker'!$N$6:$N$400,$S51)))</f>
        <v/>
      </c>
      <c r="O51" s="7" t="str">
        <f>IF($S51="","",IF(INDEX('Master Tracker'!$T$6:$T$400,$S51)="","",INDEX('Master Tracker'!$T$6:$T$400,$S51)))</f>
        <v/>
      </c>
      <c r="P51" s="7" t="str">
        <f>IF($S51="","",IF(INDEX('Master Tracker'!$AC$6:$AC$400,$S51)="","",INDEX('Master Tracker'!$AC$6:$AC$400,$S51)))</f>
        <v/>
      </c>
      <c r="S51" t="str">
        <f>IFERROR(MATCH("Phase 4|"&amp;A51,'Master Tracker'!$Z$6:$Z$400,0),"")</f>
        <v/>
      </c>
    </row>
    <row r="52" spans="1:19" ht="15" customHeight="1" x14ac:dyDescent="0.3">
      <c r="A52" s="7">
        <v>15</v>
      </c>
      <c r="B52" s="51" t="str">
        <f>IF($S52="","",IF(INDEX('Master Tracker'!$A$6:$A$400,$S52)="","",INDEX('Master Tracker'!$A$6:$A$400,$S52)))</f>
        <v/>
      </c>
      <c r="C52" s="52" t="str">
        <f>IF($S52="","",IF(INDEX('Master Tracker'!$C$6:$C$400,$S52)="","",INDEX('Master Tracker'!$C$6:$C$400,$S52)))</f>
        <v/>
      </c>
      <c r="D52" s="52" t="str">
        <f>IF($S52="","",IF(INDEX('Master Tracker'!$D$6:$D$400,$S52)="","",INDEX('Master Tracker'!$D$6:$D$400,$S52)))</f>
        <v/>
      </c>
      <c r="E52" s="7" t="str">
        <f>IF($S52="","",IF(INDEX('Master Tracker'!$F$6:$F$400,$S52)="","",INDEX('Master Tracker'!$F$6:$F$400,$S52)))</f>
        <v/>
      </c>
      <c r="F52" s="7" t="str">
        <f>IF($S52="","",IF(INDEX('Master Tracker'!$G$6:$G$400,$S52)="","",INDEX('Master Tracker'!$G$6:$G$400,$S52)))</f>
        <v/>
      </c>
      <c r="G52" s="19" t="str">
        <f>IF($S52="","",IF(INDEX('Master Tracker'!$H$6:$H$400,$S52)="","",INDEX('Master Tracker'!$H$6:$H$400,$S52)))</f>
        <v/>
      </c>
      <c r="H52" s="19" t="str">
        <f>IF($S52="","",IF(INDEX('Master Tracker'!$I$6:$I$400,$S52)="","",INDEX('Master Tracker'!$I$6:$I$400,$S52)))</f>
        <v/>
      </c>
      <c r="I52" s="53" t="str">
        <f>IF($S52="","",IF(INDEX('Master Tracker'!$U$6:$U$400,$S52)="","",INDEX('Master Tracker'!$U$6:$U$400,$S52)))</f>
        <v/>
      </c>
      <c r="J52" s="52" t="str">
        <f>IF($S52="","",IF(INDEX('Master Tracker'!$K$6:$K$400,$S52)="","",INDEX('Master Tracker'!$K$6:$K$400,$S52)))</f>
        <v/>
      </c>
      <c r="K52" s="52" t="str">
        <f>IF($S52="","",IF(INDEX('Master Tracker'!$Y$6:$Y$400,$S52)="","",INDEX('Master Tracker'!$Y$6:$Y$400,$S52)))</f>
        <v/>
      </c>
      <c r="L52" s="52" t="str">
        <f>IF($S52="","",IF(INDEX('Master Tracker'!$M$6:$M$400,$S52)="","",INDEX('Master Tracker'!$M$6:$M$400,$S52)))</f>
        <v/>
      </c>
      <c r="M52" s="52" t="str">
        <f>IF($S52="","",IF(INDEX('Master Tracker'!$O$6:$O$400,$S52)="","",INDEX('Master Tracker'!$O$6:$O$400,$S52)))</f>
        <v/>
      </c>
      <c r="N52" s="52" t="str">
        <f>IF($S52="","",IF(INDEX('Master Tracker'!$N$6:$N$400,$S52)="","",INDEX('Master Tracker'!$N$6:$N$400,$S52)))</f>
        <v/>
      </c>
      <c r="O52" s="7" t="str">
        <f>IF($S52="","",IF(INDEX('Master Tracker'!$T$6:$T$400,$S52)="","",INDEX('Master Tracker'!$T$6:$T$400,$S52)))</f>
        <v/>
      </c>
      <c r="P52" s="7" t="str">
        <f>IF($S52="","",IF(INDEX('Master Tracker'!$AC$6:$AC$400,$S52)="","",INDEX('Master Tracker'!$AC$6:$AC$400,$S52)))</f>
        <v/>
      </c>
      <c r="S52" t="str">
        <f>IFERROR(MATCH("Phase 4|"&amp;A52,'Master Tracker'!$Z$6:$Z$400,0),"")</f>
        <v/>
      </c>
    </row>
    <row r="53" spans="1:19" ht="15" customHeight="1" x14ac:dyDescent="0.3">
      <c r="A53" s="7">
        <v>16</v>
      </c>
      <c r="B53" s="51" t="str">
        <f>IF($S53="","",IF(INDEX('Master Tracker'!$A$6:$A$400,$S53)="","",INDEX('Master Tracker'!$A$6:$A$400,$S53)))</f>
        <v/>
      </c>
      <c r="C53" s="52" t="str">
        <f>IF($S53="","",IF(INDEX('Master Tracker'!$C$6:$C$400,$S53)="","",INDEX('Master Tracker'!$C$6:$C$400,$S53)))</f>
        <v/>
      </c>
      <c r="D53" s="52" t="str">
        <f>IF($S53="","",IF(INDEX('Master Tracker'!$D$6:$D$400,$S53)="","",INDEX('Master Tracker'!$D$6:$D$400,$S53)))</f>
        <v/>
      </c>
      <c r="E53" s="7" t="str">
        <f>IF($S53="","",IF(INDEX('Master Tracker'!$F$6:$F$400,$S53)="","",INDEX('Master Tracker'!$F$6:$F$400,$S53)))</f>
        <v/>
      </c>
      <c r="F53" s="7" t="str">
        <f>IF($S53="","",IF(INDEX('Master Tracker'!$G$6:$G$400,$S53)="","",INDEX('Master Tracker'!$G$6:$G$400,$S53)))</f>
        <v/>
      </c>
      <c r="G53" s="19" t="str">
        <f>IF($S53="","",IF(INDEX('Master Tracker'!$H$6:$H$400,$S53)="","",INDEX('Master Tracker'!$H$6:$H$400,$S53)))</f>
        <v/>
      </c>
      <c r="H53" s="19" t="str">
        <f>IF($S53="","",IF(INDEX('Master Tracker'!$I$6:$I$400,$S53)="","",INDEX('Master Tracker'!$I$6:$I$400,$S53)))</f>
        <v/>
      </c>
      <c r="I53" s="53" t="str">
        <f>IF($S53="","",IF(INDEX('Master Tracker'!$U$6:$U$400,$S53)="","",INDEX('Master Tracker'!$U$6:$U$400,$S53)))</f>
        <v/>
      </c>
      <c r="J53" s="52" t="str">
        <f>IF($S53="","",IF(INDEX('Master Tracker'!$K$6:$K$400,$S53)="","",INDEX('Master Tracker'!$K$6:$K$400,$S53)))</f>
        <v/>
      </c>
      <c r="K53" s="52" t="str">
        <f>IF($S53="","",IF(INDEX('Master Tracker'!$Y$6:$Y$400,$S53)="","",INDEX('Master Tracker'!$Y$6:$Y$400,$S53)))</f>
        <v/>
      </c>
      <c r="L53" s="52" t="str">
        <f>IF($S53="","",IF(INDEX('Master Tracker'!$M$6:$M$400,$S53)="","",INDEX('Master Tracker'!$M$6:$M$400,$S53)))</f>
        <v/>
      </c>
      <c r="M53" s="52" t="str">
        <f>IF($S53="","",IF(INDEX('Master Tracker'!$O$6:$O$400,$S53)="","",INDEX('Master Tracker'!$O$6:$O$400,$S53)))</f>
        <v/>
      </c>
      <c r="N53" s="52" t="str">
        <f>IF($S53="","",IF(INDEX('Master Tracker'!$N$6:$N$400,$S53)="","",INDEX('Master Tracker'!$N$6:$N$400,$S53)))</f>
        <v/>
      </c>
      <c r="O53" s="7" t="str">
        <f>IF($S53="","",IF(INDEX('Master Tracker'!$T$6:$T$400,$S53)="","",INDEX('Master Tracker'!$T$6:$T$400,$S53)))</f>
        <v/>
      </c>
      <c r="P53" s="7" t="str">
        <f>IF($S53="","",IF(INDEX('Master Tracker'!$AC$6:$AC$400,$S53)="","",INDEX('Master Tracker'!$AC$6:$AC$400,$S53)))</f>
        <v/>
      </c>
      <c r="S53" t="str">
        <f>IFERROR(MATCH("Phase 4|"&amp;A53,'Master Tracker'!$Z$6:$Z$400,0),"")</f>
        <v/>
      </c>
    </row>
    <row r="54" spans="1:19" ht="15" customHeight="1" x14ac:dyDescent="0.3">
      <c r="A54" s="7">
        <v>17</v>
      </c>
      <c r="B54" s="51" t="str">
        <f>IF($S54="","",IF(INDEX('Master Tracker'!$A$6:$A$400,$S54)="","",INDEX('Master Tracker'!$A$6:$A$400,$S54)))</f>
        <v/>
      </c>
      <c r="C54" s="52" t="str">
        <f>IF($S54="","",IF(INDEX('Master Tracker'!$C$6:$C$400,$S54)="","",INDEX('Master Tracker'!$C$6:$C$400,$S54)))</f>
        <v/>
      </c>
      <c r="D54" s="52" t="str">
        <f>IF($S54="","",IF(INDEX('Master Tracker'!$D$6:$D$400,$S54)="","",INDEX('Master Tracker'!$D$6:$D$400,$S54)))</f>
        <v/>
      </c>
      <c r="E54" s="7" t="str">
        <f>IF($S54="","",IF(INDEX('Master Tracker'!$F$6:$F$400,$S54)="","",INDEX('Master Tracker'!$F$6:$F$400,$S54)))</f>
        <v/>
      </c>
      <c r="F54" s="7" t="str">
        <f>IF($S54="","",IF(INDEX('Master Tracker'!$G$6:$G$400,$S54)="","",INDEX('Master Tracker'!$G$6:$G$400,$S54)))</f>
        <v/>
      </c>
      <c r="G54" s="19" t="str">
        <f>IF($S54="","",IF(INDEX('Master Tracker'!$H$6:$H$400,$S54)="","",INDEX('Master Tracker'!$H$6:$H$400,$S54)))</f>
        <v/>
      </c>
      <c r="H54" s="19" t="str">
        <f>IF($S54="","",IF(INDEX('Master Tracker'!$I$6:$I$400,$S54)="","",INDEX('Master Tracker'!$I$6:$I$400,$S54)))</f>
        <v/>
      </c>
      <c r="I54" s="53" t="str">
        <f>IF($S54="","",IF(INDEX('Master Tracker'!$U$6:$U$400,$S54)="","",INDEX('Master Tracker'!$U$6:$U$400,$S54)))</f>
        <v/>
      </c>
      <c r="J54" s="52" t="str">
        <f>IF($S54="","",IF(INDEX('Master Tracker'!$K$6:$K$400,$S54)="","",INDEX('Master Tracker'!$K$6:$K$400,$S54)))</f>
        <v/>
      </c>
      <c r="K54" s="52" t="str">
        <f>IF($S54="","",IF(INDEX('Master Tracker'!$Y$6:$Y$400,$S54)="","",INDEX('Master Tracker'!$Y$6:$Y$400,$S54)))</f>
        <v/>
      </c>
      <c r="L54" s="52" t="str">
        <f>IF($S54="","",IF(INDEX('Master Tracker'!$M$6:$M$400,$S54)="","",INDEX('Master Tracker'!$M$6:$M$400,$S54)))</f>
        <v/>
      </c>
      <c r="M54" s="52" t="str">
        <f>IF($S54="","",IF(INDEX('Master Tracker'!$O$6:$O$400,$S54)="","",INDEX('Master Tracker'!$O$6:$O$400,$S54)))</f>
        <v/>
      </c>
      <c r="N54" s="52" t="str">
        <f>IF($S54="","",IF(INDEX('Master Tracker'!$N$6:$N$400,$S54)="","",INDEX('Master Tracker'!$N$6:$N$400,$S54)))</f>
        <v/>
      </c>
      <c r="O54" s="7" t="str">
        <f>IF($S54="","",IF(INDEX('Master Tracker'!$T$6:$T$400,$S54)="","",INDEX('Master Tracker'!$T$6:$T$400,$S54)))</f>
        <v/>
      </c>
      <c r="P54" s="7" t="str">
        <f>IF($S54="","",IF(INDEX('Master Tracker'!$AC$6:$AC$400,$S54)="","",INDEX('Master Tracker'!$AC$6:$AC$400,$S54)))</f>
        <v/>
      </c>
      <c r="S54" t="str">
        <f>IFERROR(MATCH("Phase 4|"&amp;A54,'Master Tracker'!$Z$6:$Z$400,0),"")</f>
        <v/>
      </c>
    </row>
    <row r="55" spans="1:19" ht="15" customHeight="1" x14ac:dyDescent="0.3">
      <c r="A55" s="7">
        <v>18</v>
      </c>
      <c r="B55" s="51" t="str">
        <f>IF($S55="","",IF(INDEX('Master Tracker'!$A$6:$A$400,$S55)="","",INDEX('Master Tracker'!$A$6:$A$400,$S55)))</f>
        <v/>
      </c>
      <c r="C55" s="52" t="str">
        <f>IF($S55="","",IF(INDEX('Master Tracker'!$C$6:$C$400,$S55)="","",INDEX('Master Tracker'!$C$6:$C$400,$S55)))</f>
        <v/>
      </c>
      <c r="D55" s="52" t="str">
        <f>IF($S55="","",IF(INDEX('Master Tracker'!$D$6:$D$400,$S55)="","",INDEX('Master Tracker'!$D$6:$D$400,$S55)))</f>
        <v/>
      </c>
      <c r="E55" s="7" t="str">
        <f>IF($S55="","",IF(INDEX('Master Tracker'!$F$6:$F$400,$S55)="","",INDEX('Master Tracker'!$F$6:$F$400,$S55)))</f>
        <v/>
      </c>
      <c r="F55" s="7" t="str">
        <f>IF($S55="","",IF(INDEX('Master Tracker'!$G$6:$G$400,$S55)="","",INDEX('Master Tracker'!$G$6:$G$400,$S55)))</f>
        <v/>
      </c>
      <c r="G55" s="19" t="str">
        <f>IF($S55="","",IF(INDEX('Master Tracker'!$H$6:$H$400,$S55)="","",INDEX('Master Tracker'!$H$6:$H$400,$S55)))</f>
        <v/>
      </c>
      <c r="H55" s="19" t="str">
        <f>IF($S55="","",IF(INDEX('Master Tracker'!$I$6:$I$400,$S55)="","",INDEX('Master Tracker'!$I$6:$I$400,$S55)))</f>
        <v/>
      </c>
      <c r="I55" s="53" t="str">
        <f>IF($S55="","",IF(INDEX('Master Tracker'!$U$6:$U$400,$S55)="","",INDEX('Master Tracker'!$U$6:$U$400,$S55)))</f>
        <v/>
      </c>
      <c r="J55" s="52" t="str">
        <f>IF($S55="","",IF(INDEX('Master Tracker'!$K$6:$K$400,$S55)="","",INDEX('Master Tracker'!$K$6:$K$400,$S55)))</f>
        <v/>
      </c>
      <c r="K55" s="52" t="str">
        <f>IF($S55="","",IF(INDEX('Master Tracker'!$Y$6:$Y$400,$S55)="","",INDEX('Master Tracker'!$Y$6:$Y$400,$S55)))</f>
        <v/>
      </c>
      <c r="L55" s="52" t="str">
        <f>IF($S55="","",IF(INDEX('Master Tracker'!$M$6:$M$400,$S55)="","",INDEX('Master Tracker'!$M$6:$M$400,$S55)))</f>
        <v/>
      </c>
      <c r="M55" s="52" t="str">
        <f>IF($S55="","",IF(INDEX('Master Tracker'!$O$6:$O$400,$S55)="","",INDEX('Master Tracker'!$O$6:$O$400,$S55)))</f>
        <v/>
      </c>
      <c r="N55" s="52" t="str">
        <f>IF($S55="","",IF(INDEX('Master Tracker'!$N$6:$N$400,$S55)="","",INDEX('Master Tracker'!$N$6:$N$400,$S55)))</f>
        <v/>
      </c>
      <c r="O55" s="7" t="str">
        <f>IF($S55="","",IF(INDEX('Master Tracker'!$T$6:$T$400,$S55)="","",INDEX('Master Tracker'!$T$6:$T$400,$S55)))</f>
        <v/>
      </c>
      <c r="P55" s="7" t="str">
        <f>IF($S55="","",IF(INDEX('Master Tracker'!$AC$6:$AC$400,$S55)="","",INDEX('Master Tracker'!$AC$6:$AC$400,$S55)))</f>
        <v/>
      </c>
      <c r="S55" t="str">
        <f>IFERROR(MATCH("Phase 4|"&amp;A55,'Master Tracker'!$Z$6:$Z$400,0),"")</f>
        <v/>
      </c>
    </row>
    <row r="56" spans="1:19" ht="15" customHeight="1" x14ac:dyDescent="0.3">
      <c r="A56" s="7">
        <v>19</v>
      </c>
      <c r="B56" s="51" t="str">
        <f>IF($S56="","",IF(INDEX('Master Tracker'!$A$6:$A$400,$S56)="","",INDEX('Master Tracker'!$A$6:$A$400,$S56)))</f>
        <v/>
      </c>
      <c r="C56" s="52" t="str">
        <f>IF($S56="","",IF(INDEX('Master Tracker'!$C$6:$C$400,$S56)="","",INDEX('Master Tracker'!$C$6:$C$400,$S56)))</f>
        <v/>
      </c>
      <c r="D56" s="52" t="str">
        <f>IF($S56="","",IF(INDEX('Master Tracker'!$D$6:$D$400,$S56)="","",INDEX('Master Tracker'!$D$6:$D$400,$S56)))</f>
        <v/>
      </c>
      <c r="E56" s="7" t="str">
        <f>IF($S56="","",IF(INDEX('Master Tracker'!$F$6:$F$400,$S56)="","",INDEX('Master Tracker'!$F$6:$F$400,$S56)))</f>
        <v/>
      </c>
      <c r="F56" s="7" t="str">
        <f>IF($S56="","",IF(INDEX('Master Tracker'!$G$6:$G$400,$S56)="","",INDEX('Master Tracker'!$G$6:$G$400,$S56)))</f>
        <v/>
      </c>
      <c r="G56" s="19" t="str">
        <f>IF($S56="","",IF(INDEX('Master Tracker'!$H$6:$H$400,$S56)="","",INDEX('Master Tracker'!$H$6:$H$400,$S56)))</f>
        <v/>
      </c>
      <c r="H56" s="19" t="str">
        <f>IF($S56="","",IF(INDEX('Master Tracker'!$I$6:$I$400,$S56)="","",INDEX('Master Tracker'!$I$6:$I$400,$S56)))</f>
        <v/>
      </c>
      <c r="I56" s="53" t="str">
        <f>IF($S56="","",IF(INDEX('Master Tracker'!$U$6:$U$400,$S56)="","",INDEX('Master Tracker'!$U$6:$U$400,$S56)))</f>
        <v/>
      </c>
      <c r="J56" s="52" t="str">
        <f>IF($S56="","",IF(INDEX('Master Tracker'!$K$6:$K$400,$S56)="","",INDEX('Master Tracker'!$K$6:$K$400,$S56)))</f>
        <v/>
      </c>
      <c r="K56" s="52" t="str">
        <f>IF($S56="","",IF(INDEX('Master Tracker'!$Y$6:$Y$400,$S56)="","",INDEX('Master Tracker'!$Y$6:$Y$400,$S56)))</f>
        <v/>
      </c>
      <c r="L56" s="52" t="str">
        <f>IF($S56="","",IF(INDEX('Master Tracker'!$M$6:$M$400,$S56)="","",INDEX('Master Tracker'!$M$6:$M$400,$S56)))</f>
        <v/>
      </c>
      <c r="M56" s="52" t="str">
        <f>IF($S56="","",IF(INDEX('Master Tracker'!$O$6:$O$400,$S56)="","",INDEX('Master Tracker'!$O$6:$O$400,$S56)))</f>
        <v/>
      </c>
      <c r="N56" s="52" t="str">
        <f>IF($S56="","",IF(INDEX('Master Tracker'!$N$6:$N$400,$S56)="","",INDEX('Master Tracker'!$N$6:$N$400,$S56)))</f>
        <v/>
      </c>
      <c r="O56" s="7" t="str">
        <f>IF($S56="","",IF(INDEX('Master Tracker'!$T$6:$T$400,$S56)="","",INDEX('Master Tracker'!$T$6:$T$400,$S56)))</f>
        <v/>
      </c>
      <c r="P56" s="7" t="str">
        <f>IF($S56="","",IF(INDEX('Master Tracker'!$AC$6:$AC$400,$S56)="","",INDEX('Master Tracker'!$AC$6:$AC$400,$S56)))</f>
        <v/>
      </c>
      <c r="S56" t="str">
        <f>IFERROR(MATCH("Phase 4|"&amp;A56,'Master Tracker'!$Z$6:$Z$400,0),"")</f>
        <v/>
      </c>
    </row>
    <row r="57" spans="1:19" ht="15" customHeight="1" x14ac:dyDescent="0.3">
      <c r="A57" s="7">
        <v>20</v>
      </c>
      <c r="B57" s="51" t="str">
        <f>IF($S57="","",IF(INDEX('Master Tracker'!$A$6:$A$400,$S57)="","",INDEX('Master Tracker'!$A$6:$A$400,$S57)))</f>
        <v/>
      </c>
      <c r="C57" s="52" t="str">
        <f>IF($S57="","",IF(INDEX('Master Tracker'!$C$6:$C$400,$S57)="","",INDEX('Master Tracker'!$C$6:$C$400,$S57)))</f>
        <v/>
      </c>
      <c r="D57" s="52" t="str">
        <f>IF($S57="","",IF(INDEX('Master Tracker'!$D$6:$D$400,$S57)="","",INDEX('Master Tracker'!$D$6:$D$400,$S57)))</f>
        <v/>
      </c>
      <c r="E57" s="7" t="str">
        <f>IF($S57="","",IF(INDEX('Master Tracker'!$F$6:$F$400,$S57)="","",INDEX('Master Tracker'!$F$6:$F$400,$S57)))</f>
        <v/>
      </c>
      <c r="F57" s="7" t="str">
        <f>IF($S57="","",IF(INDEX('Master Tracker'!$G$6:$G$400,$S57)="","",INDEX('Master Tracker'!$G$6:$G$400,$S57)))</f>
        <v/>
      </c>
      <c r="G57" s="19" t="str">
        <f>IF($S57="","",IF(INDEX('Master Tracker'!$H$6:$H$400,$S57)="","",INDEX('Master Tracker'!$H$6:$H$400,$S57)))</f>
        <v/>
      </c>
      <c r="H57" s="19" t="str">
        <f>IF($S57="","",IF(INDEX('Master Tracker'!$I$6:$I$400,$S57)="","",INDEX('Master Tracker'!$I$6:$I$400,$S57)))</f>
        <v/>
      </c>
      <c r="I57" s="53" t="str">
        <f>IF($S57="","",IF(INDEX('Master Tracker'!$U$6:$U$400,$S57)="","",INDEX('Master Tracker'!$U$6:$U$400,$S57)))</f>
        <v/>
      </c>
      <c r="J57" s="52" t="str">
        <f>IF($S57="","",IF(INDEX('Master Tracker'!$K$6:$K$400,$S57)="","",INDEX('Master Tracker'!$K$6:$K$400,$S57)))</f>
        <v/>
      </c>
      <c r="K57" s="52" t="str">
        <f>IF($S57="","",IF(INDEX('Master Tracker'!$Y$6:$Y$400,$S57)="","",INDEX('Master Tracker'!$Y$6:$Y$400,$S57)))</f>
        <v/>
      </c>
      <c r="L57" s="52" t="str">
        <f>IF($S57="","",IF(INDEX('Master Tracker'!$M$6:$M$400,$S57)="","",INDEX('Master Tracker'!$M$6:$M$400,$S57)))</f>
        <v/>
      </c>
      <c r="M57" s="52" t="str">
        <f>IF($S57="","",IF(INDEX('Master Tracker'!$O$6:$O$400,$S57)="","",INDEX('Master Tracker'!$O$6:$O$400,$S57)))</f>
        <v/>
      </c>
      <c r="N57" s="52" t="str">
        <f>IF($S57="","",IF(INDEX('Master Tracker'!$N$6:$N$400,$S57)="","",INDEX('Master Tracker'!$N$6:$N$400,$S57)))</f>
        <v/>
      </c>
      <c r="O57" s="7" t="str">
        <f>IF($S57="","",IF(INDEX('Master Tracker'!$T$6:$T$400,$S57)="","",INDEX('Master Tracker'!$T$6:$T$400,$S57)))</f>
        <v/>
      </c>
      <c r="P57" s="7" t="str">
        <f>IF($S57="","",IF(INDEX('Master Tracker'!$AC$6:$AC$400,$S57)="","",INDEX('Master Tracker'!$AC$6:$AC$400,$S57)))</f>
        <v/>
      </c>
      <c r="S57" t="str">
        <f>IFERROR(MATCH("Phase 4|"&amp;A57,'Master Tracker'!$Z$6:$Z$400,0),"")</f>
        <v/>
      </c>
    </row>
  </sheetData>
  <mergeCells count="50">
    <mergeCell ref="A36:R36"/>
    <mergeCell ref="H5:I5"/>
    <mergeCell ref="A13:H13"/>
    <mergeCell ref="A1:R1"/>
    <mergeCell ref="J13:R13"/>
    <mergeCell ref="A19:H19"/>
    <mergeCell ref="B33:R33"/>
    <mergeCell ref="P6:R6"/>
    <mergeCell ref="B34:R34"/>
    <mergeCell ref="A14:H14"/>
    <mergeCell ref="B28:R28"/>
    <mergeCell ref="A9:R9"/>
    <mergeCell ref="J17:R17"/>
    <mergeCell ref="A22:H22"/>
    <mergeCell ref="A17:H17"/>
    <mergeCell ref="J14:R14"/>
    <mergeCell ref="A24:R24"/>
    <mergeCell ref="A20:H20"/>
    <mergeCell ref="B30:R30"/>
    <mergeCell ref="J19:R19"/>
    <mergeCell ref="A2:R2"/>
    <mergeCell ref="A16:H16"/>
    <mergeCell ref="J22:R22"/>
    <mergeCell ref="J21:R21"/>
    <mergeCell ref="A12:H12"/>
    <mergeCell ref="J12:R12"/>
    <mergeCell ref="A18:H18"/>
    <mergeCell ref="E6:F6"/>
    <mergeCell ref="A21:H21"/>
    <mergeCell ref="P5:R5"/>
    <mergeCell ref="J18:R18"/>
    <mergeCell ref="A10:R10"/>
    <mergeCell ref="A6:C6"/>
    <mergeCell ref="A3:C3"/>
    <mergeCell ref="B25:R25"/>
    <mergeCell ref="B31:R31"/>
    <mergeCell ref="J20:R20"/>
    <mergeCell ref="J16:R16"/>
    <mergeCell ref="H6:I6"/>
    <mergeCell ref="B27:R27"/>
    <mergeCell ref="A5:C5"/>
    <mergeCell ref="J6:K6"/>
    <mergeCell ref="B29:R29"/>
    <mergeCell ref="B32:R32"/>
    <mergeCell ref="B26:R26"/>
    <mergeCell ref="A7:R7"/>
    <mergeCell ref="A15:H15"/>
    <mergeCell ref="J5:K5"/>
    <mergeCell ref="J15:R15"/>
    <mergeCell ref="E5:F5"/>
  </mergeCells>
  <conditionalFormatting sqref="F38:F57">
    <cfRule type="expression" dxfId="88" priority="5">
      <formula>$F38="Completed"</formula>
    </cfRule>
    <cfRule type="expression" dxfId="87" priority="6">
      <formula>$F38="In Progress"</formula>
    </cfRule>
    <cfRule type="expression" dxfId="86" priority="7">
      <formula>$F38="Testing"</formula>
    </cfRule>
    <cfRule type="expression" dxfId="85" priority="8">
      <formula>$F38="In Review"</formula>
    </cfRule>
    <cfRule type="expression" dxfId="84" priority="9">
      <formula>$F38="Blocked"</formula>
    </cfRule>
    <cfRule type="expression" dxfId="83" priority="10">
      <formula>$F38="Not Started"</formula>
    </cfRule>
  </conditionalFormatting>
  <conditionalFormatting sqref="I38:I57">
    <cfRule type="dataBar" priority="11">
      <dataBar>
        <cfvo type="num" val="0"/>
        <cfvo type="num" val="1"/>
        <color rgb="FF10B981"/>
      </dataBar>
    </cfRule>
  </conditionalFormatting>
  <conditionalFormatting sqref="O38:O57">
    <cfRule type="expression" dxfId="82" priority="19">
      <formula>$O38="Pass"</formula>
    </cfRule>
    <cfRule type="expression" dxfId="81" priority="20">
      <formula>$O38="Fail"</formula>
    </cfRule>
    <cfRule type="expression" dxfId="80" priority="21">
      <formula>$O38="Partial"</formula>
    </cfRule>
  </conditionalFormatting>
  <conditionalFormatting sqref="P6">
    <cfRule type="expression" dxfId="79" priority="1">
      <formula>$P$6="Complete"</formula>
    </cfRule>
    <cfRule type="expression" dxfId="78" priority="2">
      <formula>$P$6="On Track"</formula>
    </cfRule>
    <cfRule type="expression" dxfId="77" priority="3">
      <formula>$P$6="Behind"</formula>
    </cfRule>
    <cfRule type="expression" dxfId="76" priority="4">
      <formula>$P$6="Blocked"</formula>
    </cfRule>
  </conditionalFormatting>
  <conditionalFormatting sqref="P38:P57">
    <cfRule type="expression" dxfId="75" priority="12">
      <formula>$P38="Overdue"</formula>
    </cfRule>
    <cfRule type="expression" dxfId="74" priority="13">
      <formula>$P38="Blocked"</formula>
    </cfRule>
    <cfRule type="expression" dxfId="73" priority="14">
      <formula>$P38="Due soon"</formula>
    </cfRule>
    <cfRule type="expression" dxfId="72" priority="15">
      <formula>$P38="Done"</formula>
    </cfRule>
    <cfRule type="expression" dxfId="71" priority="16">
      <formula>$P38="Dependency open"</formula>
    </cfRule>
    <cfRule type="expression" dxfId="70" priority="17">
      <formula>$P38="External req."</formula>
    </cfRule>
    <cfRule type="expression" dxfId="69" priority="18">
      <formula>$P38="On track"</formula>
    </cfRule>
  </conditionalFormatting>
  <hyperlinks>
    <hyperlink ref="A3" location="'Executive Dashboard'!A1" display="← Dashboard" xr:uid="{00000000-0004-0000-0500-000000000000}"/>
    <hyperlink ref="D3" location="'Master Tracker'!A1" display="Open Master Tracker →" xr:uid="{00000000-0004-0000-0500-000001000000}"/>
    <hyperlink ref="F3" r:id="rId1" xr:uid="{00000000-0004-0000-0500-000002000000}"/>
  </hyperlinks>
  <pageMargins left="0.75" right="0.75" top="1" bottom="1"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34155"/>
    <pageSetUpPr fitToPage="1"/>
  </sheetPr>
  <dimension ref="A1:S67"/>
  <sheetViews>
    <sheetView showGridLines="0" zoomScale="90" workbookViewId="0">
      <pane ySplit="3" topLeftCell="A4" activePane="bottomLeft" state="frozen"/>
      <selection pane="bottomLeft"/>
    </sheetView>
  </sheetViews>
  <sheetFormatPr defaultRowHeight="14.4" x14ac:dyDescent="0.3"/>
  <cols>
    <col min="1" max="1" width="5" customWidth="1"/>
    <col min="2" max="2" width="9" customWidth="1"/>
    <col min="3" max="3" width="15" customWidth="1"/>
    <col min="4" max="4" width="32" customWidth="1"/>
    <col min="5" max="5" width="8" customWidth="1"/>
    <col min="6" max="6" width="12" customWidth="1"/>
    <col min="7" max="9" width="10" customWidth="1"/>
    <col min="10" max="10" width="16" customWidth="1"/>
    <col min="11" max="11" width="12" customWidth="1"/>
    <col min="12" max="12" width="30" customWidth="1"/>
    <col min="13" max="14" width="38" customWidth="1"/>
    <col min="15" max="15" width="10" customWidth="1"/>
    <col min="16" max="16" width="13" customWidth="1"/>
    <col min="17" max="18" width="12" customWidth="1"/>
    <col min="19" max="19" width="4" hidden="1" customWidth="1"/>
  </cols>
  <sheetData>
    <row r="1" spans="1:18" ht="34.049999999999997" customHeight="1" x14ac:dyDescent="0.3">
      <c r="A1" s="111" t="s">
        <v>1041</v>
      </c>
      <c r="B1" s="112"/>
      <c r="C1" s="112"/>
      <c r="D1" s="112"/>
      <c r="E1" s="112"/>
      <c r="F1" s="112"/>
      <c r="G1" s="112"/>
      <c r="H1" s="112"/>
      <c r="I1" s="112"/>
      <c r="J1" s="112"/>
      <c r="K1" s="112"/>
      <c r="L1" s="112"/>
      <c r="M1" s="112"/>
      <c r="N1" s="112"/>
      <c r="O1" s="112"/>
      <c r="P1" s="112"/>
      <c r="Q1" s="112"/>
      <c r="R1" s="112"/>
    </row>
    <row r="2" spans="1:18" ht="19.95" customHeight="1" x14ac:dyDescent="0.3">
      <c r="A2" s="79" t="s">
        <v>1042</v>
      </c>
      <c r="B2" s="80"/>
      <c r="C2" s="80"/>
      <c r="D2" s="80"/>
      <c r="E2" s="80"/>
      <c r="F2" s="80"/>
      <c r="G2" s="80"/>
      <c r="H2" s="80"/>
      <c r="I2" s="80"/>
      <c r="J2" s="80"/>
      <c r="K2" s="80"/>
      <c r="L2" s="80"/>
      <c r="M2" s="80"/>
      <c r="N2" s="80"/>
      <c r="O2" s="80"/>
      <c r="P2" s="80"/>
      <c r="Q2" s="80"/>
      <c r="R2" s="80"/>
    </row>
    <row r="3" spans="1:18" x14ac:dyDescent="0.3">
      <c r="A3" s="131" t="s">
        <v>109</v>
      </c>
      <c r="B3" s="86"/>
      <c r="C3" s="86"/>
      <c r="D3" s="33" t="s">
        <v>889</v>
      </c>
      <c r="F3" s="3" t="s">
        <v>110</v>
      </c>
    </row>
    <row r="5" spans="1:18" x14ac:dyDescent="0.3">
      <c r="A5" s="129" t="s">
        <v>890</v>
      </c>
      <c r="B5" s="130"/>
      <c r="C5" s="130"/>
      <c r="D5" s="46" t="s">
        <v>891</v>
      </c>
      <c r="E5" s="129" t="s">
        <v>892</v>
      </c>
      <c r="F5" s="130"/>
      <c r="G5" s="46" t="s">
        <v>893</v>
      </c>
      <c r="H5" s="129" t="s">
        <v>35</v>
      </c>
      <c r="I5" s="130"/>
      <c r="J5" s="129" t="s">
        <v>38</v>
      </c>
      <c r="K5" s="130"/>
      <c r="L5" s="46" t="s">
        <v>39</v>
      </c>
      <c r="M5" s="46" t="s">
        <v>894</v>
      </c>
      <c r="N5" s="46" t="s">
        <v>40</v>
      </c>
      <c r="O5" s="46" t="s">
        <v>895</v>
      </c>
      <c r="P5" s="134" t="s">
        <v>896</v>
      </c>
      <c r="Q5" s="86"/>
      <c r="R5" s="86"/>
    </row>
    <row r="6" spans="1:18" ht="31.95" customHeight="1" x14ac:dyDescent="0.3">
      <c r="A6" s="136">
        <f>IFERROR(SUMPRODUCT(('Master Tracker'!$B$6:$B$400="Phase 5")*'Master Tracker'!$U$6:$U$400)/COUNTIFS('Master Tracker'!$B$6:$B$400,"Phase 5",'Master Tracker'!$A$6:$A$400,"?*"),0)</f>
        <v>0</v>
      </c>
      <c r="B6" s="133"/>
      <c r="C6" s="133"/>
      <c r="D6" s="47">
        <f ca="1">IFERROR(SUMPRODUCT(('Master Tracker'!$B$6:$B$400="Phase 5")*'Master Tracker'!$V$6:$V$400)/COUNTIFS('Master Tracker'!$B$6:$B$400,"Phase 5",'Master Tracker'!$A$6:$A$400,"?*"),0)</f>
        <v>0</v>
      </c>
      <c r="E6" s="132">
        <f>COUNTIFS('Master Tracker'!$B$6:$B$400,"Phase 5",'Master Tracker'!$A$6:$A$400,"?*")</f>
        <v>20</v>
      </c>
      <c r="F6" s="133"/>
      <c r="G6" s="48">
        <f>COUNTIFS('Master Tracker'!$B$6:$B$400,"Phase 5",'Master Tracker'!$G$6:$G$400,"Completed")</f>
        <v>0</v>
      </c>
      <c r="H6" s="132">
        <f>COUNTIFS('Master Tracker'!$B$6:$B$400,"Phase 5",'Master Tracker'!$G$6:$G$400,"In Progress")</f>
        <v>0</v>
      </c>
      <c r="I6" s="133"/>
      <c r="J6" s="132">
        <f>COUNTIFS('Master Tracker'!$B$6:$B$400,"Phase 5",'Master Tracker'!$G$6:$G$400,"Blocked")</f>
        <v>0</v>
      </c>
      <c r="K6" s="133"/>
      <c r="L6" s="48">
        <f ca="1">COUNTIFS('Master Tracker'!$B$6:$B$400,"Phase 5",'Master Tracker'!$X$6:$X$400,"OVERDUE")</f>
        <v>0</v>
      </c>
      <c r="M6" s="48">
        <f>COUNTIFS('Master Tracker'!$B$6:$B$400,"Phase 5",'Master Tracker'!$G$6:$G$400,"In Review")+COUNTIFS('Master Tracker'!$B$6:$B$400,"Phase 5",'Master Tracker'!$G$6:$G$400,"Testing")</f>
        <v>0</v>
      </c>
      <c r="N6" s="48">
        <f>COUNTIFS('Master Tracker'!$B$6:$B$400,"Phase 5",'Master Tracker'!$F$6:$F$400,"P0",'Master Tracker'!$G$6:$G$400,"&lt;&gt;Completed",'Master Tracker'!$A$6:$A$400,"?*")</f>
        <v>11</v>
      </c>
      <c r="O6" s="49">
        <f>_xlfn.MAXIFS('Master Tracker'!$I$6:$I$400,'Master Tracker'!$B$6:$B$400,"Phase 5")</f>
        <v>46320</v>
      </c>
      <c r="P6" s="137" t="str">
        <f ca="1">IF(E6=0,"—",IF(G6=E6,"Complete",IF(J6&gt;0,"Blocked",IF(L6&gt;0,"Behind",IF(A6+0.1&lt;D6,"Behind",IF(A6&gt;0,"On Track","Not Started"))))))</f>
        <v>Not Started</v>
      </c>
      <c r="Q6" s="86"/>
      <c r="R6" s="86"/>
    </row>
    <row r="7" spans="1:18" ht="22.05" customHeight="1" x14ac:dyDescent="0.3">
      <c r="A7" s="127" t="str">
        <f ca="1">"Progress  "&amp;REPT("█",ROUND(A6*50,0))&amp;REPT("░",50-ROUND(A6*50,0))&amp;"  "&amp;TEXT(A6,"0%")&amp;"  (planned "&amp;TEXT(D6,"0%")&amp;")"</f>
        <v>Progress  ░░░░░░░░░░░░░░░░░░░░░░░░░░░░░░░░░░░░░░░░░░░░░░░░░░  0%  (planned 0%)</v>
      </c>
      <c r="B7" s="86"/>
      <c r="C7" s="86"/>
      <c r="D7" s="86"/>
      <c r="E7" s="86"/>
      <c r="F7" s="86"/>
      <c r="G7" s="86"/>
      <c r="H7" s="86"/>
      <c r="I7" s="86"/>
      <c r="J7" s="86"/>
      <c r="K7" s="86"/>
      <c r="L7" s="86"/>
      <c r="M7" s="86"/>
      <c r="N7" s="86"/>
      <c r="O7" s="86"/>
      <c r="P7" s="86"/>
      <c r="Q7" s="86"/>
      <c r="R7" s="86"/>
    </row>
    <row r="9" spans="1:18" ht="22.05" customHeight="1" x14ac:dyDescent="0.3">
      <c r="A9" s="71" t="s">
        <v>897</v>
      </c>
      <c r="B9" s="72"/>
      <c r="C9" s="72"/>
      <c r="D9" s="72"/>
      <c r="E9" s="72"/>
      <c r="F9" s="72"/>
      <c r="G9" s="72"/>
      <c r="H9" s="72"/>
      <c r="I9" s="72"/>
      <c r="J9" s="72"/>
      <c r="K9" s="72"/>
      <c r="L9" s="72"/>
      <c r="M9" s="72"/>
      <c r="N9" s="72"/>
      <c r="O9" s="72"/>
      <c r="P9" s="72"/>
      <c r="Q9" s="72"/>
      <c r="R9" s="72"/>
    </row>
    <row r="10" spans="1:18" ht="46.05" customHeight="1" x14ac:dyDescent="0.3">
      <c r="A10" s="135" t="s">
        <v>1043</v>
      </c>
      <c r="B10" s="86"/>
      <c r="C10" s="86"/>
      <c r="D10" s="86"/>
      <c r="E10" s="86"/>
      <c r="F10" s="86"/>
      <c r="G10" s="86"/>
      <c r="H10" s="86"/>
      <c r="I10" s="86"/>
      <c r="J10" s="86"/>
      <c r="K10" s="86"/>
      <c r="L10" s="86"/>
      <c r="M10" s="86"/>
      <c r="N10" s="86"/>
      <c r="O10" s="86"/>
      <c r="P10" s="86"/>
      <c r="Q10" s="86"/>
      <c r="R10" s="86"/>
    </row>
    <row r="12" spans="1:18" ht="22.05" customHeight="1" x14ac:dyDescent="0.3">
      <c r="A12" s="71" t="s">
        <v>899</v>
      </c>
      <c r="B12" s="72"/>
      <c r="C12" s="72"/>
      <c r="D12" s="72"/>
      <c r="E12" s="72"/>
      <c r="F12" s="72"/>
      <c r="G12" s="72"/>
      <c r="H12" s="72"/>
      <c r="J12" s="71" t="s">
        <v>900</v>
      </c>
      <c r="K12" s="72"/>
      <c r="L12" s="72"/>
      <c r="M12" s="72"/>
      <c r="N12" s="72"/>
      <c r="O12" s="72"/>
      <c r="P12" s="72"/>
      <c r="Q12" s="72"/>
      <c r="R12" s="72"/>
    </row>
    <row r="13" spans="1:18" x14ac:dyDescent="0.3">
      <c r="A13" s="128" t="s">
        <v>1044</v>
      </c>
      <c r="B13" s="86"/>
      <c r="C13" s="86"/>
      <c r="D13" s="86"/>
      <c r="E13" s="86"/>
      <c r="F13" s="86"/>
      <c r="G13" s="86"/>
      <c r="H13" s="86"/>
      <c r="J13" s="128" t="s">
        <v>1045</v>
      </c>
      <c r="K13" s="86"/>
      <c r="L13" s="86"/>
      <c r="M13" s="86"/>
      <c r="N13" s="86"/>
      <c r="O13" s="86"/>
      <c r="P13" s="86"/>
      <c r="Q13" s="86"/>
      <c r="R13" s="86"/>
    </row>
    <row r="14" spans="1:18" x14ac:dyDescent="0.3">
      <c r="A14" s="126" t="s">
        <v>1046</v>
      </c>
      <c r="B14" s="86"/>
      <c r="C14" s="86"/>
      <c r="D14" s="86"/>
      <c r="E14" s="86"/>
      <c r="F14" s="86"/>
      <c r="G14" s="86"/>
      <c r="H14" s="86"/>
      <c r="J14" s="126" t="s">
        <v>1047</v>
      </c>
      <c r="K14" s="86"/>
      <c r="L14" s="86"/>
      <c r="M14" s="86"/>
      <c r="N14" s="86"/>
      <c r="O14" s="86"/>
      <c r="P14" s="86"/>
      <c r="Q14" s="86"/>
      <c r="R14" s="86"/>
    </row>
    <row r="15" spans="1:18" x14ac:dyDescent="0.3">
      <c r="A15" s="128" t="s">
        <v>1048</v>
      </c>
      <c r="B15" s="86"/>
      <c r="C15" s="86"/>
      <c r="D15" s="86"/>
      <c r="E15" s="86"/>
      <c r="F15" s="86"/>
      <c r="G15" s="86"/>
      <c r="H15" s="86"/>
      <c r="J15" s="128" t="s">
        <v>1049</v>
      </c>
      <c r="K15" s="86"/>
      <c r="L15" s="86"/>
      <c r="M15" s="86"/>
      <c r="N15" s="86"/>
      <c r="O15" s="86"/>
      <c r="P15" s="86"/>
      <c r="Q15" s="86"/>
      <c r="R15" s="86"/>
    </row>
    <row r="16" spans="1:18" x14ac:dyDescent="0.3">
      <c r="A16" s="126" t="s">
        <v>1050</v>
      </c>
      <c r="B16" s="86"/>
      <c r="C16" s="86"/>
      <c r="D16" s="86"/>
      <c r="E16" s="86"/>
      <c r="F16" s="86"/>
      <c r="G16" s="86"/>
      <c r="H16" s="86"/>
      <c r="J16" s="126" t="s">
        <v>1051</v>
      </c>
      <c r="K16" s="86"/>
      <c r="L16" s="86"/>
      <c r="M16" s="86"/>
      <c r="N16" s="86"/>
      <c r="O16" s="86"/>
      <c r="P16" s="86"/>
      <c r="Q16" s="86"/>
      <c r="R16" s="86"/>
    </row>
    <row r="17" spans="1:18" x14ac:dyDescent="0.3">
      <c r="A17" s="128" t="s">
        <v>1052</v>
      </c>
      <c r="B17" s="86"/>
      <c r="C17" s="86"/>
      <c r="D17" s="86"/>
      <c r="E17" s="86"/>
      <c r="F17" s="86"/>
      <c r="G17" s="86"/>
      <c r="H17" s="86"/>
      <c r="J17" s="128" t="s">
        <v>1053</v>
      </c>
      <c r="K17" s="86"/>
      <c r="L17" s="86"/>
      <c r="M17" s="86"/>
      <c r="N17" s="86"/>
      <c r="O17" s="86"/>
      <c r="P17" s="86"/>
      <c r="Q17" s="86"/>
      <c r="R17" s="86"/>
    </row>
    <row r="18" spans="1:18" x14ac:dyDescent="0.3">
      <c r="A18" s="126" t="s">
        <v>1054</v>
      </c>
      <c r="B18" s="86"/>
      <c r="C18" s="86"/>
      <c r="D18" s="86"/>
      <c r="E18" s="86"/>
      <c r="F18" s="86"/>
      <c r="G18" s="86"/>
      <c r="H18" s="86"/>
      <c r="J18" s="126" t="s">
        <v>1055</v>
      </c>
      <c r="K18" s="86"/>
      <c r="L18" s="86"/>
      <c r="M18" s="86"/>
      <c r="N18" s="86"/>
      <c r="O18" s="86"/>
      <c r="P18" s="86"/>
      <c r="Q18" s="86"/>
      <c r="R18" s="86"/>
    </row>
    <row r="19" spans="1:18" x14ac:dyDescent="0.3">
      <c r="A19" s="128" t="s">
        <v>1056</v>
      </c>
      <c r="B19" s="86"/>
      <c r="C19" s="86"/>
      <c r="D19" s="86"/>
      <c r="E19" s="86"/>
      <c r="F19" s="86"/>
      <c r="G19" s="86"/>
      <c r="H19" s="86"/>
      <c r="J19" s="128" t="s">
        <v>1057</v>
      </c>
      <c r="K19" s="86"/>
      <c r="L19" s="86"/>
      <c r="M19" s="86"/>
      <c r="N19" s="86"/>
      <c r="O19" s="86"/>
      <c r="P19" s="86"/>
      <c r="Q19" s="86"/>
      <c r="R19" s="86"/>
    </row>
    <row r="20" spans="1:18" x14ac:dyDescent="0.3">
      <c r="A20" s="126" t="s">
        <v>1058</v>
      </c>
      <c r="B20" s="86"/>
      <c r="C20" s="86"/>
      <c r="D20" s="86"/>
      <c r="E20" s="86"/>
      <c r="F20" s="86"/>
      <c r="G20" s="86"/>
      <c r="H20" s="86"/>
      <c r="J20" s="126" t="s">
        <v>1059</v>
      </c>
      <c r="K20" s="86"/>
      <c r="L20" s="86"/>
      <c r="M20" s="86"/>
      <c r="N20" s="86"/>
      <c r="O20" s="86"/>
      <c r="P20" s="86"/>
      <c r="Q20" s="86"/>
      <c r="R20" s="86"/>
    </row>
    <row r="21" spans="1:18" x14ac:dyDescent="0.3">
      <c r="A21" s="128" t="s">
        <v>1060</v>
      </c>
      <c r="B21" s="86"/>
      <c r="C21" s="86"/>
      <c r="D21" s="86"/>
      <c r="E21" s="86"/>
      <c r="F21" s="86"/>
      <c r="G21" s="86"/>
      <c r="H21" s="86"/>
      <c r="J21" s="128" t="s">
        <v>1061</v>
      </c>
      <c r="K21" s="86"/>
      <c r="L21" s="86"/>
      <c r="M21" s="86"/>
      <c r="N21" s="86"/>
      <c r="O21" s="86"/>
      <c r="P21" s="86"/>
      <c r="Q21" s="86"/>
      <c r="R21" s="86"/>
    </row>
    <row r="22" spans="1:18" x14ac:dyDescent="0.3">
      <c r="A22" s="126"/>
      <c r="B22" s="86"/>
      <c r="C22" s="86"/>
      <c r="D22" s="86"/>
      <c r="E22" s="86"/>
      <c r="F22" s="86"/>
      <c r="G22" s="86"/>
      <c r="H22" s="86"/>
      <c r="J22" s="126" t="s">
        <v>1062</v>
      </c>
      <c r="K22" s="86"/>
      <c r="L22" s="86"/>
      <c r="M22" s="86"/>
      <c r="N22" s="86"/>
      <c r="O22" s="86"/>
      <c r="P22" s="86"/>
      <c r="Q22" s="86"/>
      <c r="R22" s="86"/>
    </row>
    <row r="23" spans="1:18" x14ac:dyDescent="0.3">
      <c r="A23" s="128"/>
      <c r="B23" s="86"/>
      <c r="C23" s="86"/>
      <c r="D23" s="86"/>
      <c r="E23" s="86"/>
      <c r="F23" s="86"/>
      <c r="G23" s="86"/>
      <c r="H23" s="86"/>
      <c r="J23" s="128" t="s">
        <v>1063</v>
      </c>
      <c r="K23" s="86"/>
      <c r="L23" s="86"/>
      <c r="M23" s="86"/>
      <c r="N23" s="86"/>
      <c r="O23" s="86"/>
      <c r="P23" s="86"/>
      <c r="Q23" s="86"/>
      <c r="R23" s="86"/>
    </row>
    <row r="24" spans="1:18" x14ac:dyDescent="0.3">
      <c r="A24" s="126"/>
      <c r="B24" s="86"/>
      <c r="C24" s="86"/>
      <c r="D24" s="86"/>
      <c r="E24" s="86"/>
      <c r="F24" s="86"/>
      <c r="G24" s="86"/>
      <c r="H24" s="86"/>
      <c r="J24" s="126" t="s">
        <v>1064</v>
      </c>
      <c r="K24" s="86"/>
      <c r="L24" s="86"/>
      <c r="M24" s="86"/>
      <c r="N24" s="86"/>
      <c r="O24" s="86"/>
      <c r="P24" s="86"/>
      <c r="Q24" s="86"/>
      <c r="R24" s="86"/>
    </row>
    <row r="26" spans="1:18" ht="22.05" customHeight="1" x14ac:dyDescent="0.3">
      <c r="A26" s="71" t="s">
        <v>922</v>
      </c>
      <c r="B26" s="72"/>
      <c r="C26" s="72"/>
      <c r="D26" s="72"/>
      <c r="E26" s="72"/>
      <c r="F26" s="72"/>
      <c r="G26" s="72"/>
      <c r="H26" s="72"/>
      <c r="I26" s="72"/>
      <c r="J26" s="72"/>
      <c r="K26" s="72"/>
      <c r="L26" s="72"/>
      <c r="M26" s="72"/>
      <c r="N26" s="72"/>
      <c r="O26" s="72"/>
      <c r="P26" s="72"/>
      <c r="Q26" s="72"/>
      <c r="R26" s="72"/>
    </row>
    <row r="27" spans="1:18" x14ac:dyDescent="0.3">
      <c r="A27" s="50">
        <v>1</v>
      </c>
      <c r="B27" s="126" t="s">
        <v>1065</v>
      </c>
      <c r="C27" s="86"/>
      <c r="D27" s="86"/>
      <c r="E27" s="86"/>
      <c r="F27" s="86"/>
      <c r="G27" s="86"/>
      <c r="H27" s="86"/>
      <c r="I27" s="86"/>
      <c r="J27" s="86"/>
      <c r="K27" s="86"/>
      <c r="L27" s="86"/>
      <c r="M27" s="86"/>
      <c r="N27" s="86"/>
      <c r="O27" s="86"/>
      <c r="P27" s="86"/>
      <c r="Q27" s="86"/>
      <c r="R27" s="86"/>
    </row>
    <row r="28" spans="1:18" x14ac:dyDescent="0.3">
      <c r="A28" s="50">
        <v>2</v>
      </c>
      <c r="B28" s="128" t="s">
        <v>1066</v>
      </c>
      <c r="C28" s="86"/>
      <c r="D28" s="86"/>
      <c r="E28" s="86"/>
      <c r="F28" s="86"/>
      <c r="G28" s="86"/>
      <c r="H28" s="86"/>
      <c r="I28" s="86"/>
      <c r="J28" s="86"/>
      <c r="K28" s="86"/>
      <c r="L28" s="86"/>
      <c r="M28" s="86"/>
      <c r="N28" s="86"/>
      <c r="O28" s="86"/>
      <c r="P28" s="86"/>
      <c r="Q28" s="86"/>
      <c r="R28" s="86"/>
    </row>
    <row r="29" spans="1:18" x14ac:dyDescent="0.3">
      <c r="A29" s="50">
        <v>3</v>
      </c>
      <c r="B29" s="126" t="s">
        <v>1067</v>
      </c>
      <c r="C29" s="86"/>
      <c r="D29" s="86"/>
      <c r="E29" s="86"/>
      <c r="F29" s="86"/>
      <c r="G29" s="86"/>
      <c r="H29" s="86"/>
      <c r="I29" s="86"/>
      <c r="J29" s="86"/>
      <c r="K29" s="86"/>
      <c r="L29" s="86"/>
      <c r="M29" s="86"/>
      <c r="N29" s="86"/>
      <c r="O29" s="86"/>
      <c r="P29" s="86"/>
      <c r="Q29" s="86"/>
      <c r="R29" s="86"/>
    </row>
    <row r="30" spans="1:18" x14ac:dyDescent="0.3">
      <c r="A30" s="50">
        <v>4</v>
      </c>
      <c r="B30" s="128" t="s">
        <v>1068</v>
      </c>
      <c r="C30" s="86"/>
      <c r="D30" s="86"/>
      <c r="E30" s="86"/>
      <c r="F30" s="86"/>
      <c r="G30" s="86"/>
      <c r="H30" s="86"/>
      <c r="I30" s="86"/>
      <c r="J30" s="86"/>
      <c r="K30" s="86"/>
      <c r="L30" s="86"/>
      <c r="M30" s="86"/>
      <c r="N30" s="86"/>
      <c r="O30" s="86"/>
      <c r="P30" s="86"/>
      <c r="Q30" s="86"/>
      <c r="R30" s="86"/>
    </row>
    <row r="31" spans="1:18" x14ac:dyDescent="0.3">
      <c r="A31" s="50">
        <v>5</v>
      </c>
      <c r="B31" s="126" t="s">
        <v>1069</v>
      </c>
      <c r="C31" s="86"/>
      <c r="D31" s="86"/>
      <c r="E31" s="86"/>
      <c r="F31" s="86"/>
      <c r="G31" s="86"/>
      <c r="H31" s="86"/>
      <c r="I31" s="86"/>
      <c r="J31" s="86"/>
      <c r="K31" s="86"/>
      <c r="L31" s="86"/>
      <c r="M31" s="86"/>
      <c r="N31" s="86"/>
      <c r="O31" s="86"/>
      <c r="P31" s="86"/>
      <c r="Q31" s="86"/>
      <c r="R31" s="86"/>
    </row>
    <row r="32" spans="1:18" x14ac:dyDescent="0.3">
      <c r="A32" s="50">
        <v>6</v>
      </c>
      <c r="B32" s="128" t="s">
        <v>1070</v>
      </c>
      <c r="C32" s="86"/>
      <c r="D32" s="86"/>
      <c r="E32" s="86"/>
      <c r="F32" s="86"/>
      <c r="G32" s="86"/>
      <c r="H32" s="86"/>
      <c r="I32" s="86"/>
      <c r="J32" s="86"/>
      <c r="K32" s="86"/>
      <c r="L32" s="86"/>
      <c r="M32" s="86"/>
      <c r="N32" s="86"/>
      <c r="O32" s="86"/>
      <c r="P32" s="86"/>
      <c r="Q32" s="86"/>
      <c r="R32" s="86"/>
    </row>
    <row r="33" spans="1:19" x14ac:dyDescent="0.3">
      <c r="A33" s="50">
        <v>7</v>
      </c>
      <c r="B33" s="126" t="s">
        <v>1071</v>
      </c>
      <c r="C33" s="86"/>
      <c r="D33" s="86"/>
      <c r="E33" s="86"/>
      <c r="F33" s="86"/>
      <c r="G33" s="86"/>
      <c r="H33" s="86"/>
      <c r="I33" s="86"/>
      <c r="J33" s="86"/>
      <c r="K33" s="86"/>
      <c r="L33" s="86"/>
      <c r="M33" s="86"/>
      <c r="N33" s="86"/>
      <c r="O33" s="86"/>
      <c r="P33" s="86"/>
      <c r="Q33" s="86"/>
      <c r="R33" s="86"/>
    </row>
    <row r="34" spans="1:19" x14ac:dyDescent="0.3">
      <c r="A34" s="50">
        <v>8</v>
      </c>
      <c r="B34" s="128" t="s">
        <v>1072</v>
      </c>
      <c r="C34" s="86"/>
      <c r="D34" s="86"/>
      <c r="E34" s="86"/>
      <c r="F34" s="86"/>
      <c r="G34" s="86"/>
      <c r="H34" s="86"/>
      <c r="I34" s="86"/>
      <c r="J34" s="86"/>
      <c r="K34" s="86"/>
      <c r="L34" s="86"/>
      <c r="M34" s="86"/>
      <c r="N34" s="86"/>
      <c r="O34" s="86"/>
      <c r="P34" s="86"/>
      <c r="Q34" s="86"/>
      <c r="R34" s="86"/>
    </row>
    <row r="35" spans="1:19" x14ac:dyDescent="0.3">
      <c r="A35" s="50">
        <v>9</v>
      </c>
      <c r="B35" s="126" t="s">
        <v>1073</v>
      </c>
      <c r="C35" s="86"/>
      <c r="D35" s="86"/>
      <c r="E35" s="86"/>
      <c r="F35" s="86"/>
      <c r="G35" s="86"/>
      <c r="H35" s="86"/>
      <c r="I35" s="86"/>
      <c r="J35" s="86"/>
      <c r="K35" s="86"/>
      <c r="L35" s="86"/>
      <c r="M35" s="86"/>
      <c r="N35" s="86"/>
      <c r="O35" s="86"/>
      <c r="P35" s="86"/>
      <c r="Q35" s="86"/>
      <c r="R35" s="86"/>
    </row>
    <row r="36" spans="1:19" x14ac:dyDescent="0.3">
      <c r="A36" s="50">
        <v>10</v>
      </c>
      <c r="B36" s="128" t="s">
        <v>1074</v>
      </c>
      <c r="C36" s="86"/>
      <c r="D36" s="86"/>
      <c r="E36" s="86"/>
      <c r="F36" s="86"/>
      <c r="G36" s="86"/>
      <c r="H36" s="86"/>
      <c r="I36" s="86"/>
      <c r="J36" s="86"/>
      <c r="K36" s="86"/>
      <c r="L36" s="86"/>
      <c r="M36" s="86"/>
      <c r="N36" s="86"/>
      <c r="O36" s="86"/>
      <c r="P36" s="86"/>
      <c r="Q36" s="86"/>
      <c r="R36" s="86"/>
    </row>
    <row r="38" spans="1:19" ht="22.05" customHeight="1" x14ac:dyDescent="0.3">
      <c r="A38" s="71" t="s">
        <v>933</v>
      </c>
      <c r="B38" s="72"/>
      <c r="C38" s="72"/>
      <c r="D38" s="72"/>
      <c r="E38" s="72"/>
      <c r="F38" s="72"/>
      <c r="G38" s="72"/>
      <c r="H38" s="72"/>
      <c r="I38" s="72"/>
      <c r="J38" s="72"/>
      <c r="K38" s="72"/>
      <c r="L38" s="72"/>
      <c r="M38" s="72"/>
      <c r="N38" s="72"/>
      <c r="O38" s="72"/>
      <c r="P38" s="72"/>
      <c r="Q38" s="72"/>
      <c r="R38" s="72"/>
    </row>
    <row r="39" spans="1:19" x14ac:dyDescent="0.3">
      <c r="A39" s="12" t="s">
        <v>934</v>
      </c>
      <c r="B39" s="12" t="s">
        <v>112</v>
      </c>
      <c r="C39" s="12" t="s">
        <v>935</v>
      </c>
      <c r="D39" s="12" t="s">
        <v>91</v>
      </c>
      <c r="E39" s="12" t="s">
        <v>66</v>
      </c>
      <c r="F39" s="12" t="s">
        <v>70</v>
      </c>
      <c r="G39" s="12" t="s">
        <v>936</v>
      </c>
      <c r="H39" s="12" t="s">
        <v>92</v>
      </c>
      <c r="I39" s="12" t="s">
        <v>937</v>
      </c>
      <c r="J39" s="12" t="s">
        <v>938</v>
      </c>
      <c r="K39" s="12" t="s">
        <v>939</v>
      </c>
      <c r="L39" s="12" t="s">
        <v>940</v>
      </c>
      <c r="M39" s="12" t="s">
        <v>941</v>
      </c>
      <c r="N39" s="12" t="s">
        <v>942</v>
      </c>
      <c r="O39" s="12" t="s">
        <v>943</v>
      </c>
      <c r="P39" s="12" t="s">
        <v>944</v>
      </c>
    </row>
    <row r="40" spans="1:19" ht="48" customHeight="1" x14ac:dyDescent="0.3">
      <c r="A40" s="7">
        <v>1</v>
      </c>
      <c r="B40" s="51" t="str">
        <f>IF($S40="","",IF(INDEX('Master Tracker'!$A$6:$A$400,$S40)="","",INDEX('Master Tracker'!$A$6:$A$400,$S40)))</f>
        <v>P5-01</v>
      </c>
      <c r="C40" s="52" t="str">
        <f>IF($S40="","",IF(INDEX('Master Tracker'!$C$6:$C$400,$S40)="","",INDEX('Master Tracker'!$C$6:$C$400,$S40)))</f>
        <v>Credentials</v>
      </c>
      <c r="D40" s="52" t="str">
        <f>IF($S40="","",IF(INDEX('Master Tracker'!$D$6:$D$400,$S40)="","",INDEX('Master Tracker'!$D$6:$D$400,$S40)))</f>
        <v>Request Google OAuth credentials</v>
      </c>
      <c r="E40" s="7" t="str">
        <f>IF($S40="","",IF(INDEX('Master Tracker'!$F$6:$F$400,$S40)="","",INDEX('Master Tracker'!$F$6:$F$400,$S40)))</f>
        <v>P1</v>
      </c>
      <c r="F40" s="7" t="str">
        <f>IF($S40="","",IF(INDEX('Master Tracker'!$G$6:$G$400,$S40)="","",INDEX('Master Tracker'!$G$6:$G$400,$S40)))</f>
        <v>Not Started</v>
      </c>
      <c r="G40" s="19">
        <f>IF($S40="","",IF(INDEX('Master Tracker'!$H$6:$H$400,$S40)="","",INDEX('Master Tracker'!$H$6:$H$400,$S40)))</f>
        <v>46307</v>
      </c>
      <c r="H40" s="19">
        <f>IF($S40="","",IF(INDEX('Master Tracker'!$I$6:$I$400,$S40)="","",INDEX('Master Tracker'!$I$6:$I$400,$S40)))</f>
        <v>46315</v>
      </c>
      <c r="I40" s="53">
        <f>IF($S40="","",IF(INDEX('Master Tracker'!$U$6:$U$400,$S40)="","",INDEX('Master Tracker'!$U$6:$U$400,$S40)))</f>
        <v>0</v>
      </c>
      <c r="J40" s="52" t="str">
        <f>IF($S40="","",IF(INDEX('Master Tracker'!$K$6:$K$400,$S40)="","",INDEX('Master Tracker'!$K$6:$K$400,$S40)))</f>
        <v/>
      </c>
      <c r="K40" s="52" t="str">
        <f>IF($S40="","",IF(INDEX('Master Tracker'!$Y$6:$Y$400,$S40)="","",INDEX('Master Tracker'!$Y$6:$Y$400,$S40)))</f>
        <v/>
      </c>
      <c r="L40" s="52" t="str">
        <f>IF($S40="","",IF(INDEX('Master Tracker'!$M$6:$M$400,$S40)="","",INDEX('Master Tracker'!$M$6:$M$400,$S40)))</f>
        <v>—</v>
      </c>
      <c r="M40" s="52" t="str">
        <f>IF($S40="","",IF(INDEX('Master Tracker'!$O$6:$O$400,$S40)="","",INDEX('Master Tracker'!$O$6:$O$400,$S40)))</f>
        <v>Valid client ID/secret for both domains</v>
      </c>
      <c r="N40" s="52" t="str">
        <f>IF($S40="","",IF(INDEX('Master Tracker'!$N$6:$N$400,$S40)="","",INDEX('Master Tracker'!$N$6:$N$400,$S40)))</f>
        <v>Credentials received and stored securely (not in Git)</v>
      </c>
      <c r="O40" s="7" t="str">
        <f>IF($S40="","",IF(INDEX('Master Tracker'!$T$6:$T$400,$S40)="","",INDEX('Master Tracker'!$T$6:$T$400,$S40)))</f>
        <v>Not Tested</v>
      </c>
      <c r="P40" s="7" t="str">
        <f ca="1">IF($S40="","",IF(INDEX('Master Tracker'!$AC$6:$AC$400,$S40)="","",INDEX('Master Tracker'!$AC$6:$AC$400,$S40)))</f>
        <v>External req.</v>
      </c>
      <c r="S40">
        <f>IFERROR(MATCH("Phase 5|"&amp;A40,'Master Tracker'!$Z$6:$Z$400,0),"")</f>
        <v>70</v>
      </c>
    </row>
    <row r="41" spans="1:19" ht="48" customHeight="1" x14ac:dyDescent="0.3">
      <c r="A41" s="7">
        <v>2</v>
      </c>
      <c r="B41" s="51" t="str">
        <f>IF($S41="","",IF(INDEX('Master Tracker'!$A$6:$A$400,$S41)="","",INDEX('Master Tracker'!$A$6:$A$400,$S41)))</f>
        <v>P5-02</v>
      </c>
      <c r="C41" s="52" t="str">
        <f>IF($S41="","",IF(INDEX('Master Tracker'!$C$6:$C$400,$S41)="","",INDEX('Master Tracker'!$C$6:$C$400,$S41)))</f>
        <v>Credentials</v>
      </c>
      <c r="D41" s="52" t="str">
        <f>IF($S41="","",IF(INDEX('Master Tracker'!$D$6:$D$400,$S41)="","",INDEX('Master Tracker'!$D$6:$D$400,$S41)))</f>
        <v>Request Sign in with Apple credentials</v>
      </c>
      <c r="E41" s="7" t="str">
        <f>IF($S41="","",IF(INDEX('Master Tracker'!$F$6:$F$400,$S41)="","",INDEX('Master Tracker'!$F$6:$F$400,$S41)))</f>
        <v>P1</v>
      </c>
      <c r="F41" s="7" t="str">
        <f>IF($S41="","",IF(INDEX('Master Tracker'!$G$6:$G$400,$S41)="","",INDEX('Master Tracker'!$G$6:$G$400,$S41)))</f>
        <v>Not Started</v>
      </c>
      <c r="G41" s="19">
        <f>IF($S41="","",IF(INDEX('Master Tracker'!$H$6:$H$400,$S41)="","",INDEX('Master Tracker'!$H$6:$H$400,$S41)))</f>
        <v>46307</v>
      </c>
      <c r="H41" s="19">
        <f>IF($S41="","",IF(INDEX('Master Tracker'!$I$6:$I$400,$S41)="","",INDEX('Master Tracker'!$I$6:$I$400,$S41)))</f>
        <v>46315</v>
      </c>
      <c r="I41" s="53">
        <f>IF($S41="","",IF(INDEX('Master Tracker'!$U$6:$U$400,$S41)="","",INDEX('Master Tracker'!$U$6:$U$400,$S41)))</f>
        <v>0</v>
      </c>
      <c r="J41" s="52" t="str">
        <f>IF($S41="","",IF(INDEX('Master Tracker'!$K$6:$K$400,$S41)="","",INDEX('Master Tracker'!$K$6:$K$400,$S41)))</f>
        <v/>
      </c>
      <c r="K41" s="52" t="str">
        <f>IF($S41="","",IF(INDEX('Master Tracker'!$Y$6:$Y$400,$S41)="","",INDEX('Master Tracker'!$Y$6:$Y$400,$S41)))</f>
        <v/>
      </c>
      <c r="L41" s="52" t="str">
        <f>IF($S41="","",IF(INDEX('Master Tracker'!$M$6:$M$400,$S41)="","",INDEX('Master Tracker'!$M$6:$M$400,$S41)))</f>
        <v>—</v>
      </c>
      <c r="M41" s="52" t="str">
        <f>IF($S41="","",IF(INDEX('Master Tracker'!$O$6:$O$400,$S41)="","",INDEX('Master Tracker'!$O$6:$O$400,$S41)))</f>
        <v>Valid Apple credentials for both domains</v>
      </c>
      <c r="N41" s="52" t="str">
        <f>IF($S41="","",IF(INDEX('Master Tracker'!$N$6:$N$400,$S41)="","",INDEX('Master Tracker'!$N$6:$N$400,$S41)))</f>
        <v>Credentials received; domain verification file placed</v>
      </c>
      <c r="O41" s="7" t="str">
        <f>IF($S41="","",IF(INDEX('Master Tracker'!$T$6:$T$400,$S41)="","",INDEX('Master Tracker'!$T$6:$T$400,$S41)))</f>
        <v>Not Tested</v>
      </c>
      <c r="P41" s="7" t="str">
        <f ca="1">IF($S41="","",IF(INDEX('Master Tracker'!$AC$6:$AC$400,$S41)="","",INDEX('Master Tracker'!$AC$6:$AC$400,$S41)))</f>
        <v>External req.</v>
      </c>
      <c r="S41">
        <f>IFERROR(MATCH("Phase 5|"&amp;A41,'Master Tracker'!$Z$6:$Z$400,0),"")</f>
        <v>71</v>
      </c>
    </row>
    <row r="42" spans="1:19" ht="48" customHeight="1" x14ac:dyDescent="0.3">
      <c r="A42" s="7">
        <v>3</v>
      </c>
      <c r="B42" s="51" t="str">
        <f>IF($S42="","",IF(INDEX('Master Tracker'!$A$6:$A$400,$S42)="","",INDEX('Master Tracker'!$A$6:$A$400,$S42)))</f>
        <v>P5-03</v>
      </c>
      <c r="C42" s="52" t="str">
        <f>IF($S42="","",IF(INDEX('Master Tracker'!$C$6:$C$400,$S42)="","",INDEX('Master Tracker'!$C$6:$C$400,$S42)))</f>
        <v>Payments</v>
      </c>
      <c r="D42" s="52" t="str">
        <f>IF($S42="","",IF(INDEX('Master Tracker'!$D$6:$D$400,$S42)="","",INDEX('Master Tracker'!$D$6:$D$400,$S42)))</f>
        <v>Confirm payment provider &amp; obtain API keys</v>
      </c>
      <c r="E42" s="7" t="str">
        <f>IF($S42="","",IF(INDEX('Master Tracker'!$F$6:$F$400,$S42)="","",INDEX('Master Tracker'!$F$6:$F$400,$S42)))</f>
        <v>P0</v>
      </c>
      <c r="F42" s="7" t="str">
        <f>IF($S42="","",IF(INDEX('Master Tracker'!$G$6:$G$400,$S42)="","",INDEX('Master Tracker'!$G$6:$G$400,$S42)))</f>
        <v>Not Started</v>
      </c>
      <c r="G42" s="19">
        <f>IF($S42="","",IF(INDEX('Master Tracker'!$H$6:$H$400,$S42)="","",INDEX('Master Tracker'!$H$6:$H$400,$S42)))</f>
        <v>46307</v>
      </c>
      <c r="H42" s="19">
        <f>IF($S42="","",IF(INDEX('Master Tracker'!$I$6:$I$400,$S42)="","",INDEX('Master Tracker'!$I$6:$I$400,$S42)))</f>
        <v>46317</v>
      </c>
      <c r="I42" s="53">
        <f>IF($S42="","",IF(INDEX('Master Tracker'!$U$6:$U$400,$S42)="","",INDEX('Master Tracker'!$U$6:$U$400,$S42)))</f>
        <v>0</v>
      </c>
      <c r="J42" s="52" t="str">
        <f>IF($S42="","",IF(INDEX('Master Tracker'!$K$6:$K$400,$S42)="","",INDEX('Master Tracker'!$K$6:$K$400,$S42)))</f>
        <v/>
      </c>
      <c r="K42" s="52" t="str">
        <f>IF($S42="","",IF(INDEX('Master Tracker'!$Y$6:$Y$400,$S42)="","",INDEX('Master Tracker'!$Y$6:$Y$400,$S42)))</f>
        <v/>
      </c>
      <c r="L42" s="52" t="str">
        <f>IF($S42="","",IF(INDEX('Master Tracker'!$M$6:$M$400,$S42)="","",INDEX('Master Tracker'!$M$6:$M$400,$S42)))</f>
        <v>—</v>
      </c>
      <c r="M42" s="52" t="str">
        <f>IF($S42="","",IF(INDEX('Master Tracker'!$O$6:$O$400,$S42)="","",INDEX('Master Tracker'!$O$6:$O$400,$S42)))</f>
        <v>Sandbox keys in hand; live approval confirmed before cutover</v>
      </c>
      <c r="N42" s="52" t="str">
        <f>IF($S42="","",IF(INDEX('Master Tracker'!$N$6:$N$400,$S42)="","",INDEX('Master Tracker'!$N$6:$N$400,$S42)))</f>
        <v>Sandbox transaction possible; live approval date known</v>
      </c>
      <c r="O42" s="7" t="str">
        <f>IF($S42="","",IF(INDEX('Master Tracker'!$T$6:$T$400,$S42)="","",INDEX('Master Tracker'!$T$6:$T$400,$S42)))</f>
        <v>Not Tested</v>
      </c>
      <c r="P42" s="7" t="str">
        <f ca="1">IF($S42="","",IF(INDEX('Master Tracker'!$AC$6:$AC$400,$S42)="","",INDEX('Master Tracker'!$AC$6:$AC$400,$S42)))</f>
        <v>External req.</v>
      </c>
      <c r="S42">
        <f>IFERROR(MATCH("Phase 5|"&amp;A42,'Master Tracker'!$Z$6:$Z$400,0),"")</f>
        <v>72</v>
      </c>
    </row>
    <row r="43" spans="1:19" ht="48" customHeight="1" x14ac:dyDescent="0.3">
      <c r="A43" s="7">
        <v>4</v>
      </c>
      <c r="B43" s="51" t="str">
        <f>IF($S43="","",IF(INDEX('Master Tracker'!$A$6:$A$400,$S43)="","",INDEX('Master Tracker'!$A$6:$A$400,$S43)))</f>
        <v>P5-04</v>
      </c>
      <c r="C43" s="52" t="str">
        <f>IF($S43="","",IF(INDEX('Master Tracker'!$C$6:$C$400,$S43)="","",INDEX('Master Tracker'!$C$6:$C$400,$S43)))</f>
        <v>Authentication</v>
      </c>
      <c r="D43" s="52" t="str">
        <f>IF($S43="","",IF(INDEX('Master Tracker'!$D$6:$D$400,$S43)="","",INDEX('Master Tracker'!$D$6:$D$400,$S43)))</f>
        <v>Login, registration &amp; password reset</v>
      </c>
      <c r="E43" s="7" t="str">
        <f>IF($S43="","",IF(INDEX('Master Tracker'!$F$6:$F$400,$S43)="","",INDEX('Master Tracker'!$F$6:$F$400,$S43)))</f>
        <v>P0</v>
      </c>
      <c r="F43" s="7" t="str">
        <f>IF($S43="","",IF(INDEX('Master Tracker'!$G$6:$G$400,$S43)="","",INDEX('Master Tracker'!$G$6:$G$400,$S43)))</f>
        <v>Not Started</v>
      </c>
      <c r="G43" s="19">
        <f>IF($S43="","",IF(INDEX('Master Tracker'!$H$6:$H$400,$S43)="","",INDEX('Master Tracker'!$H$6:$H$400,$S43)))</f>
        <v>46318</v>
      </c>
      <c r="H43" s="19">
        <f>IF($S43="","",IF(INDEX('Master Tracker'!$I$6:$I$400,$S43)="","",INDEX('Master Tracker'!$I$6:$I$400,$S43)))</f>
        <v>46318</v>
      </c>
      <c r="I43" s="53">
        <f>IF($S43="","",IF(INDEX('Master Tracker'!$U$6:$U$400,$S43)="","",INDEX('Master Tracker'!$U$6:$U$400,$S43)))</f>
        <v>0</v>
      </c>
      <c r="J43" s="52" t="str">
        <f>IF($S43="","",IF(INDEX('Master Tracker'!$K$6:$K$400,$S43)="","",INDEX('Master Tracker'!$K$6:$K$400,$S43)))</f>
        <v>P1-17</v>
      </c>
      <c r="K43" s="52" t="str">
        <f>IF($S43="","",IF(INDEX('Master Tracker'!$Y$6:$Y$400,$S43)="","",INDEX('Master Tracker'!$Y$6:$Y$400,$S43)))</f>
        <v>⏳ 1 open</v>
      </c>
      <c r="L43" s="52" t="str">
        <f>IF($S43="","",IF(INDEX('Master Tracker'!$M$6:$M$400,$S43)="","",INDEX('Master Tracker'!$M$6:$M$400,$S43)))</f>
        <v>page-templates/page-login.php, page-register.php, page-reset.php, inc/auth/*.php</v>
      </c>
      <c r="M43" s="52" t="str">
        <f>IF($S43="","",IF(INDEX('Master Tracker'!$O$6:$O$400,$S43)="","",INDEX('Master Tracker'!$O$6:$O$400,$S43)))</f>
        <v>Complete account lifecycle works with clear Arabic messages</v>
      </c>
      <c r="N43" s="52" t="str">
        <f>IF($S43="","",IF(INDEX('Master Tracker'!$N$6:$N$400,$S43)="","",INDEX('Master Tracker'!$N$6:$N$400,$S43)))</f>
        <v>Register, verify, log in, reset password, log out</v>
      </c>
      <c r="O43" s="7" t="str">
        <f>IF($S43="","",IF(INDEX('Master Tracker'!$T$6:$T$400,$S43)="","",INDEX('Master Tracker'!$T$6:$T$400,$S43)))</f>
        <v>Not Tested</v>
      </c>
      <c r="P43" s="7" t="str">
        <f ca="1">IF($S43="","",IF(INDEX('Master Tracker'!$AC$6:$AC$400,$S43)="","",INDEX('Master Tracker'!$AC$6:$AC$400,$S43)))</f>
        <v>On track</v>
      </c>
      <c r="S43">
        <f>IFERROR(MATCH("Phase 5|"&amp;A43,'Master Tracker'!$Z$6:$Z$400,0),"")</f>
        <v>73</v>
      </c>
    </row>
    <row r="44" spans="1:19" ht="48" customHeight="1" x14ac:dyDescent="0.3">
      <c r="A44" s="7">
        <v>5</v>
      </c>
      <c r="B44" s="51" t="str">
        <f>IF($S44="","",IF(INDEX('Master Tracker'!$A$6:$A$400,$S44)="","",INDEX('Master Tracker'!$A$6:$A$400,$S44)))</f>
        <v>P5-05</v>
      </c>
      <c r="C44" s="52" t="str">
        <f>IF($S44="","",IF(INDEX('Master Tracker'!$C$6:$C$400,$S44)="","",INDEX('Master Tracker'!$C$6:$C$400,$S44)))</f>
        <v>Authentication</v>
      </c>
      <c r="D44" s="52" t="str">
        <f>IF($S44="","",IF(INDEX('Master Tracker'!$D$6:$D$400,$S44)="","",INDEX('Master Tracker'!$D$6:$D$400,$S44)))</f>
        <v>Google sign-in</v>
      </c>
      <c r="E44" s="7" t="str">
        <f>IF($S44="","",IF(INDEX('Master Tracker'!$F$6:$F$400,$S44)="","",INDEX('Master Tracker'!$F$6:$F$400,$S44)))</f>
        <v>P1</v>
      </c>
      <c r="F44" s="7" t="str">
        <f>IF($S44="","",IF(INDEX('Master Tracker'!$G$6:$G$400,$S44)="","",INDEX('Master Tracker'!$G$6:$G$400,$S44)))</f>
        <v>Not Started</v>
      </c>
      <c r="G44" s="19">
        <f>IF($S44="","",IF(INDEX('Master Tracker'!$H$6:$H$400,$S44)="","",INDEX('Master Tracker'!$H$6:$H$400,$S44)))</f>
        <v>46318</v>
      </c>
      <c r="H44" s="19">
        <f>IF($S44="","",IF(INDEX('Master Tracker'!$I$6:$I$400,$S44)="","",INDEX('Master Tracker'!$I$6:$I$400,$S44)))</f>
        <v>46318</v>
      </c>
      <c r="I44" s="53">
        <f>IF($S44="","",IF(INDEX('Master Tracker'!$U$6:$U$400,$S44)="","",INDEX('Master Tracker'!$U$6:$U$400,$S44)))</f>
        <v>0</v>
      </c>
      <c r="J44" s="52" t="str">
        <f>IF($S44="","",IF(INDEX('Master Tracker'!$K$6:$K$400,$S44)="","",INDEX('Master Tracker'!$K$6:$K$400,$S44)))</f>
        <v>P5-01, P5-04</v>
      </c>
      <c r="K44" s="52" t="str">
        <f>IF($S44="","",IF(INDEX('Master Tracker'!$Y$6:$Y$400,$S44)="","",INDEX('Master Tracker'!$Y$6:$Y$400,$S44)))</f>
        <v>⏳ 2 open</v>
      </c>
      <c r="L44" s="52" t="str">
        <f>IF($S44="","",IF(INDEX('Master Tracker'!$M$6:$M$400,$S44)="","",INDEX('Master Tracker'!$M$6:$M$400,$S44)))</f>
        <v>inc/auth/social-google.php</v>
      </c>
      <c r="M44" s="52" t="str">
        <f>IF($S44="","",IF(INDEX('Master Tracker'!$O$6:$O$400,$S44)="","",INDEX('Master Tracker'!$O$6:$O$400,$S44)))</f>
        <v>Google sign-in works on staging and is ready for production URIs</v>
      </c>
      <c r="N44" s="52" t="str">
        <f>IF($S44="","",IF(INDEX('Master Tracker'!$N$6:$N$400,$S44)="","",INDEX('Master Tracker'!$N$6:$N$400,$S44)))</f>
        <v>New and existing user sign-in; cancel flow</v>
      </c>
      <c r="O44" s="7" t="str">
        <f>IF($S44="","",IF(INDEX('Master Tracker'!$T$6:$T$400,$S44)="","",INDEX('Master Tracker'!$T$6:$T$400,$S44)))</f>
        <v>Not Tested</v>
      </c>
      <c r="P44" s="7" t="str">
        <f ca="1">IF($S44="","",IF(INDEX('Master Tracker'!$AC$6:$AC$400,$S44)="","",INDEX('Master Tracker'!$AC$6:$AC$400,$S44)))</f>
        <v>External req.</v>
      </c>
      <c r="S44">
        <f>IFERROR(MATCH("Phase 5|"&amp;A44,'Master Tracker'!$Z$6:$Z$400,0),"")</f>
        <v>74</v>
      </c>
    </row>
    <row r="45" spans="1:19" ht="48" customHeight="1" x14ac:dyDescent="0.3">
      <c r="A45" s="7">
        <v>6</v>
      </c>
      <c r="B45" s="51" t="str">
        <f>IF($S45="","",IF(INDEX('Master Tracker'!$A$6:$A$400,$S45)="","",INDEX('Master Tracker'!$A$6:$A$400,$S45)))</f>
        <v>P5-06</v>
      </c>
      <c r="C45" s="52" t="str">
        <f>IF($S45="","",IF(INDEX('Master Tracker'!$C$6:$C$400,$S45)="","",INDEX('Master Tracker'!$C$6:$C$400,$S45)))</f>
        <v>Authentication</v>
      </c>
      <c r="D45" s="52" t="str">
        <f>IF($S45="","",IF(INDEX('Master Tracker'!$D$6:$D$400,$S45)="","",INDEX('Master Tracker'!$D$6:$D$400,$S45)))</f>
        <v>Sign in with Apple</v>
      </c>
      <c r="E45" s="7" t="str">
        <f>IF($S45="","",IF(INDEX('Master Tracker'!$F$6:$F$400,$S45)="","",INDEX('Master Tracker'!$F$6:$F$400,$S45)))</f>
        <v>P2</v>
      </c>
      <c r="F45" s="7" t="str">
        <f>IF($S45="","",IF(INDEX('Master Tracker'!$G$6:$G$400,$S45)="","",INDEX('Master Tracker'!$G$6:$G$400,$S45)))</f>
        <v>Not Started</v>
      </c>
      <c r="G45" s="19">
        <f>IF($S45="","",IF(INDEX('Master Tracker'!$H$6:$H$400,$S45)="","",INDEX('Master Tracker'!$H$6:$H$400,$S45)))</f>
        <v>46318</v>
      </c>
      <c r="H45" s="19">
        <f>IF($S45="","",IF(INDEX('Master Tracker'!$I$6:$I$400,$S45)="","",INDEX('Master Tracker'!$I$6:$I$400,$S45)))</f>
        <v>46318</v>
      </c>
      <c r="I45" s="53">
        <f>IF($S45="","",IF(INDEX('Master Tracker'!$U$6:$U$400,$S45)="","",INDEX('Master Tracker'!$U$6:$U$400,$S45)))</f>
        <v>0</v>
      </c>
      <c r="J45" s="52" t="str">
        <f>IF($S45="","",IF(INDEX('Master Tracker'!$K$6:$K$400,$S45)="","",INDEX('Master Tracker'!$K$6:$K$400,$S45)))</f>
        <v>P5-02, P5-04</v>
      </c>
      <c r="K45" s="52" t="str">
        <f>IF($S45="","",IF(INDEX('Master Tracker'!$Y$6:$Y$400,$S45)="","",INDEX('Master Tracker'!$Y$6:$Y$400,$S45)))</f>
        <v>⏳ 2 open</v>
      </c>
      <c r="L45" s="52" t="str">
        <f>IF($S45="","",IF(INDEX('Master Tracker'!$M$6:$M$400,$S45)="","",INDEX('Master Tracker'!$M$6:$M$400,$S45)))</f>
        <v>inc/auth/social-apple.php</v>
      </c>
      <c r="M45" s="52" t="str">
        <f>IF($S45="","",IF(INDEX('Master Tracker'!$O$6:$O$400,$S45)="","",INDEX('Master Tracker'!$O$6:$O$400,$S45)))</f>
        <v>Apple sign-in works including private relay emails</v>
      </c>
      <c r="N45" s="52" t="str">
        <f>IF($S45="","",IF(INDEX('Master Tracker'!$N$6:$N$400,$S45)="","",INDEX('Master Tracker'!$N$6:$N$400,$S45)))</f>
        <v>Sign in on Safari iOS &amp; desktop; hide-my-email case</v>
      </c>
      <c r="O45" s="7" t="str">
        <f>IF($S45="","",IF(INDEX('Master Tracker'!$T$6:$T$400,$S45)="","",INDEX('Master Tracker'!$T$6:$T$400,$S45)))</f>
        <v>Not Tested</v>
      </c>
      <c r="P45" s="7" t="str">
        <f ca="1">IF($S45="","",IF(INDEX('Master Tracker'!$AC$6:$AC$400,$S45)="","",INDEX('Master Tracker'!$AC$6:$AC$400,$S45)))</f>
        <v>External req.</v>
      </c>
      <c r="S45">
        <f>IFERROR(MATCH("Phase 5|"&amp;A45,'Master Tracker'!$Z$6:$Z$400,0),"")</f>
        <v>75</v>
      </c>
    </row>
    <row r="46" spans="1:19" ht="48" customHeight="1" x14ac:dyDescent="0.3">
      <c r="A46" s="7">
        <v>7</v>
      </c>
      <c r="B46" s="51" t="str">
        <f>IF($S46="","",IF(INDEX('Master Tracker'!$A$6:$A$400,$S46)="","",INDEX('Master Tracker'!$A$6:$A$400,$S46)))</f>
        <v>P5-07</v>
      </c>
      <c r="C46" s="52" t="str">
        <f>IF($S46="","",IF(INDEX('Master Tracker'!$C$6:$C$400,$S46)="","",INDEX('Master Tracker'!$C$6:$C$400,$S46)))</f>
        <v>Subscriptions</v>
      </c>
      <c r="D46" s="52" t="str">
        <f>IF($S46="","",IF(INDEX('Master Tracker'!$D$6:$D$400,$S46)="","",INDEX('Master Tracker'!$D$6:$D$400,$S46)))</f>
        <v>Subscription tiers model</v>
      </c>
      <c r="E46" s="7" t="str">
        <f>IF($S46="","",IF(INDEX('Master Tracker'!$F$6:$F$400,$S46)="","",INDEX('Master Tracker'!$F$6:$F$400,$S46)))</f>
        <v>P0</v>
      </c>
      <c r="F46" s="7" t="str">
        <f>IF($S46="","",IF(INDEX('Master Tracker'!$G$6:$G$400,$S46)="","",INDEX('Master Tracker'!$G$6:$G$400,$S46)))</f>
        <v>Not Started</v>
      </c>
      <c r="G46" s="19">
        <f>IF($S46="","",IF(INDEX('Master Tracker'!$H$6:$H$400,$S46)="","",INDEX('Master Tracker'!$H$6:$H$400,$S46)))</f>
        <v>46318</v>
      </c>
      <c r="H46" s="19">
        <f>IF($S46="","",IF(INDEX('Master Tracker'!$I$6:$I$400,$S46)="","",INDEX('Master Tracker'!$I$6:$I$400,$S46)))</f>
        <v>46318</v>
      </c>
      <c r="I46" s="53">
        <f>IF($S46="","",IF(INDEX('Master Tracker'!$U$6:$U$400,$S46)="","",INDEX('Master Tracker'!$U$6:$U$400,$S46)))</f>
        <v>0</v>
      </c>
      <c r="J46" s="52" t="str">
        <f>IF($S46="","",IF(INDEX('Master Tracker'!$K$6:$K$400,$S46)="","",INDEX('Master Tracker'!$K$6:$K$400,$S46)))</f>
        <v>P5-04</v>
      </c>
      <c r="K46" s="52" t="str">
        <f>IF($S46="","",IF(INDEX('Master Tracker'!$Y$6:$Y$400,$S46)="","",INDEX('Master Tracker'!$Y$6:$Y$400,$S46)))</f>
        <v>⏳ 1 open</v>
      </c>
      <c r="L46" s="52" t="str">
        <f>IF($S46="","",IF(INDEX('Master Tracker'!$M$6:$M$400,$S46)="","",INDEX('Master Tracker'!$M$6:$M$400,$S46)))</f>
        <v>inc/subscriptions/tiers.php, page-templates/page-subscribe.php</v>
      </c>
      <c r="M46" s="52" t="str">
        <f>IF($S46="","",IF(INDEX('Master Tracker'!$O$6:$O$400,$S46)="","",INDEX('Master Tracker'!$O$6:$O$400,$S46)))</f>
        <v>Tiers control access across issues and content</v>
      </c>
      <c r="N46" s="52" t="str">
        <f>IF($S46="","",IF(INDEX('Master Tracker'!$N$6:$N$400,$S46)="","",INDEX('Master Tracker'!$N$6:$N$400,$S46)))</f>
        <v>Assign each tier manually; check entitlements</v>
      </c>
      <c r="O46" s="7" t="str">
        <f>IF($S46="","",IF(INDEX('Master Tracker'!$T$6:$T$400,$S46)="","",INDEX('Master Tracker'!$T$6:$T$400,$S46)))</f>
        <v>Not Tested</v>
      </c>
      <c r="P46" s="7" t="str">
        <f ca="1">IF($S46="","",IF(INDEX('Master Tracker'!$AC$6:$AC$400,$S46)="","",INDEX('Master Tracker'!$AC$6:$AC$400,$S46)))</f>
        <v>On track</v>
      </c>
      <c r="S46">
        <f>IFERROR(MATCH("Phase 5|"&amp;A46,'Master Tracker'!$Z$6:$Z$400,0),"")</f>
        <v>76</v>
      </c>
    </row>
    <row r="47" spans="1:19" ht="48" customHeight="1" x14ac:dyDescent="0.3">
      <c r="A47" s="7">
        <v>8</v>
      </c>
      <c r="B47" s="51" t="str">
        <f>IF($S47="","",IF(INDEX('Master Tracker'!$A$6:$A$400,$S47)="","",INDEX('Master Tracker'!$A$6:$A$400,$S47)))</f>
        <v>P5-08</v>
      </c>
      <c r="C47" s="52" t="str">
        <f>IF($S47="","",IF(INDEX('Master Tracker'!$C$6:$C$400,$S47)="","",INDEX('Master Tracker'!$C$6:$C$400,$S47)))</f>
        <v>Payments</v>
      </c>
      <c r="D47" s="52" t="str">
        <f>IF($S47="","",IF(INDEX('Master Tracker'!$D$6:$D$400,$S47)="","",INDEX('Master Tracker'!$D$6:$D$400,$S47)))</f>
        <v>Payment gateway checkout integration</v>
      </c>
      <c r="E47" s="7" t="str">
        <f>IF($S47="","",IF(INDEX('Master Tracker'!$F$6:$F$400,$S47)="","",INDEX('Master Tracker'!$F$6:$F$400,$S47)))</f>
        <v>P0</v>
      </c>
      <c r="F47" s="7" t="str">
        <f>IF($S47="","",IF(INDEX('Master Tracker'!$G$6:$G$400,$S47)="","",INDEX('Master Tracker'!$G$6:$G$400,$S47)))</f>
        <v>Not Started</v>
      </c>
      <c r="G47" s="19">
        <f>IF($S47="","",IF(INDEX('Master Tracker'!$H$6:$H$400,$S47)="","",INDEX('Master Tracker'!$H$6:$H$400,$S47)))</f>
        <v>46318</v>
      </c>
      <c r="H47" s="19">
        <f>IF($S47="","",IF(INDEX('Master Tracker'!$I$6:$I$400,$S47)="","",INDEX('Master Tracker'!$I$6:$I$400,$S47)))</f>
        <v>46319</v>
      </c>
      <c r="I47" s="53">
        <f>IF($S47="","",IF(INDEX('Master Tracker'!$U$6:$U$400,$S47)="","",INDEX('Master Tracker'!$U$6:$U$400,$S47)))</f>
        <v>0</v>
      </c>
      <c r="J47" s="52" t="str">
        <f>IF($S47="","",IF(INDEX('Master Tracker'!$K$6:$K$400,$S47)="","",INDEX('Master Tracker'!$K$6:$K$400,$S47)))</f>
        <v>P5-03, P5-07</v>
      </c>
      <c r="K47" s="52" t="str">
        <f>IF($S47="","",IF(INDEX('Master Tracker'!$Y$6:$Y$400,$S47)="","",INDEX('Master Tracker'!$Y$6:$Y$400,$S47)))</f>
        <v>⏳ 2 open</v>
      </c>
      <c r="L47" s="52" t="str">
        <f>IF($S47="","",IF(INDEX('Master Tracker'!$M$6:$M$400,$S47)="","",INDEX('Master Tracker'!$M$6:$M$400,$S47)))</f>
        <v>inc/payments/gateway.php</v>
      </c>
      <c r="M47" s="52" t="str">
        <f>IF($S47="","",IF(INDEX('Master Tracker'!$O$6:$O$400,$S47)="","",INDEX('Master Tracker'!$O$6:$O$400,$S47)))</f>
        <v>Paid checkout activates correct tier in sandbox</v>
      </c>
      <c r="N47" s="52" t="str">
        <f>IF($S47="","",IF(INDEX('Master Tracker'!$N$6:$N$400,$S47)="","",INDEX('Master Tracker'!$N$6:$N$400,$S47)))</f>
        <v>Sandbox: success, decline, cancel</v>
      </c>
      <c r="O47" s="7" t="str">
        <f>IF($S47="","",IF(INDEX('Master Tracker'!$T$6:$T$400,$S47)="","",INDEX('Master Tracker'!$T$6:$T$400,$S47)))</f>
        <v>Not Tested</v>
      </c>
      <c r="P47" s="7" t="str">
        <f ca="1">IF($S47="","",IF(INDEX('Master Tracker'!$AC$6:$AC$400,$S47)="","",INDEX('Master Tracker'!$AC$6:$AC$400,$S47)))</f>
        <v>External req.</v>
      </c>
      <c r="S47">
        <f>IFERROR(MATCH("Phase 5|"&amp;A47,'Master Tracker'!$Z$6:$Z$400,0),"")</f>
        <v>77</v>
      </c>
    </row>
    <row r="48" spans="1:19" ht="48" customHeight="1" x14ac:dyDescent="0.3">
      <c r="A48" s="7">
        <v>9</v>
      </c>
      <c r="B48" s="51" t="str">
        <f>IF($S48="","",IF(INDEX('Master Tracker'!$A$6:$A$400,$S48)="","",INDEX('Master Tracker'!$A$6:$A$400,$S48)))</f>
        <v>P5-09</v>
      </c>
      <c r="C48" s="52" t="str">
        <f>IF($S48="","",IF(INDEX('Master Tracker'!$C$6:$C$400,$S48)="","",INDEX('Master Tracker'!$C$6:$C$400,$S48)))</f>
        <v>Payments</v>
      </c>
      <c r="D48" s="52" t="str">
        <f>IF($S48="","",IF(INDEX('Master Tracker'!$D$6:$D$400,$S48)="","",INDEX('Master Tracker'!$D$6:$D$400,$S48)))</f>
        <v>Payment webhooks</v>
      </c>
      <c r="E48" s="7" t="str">
        <f>IF($S48="","",IF(INDEX('Master Tracker'!$F$6:$F$400,$S48)="","",INDEX('Master Tracker'!$F$6:$F$400,$S48)))</f>
        <v>P0</v>
      </c>
      <c r="F48" s="7" t="str">
        <f>IF($S48="","",IF(INDEX('Master Tracker'!$G$6:$G$400,$S48)="","",INDEX('Master Tracker'!$G$6:$G$400,$S48)))</f>
        <v>Not Started</v>
      </c>
      <c r="G48" s="19">
        <f>IF($S48="","",IF(INDEX('Master Tracker'!$H$6:$H$400,$S48)="","",INDEX('Master Tracker'!$H$6:$H$400,$S48)))</f>
        <v>46319</v>
      </c>
      <c r="H48" s="19">
        <f>IF($S48="","",IF(INDEX('Master Tracker'!$I$6:$I$400,$S48)="","",INDEX('Master Tracker'!$I$6:$I$400,$S48)))</f>
        <v>46319</v>
      </c>
      <c r="I48" s="53">
        <f>IF($S48="","",IF(INDEX('Master Tracker'!$U$6:$U$400,$S48)="","",INDEX('Master Tracker'!$U$6:$U$400,$S48)))</f>
        <v>0</v>
      </c>
      <c r="J48" s="52" t="str">
        <f>IF($S48="","",IF(INDEX('Master Tracker'!$K$6:$K$400,$S48)="","",INDEX('Master Tracker'!$K$6:$K$400,$S48)))</f>
        <v>P5-08</v>
      </c>
      <c r="K48" s="52" t="str">
        <f>IF($S48="","",IF(INDEX('Master Tracker'!$Y$6:$Y$400,$S48)="","",INDEX('Master Tracker'!$Y$6:$Y$400,$S48)))</f>
        <v>⏳ 1 open</v>
      </c>
      <c r="L48" s="52" t="str">
        <f>IF($S48="","",IF(INDEX('Master Tracker'!$M$6:$M$400,$S48)="","",INDEX('Master Tracker'!$M$6:$M$400,$S48)))</f>
        <v>inc/payments/webhook.php</v>
      </c>
      <c r="M48" s="52" t="str">
        <f>IF($S48="","",IF(INDEX('Master Tracker'!$O$6:$O$400,$S48)="","",INDEX('Master Tracker'!$O$6:$O$400,$S48)))</f>
        <v>Subscription state always matches gateway; duplicates ignored</v>
      </c>
      <c r="N48" s="52" t="str">
        <f>IF($S48="","",IF(INDEX('Master Tracker'!$N$6:$N$400,$S48)="","",INDEX('Master Tracker'!$N$6:$N$400,$S48)))</f>
        <v>Replay same event twice; tampered signature rejected</v>
      </c>
      <c r="O48" s="7" t="str">
        <f>IF($S48="","",IF(INDEX('Master Tracker'!$T$6:$T$400,$S48)="","",INDEX('Master Tracker'!$T$6:$T$400,$S48)))</f>
        <v>Not Tested</v>
      </c>
      <c r="P48" s="7" t="str">
        <f ca="1">IF($S48="","",IF(INDEX('Master Tracker'!$AC$6:$AC$400,$S48)="","",INDEX('Master Tracker'!$AC$6:$AC$400,$S48)))</f>
        <v>External req.</v>
      </c>
      <c r="S48">
        <f>IFERROR(MATCH("Phase 5|"&amp;A48,'Master Tracker'!$Z$6:$Z$400,0),"")</f>
        <v>78</v>
      </c>
    </row>
    <row r="49" spans="1:19" ht="48" customHeight="1" x14ac:dyDescent="0.3">
      <c r="A49" s="7">
        <v>10</v>
      </c>
      <c r="B49" s="51" t="str">
        <f>IF($S49="","",IF(INDEX('Master Tracker'!$A$6:$A$400,$S49)="","",INDEX('Master Tracker'!$A$6:$A$400,$S49)))</f>
        <v>P5-10</v>
      </c>
      <c r="C49" s="52" t="str">
        <f>IF($S49="","",IF(INDEX('Master Tracker'!$C$6:$C$400,$S49)="","",INDEX('Master Tracker'!$C$6:$C$400,$S49)))</f>
        <v>Subscriptions</v>
      </c>
      <c r="D49" s="52" t="str">
        <f>IF($S49="","",IF(INDEX('Master Tracker'!$D$6:$D$400,$S49)="","",INDEX('Master Tracker'!$D$6:$D$400,$S49)))</f>
        <v>Renewal, expiry &amp; notification emails</v>
      </c>
      <c r="E49" s="7" t="str">
        <f>IF($S49="","",IF(INDEX('Master Tracker'!$F$6:$F$400,$S49)="","",INDEX('Master Tracker'!$F$6:$F$400,$S49)))</f>
        <v>P1</v>
      </c>
      <c r="F49" s="7" t="str">
        <f>IF($S49="","",IF(INDEX('Master Tracker'!$G$6:$G$400,$S49)="","",INDEX('Master Tracker'!$G$6:$G$400,$S49)))</f>
        <v>Not Started</v>
      </c>
      <c r="G49" s="19">
        <f>IF($S49="","",IF(INDEX('Master Tracker'!$H$6:$H$400,$S49)="","",INDEX('Master Tracker'!$H$6:$H$400,$S49)))</f>
        <v>46319</v>
      </c>
      <c r="H49" s="19">
        <f>IF($S49="","",IF(INDEX('Master Tracker'!$I$6:$I$400,$S49)="","",INDEX('Master Tracker'!$I$6:$I$400,$S49)))</f>
        <v>46319</v>
      </c>
      <c r="I49" s="53">
        <f>IF($S49="","",IF(INDEX('Master Tracker'!$U$6:$U$400,$S49)="","",INDEX('Master Tracker'!$U$6:$U$400,$S49)))</f>
        <v>0</v>
      </c>
      <c r="J49" s="52" t="str">
        <f>IF($S49="","",IF(INDEX('Master Tracker'!$K$6:$K$400,$S49)="","",INDEX('Master Tracker'!$K$6:$K$400,$S49)))</f>
        <v>P5-09, P5-13</v>
      </c>
      <c r="K49" s="52" t="str">
        <f>IF($S49="","",IF(INDEX('Master Tracker'!$Y$6:$Y$400,$S49)="","",INDEX('Master Tracker'!$Y$6:$Y$400,$S49)))</f>
        <v>⏳ 2 open</v>
      </c>
      <c r="L49" s="52" t="str">
        <f>IF($S49="","",IF(INDEX('Master Tracker'!$M$6:$M$400,$S49)="","",INDEX('Master Tracker'!$M$6:$M$400,$S49)))</f>
        <v>inc/subscriptions/cron.php</v>
      </c>
      <c r="M49" s="52" t="str">
        <f>IF($S49="","",IF(INDEX('Master Tracker'!$O$6:$O$400,$S49)="","",INDEX('Master Tracker'!$O$6:$O$400,$S49)))</f>
        <v>Expired users lose access; reminders sent</v>
      </c>
      <c r="N49" s="52" t="str">
        <f>IF($S49="","",IF(INDEX('Master Tracker'!$N$6:$N$400,$S49)="","",INDEX('Master Tracker'!$N$6:$N$400,$S49)))</f>
        <v>Force-expire a test user; check emails</v>
      </c>
      <c r="O49" s="7" t="str">
        <f>IF($S49="","",IF(INDEX('Master Tracker'!$T$6:$T$400,$S49)="","",INDEX('Master Tracker'!$T$6:$T$400,$S49)))</f>
        <v>Not Tested</v>
      </c>
      <c r="P49" s="7" t="str">
        <f ca="1">IF($S49="","",IF(INDEX('Master Tracker'!$AC$6:$AC$400,$S49)="","",INDEX('Master Tracker'!$AC$6:$AC$400,$S49)))</f>
        <v>On track</v>
      </c>
      <c r="S49">
        <f>IFERROR(MATCH("Phase 5|"&amp;A49,'Master Tracker'!$Z$6:$Z$400,0),"")</f>
        <v>79</v>
      </c>
    </row>
    <row r="50" spans="1:19" ht="48" customHeight="1" x14ac:dyDescent="0.3">
      <c r="A50" s="7">
        <v>11</v>
      </c>
      <c r="B50" s="51" t="str">
        <f>IF($S50="","",IF(INDEX('Master Tracker'!$A$6:$A$400,$S50)="","",INDEX('Master Tracker'!$A$6:$A$400,$S50)))</f>
        <v>P5-11</v>
      </c>
      <c r="C50" s="52" t="str">
        <f>IF($S50="","",IF(INDEX('Master Tracker'!$C$6:$C$400,$S50)="","",INDEX('Master Tracker'!$C$6:$C$400,$S50)))</f>
        <v>Member Dashboard</v>
      </c>
      <c r="D50" s="52" t="str">
        <f>IF($S50="","",IF(INDEX('Master Tracker'!$D$6:$D$400,$S50)="","",INDEX('Master Tracker'!$D$6:$D$400,$S50)))</f>
        <v>Member dashboard</v>
      </c>
      <c r="E50" s="7" t="str">
        <f>IF($S50="","",IF(INDEX('Master Tracker'!$F$6:$F$400,$S50)="","",INDEX('Master Tracker'!$F$6:$F$400,$S50)))</f>
        <v>P0</v>
      </c>
      <c r="F50" s="7" t="str">
        <f>IF($S50="","",IF(INDEX('Master Tracker'!$G$6:$G$400,$S50)="","",INDEX('Master Tracker'!$G$6:$G$400,$S50)))</f>
        <v>Not Started</v>
      </c>
      <c r="G50" s="19">
        <f>IF($S50="","",IF(INDEX('Master Tracker'!$H$6:$H$400,$S50)="","",INDEX('Master Tracker'!$H$6:$H$400,$S50)))</f>
        <v>46319</v>
      </c>
      <c r="H50" s="19">
        <f>IF($S50="","",IF(INDEX('Master Tracker'!$I$6:$I$400,$S50)="","",INDEX('Master Tracker'!$I$6:$I$400,$S50)))</f>
        <v>46319</v>
      </c>
      <c r="I50" s="53">
        <f>IF($S50="","",IF(INDEX('Master Tracker'!$U$6:$U$400,$S50)="","",INDEX('Master Tracker'!$U$6:$U$400,$S50)))</f>
        <v>0</v>
      </c>
      <c r="J50" s="52" t="str">
        <f>IF($S50="","",IF(INDEX('Master Tracker'!$K$6:$K$400,$S50)="","",INDEX('Master Tracker'!$K$6:$K$400,$S50)))</f>
        <v>P5-04, P5-07</v>
      </c>
      <c r="K50" s="52" t="str">
        <f>IF($S50="","",IF(INDEX('Master Tracker'!$Y$6:$Y$400,$S50)="","",INDEX('Master Tracker'!$Y$6:$Y$400,$S50)))</f>
        <v>⏳ 2 open</v>
      </c>
      <c r="L50" s="52" t="str">
        <f>IF($S50="","",IF(INDEX('Master Tracker'!$M$6:$M$400,$S50)="","",INDEX('Master Tracker'!$M$6:$M$400,$S50)))</f>
        <v>page-templates/page-account.php</v>
      </c>
      <c r="M50" s="52" t="str">
        <f>IF($S50="","",IF(INDEX('Master Tracker'!$O$6:$O$400,$S50)="","",INDEX('Master Tracker'!$O$6:$O$400,$S50)))</f>
        <v>Members manage account and see entitlements</v>
      </c>
      <c r="N50" s="52" t="str">
        <f>IF($S50="","",IF(INDEX('Master Tracker'!$N$6:$N$400,$S50)="","",INDEX('Master Tracker'!$N$6:$N$400,$S50)))</f>
        <v>Check as free, member and subscriber</v>
      </c>
      <c r="O50" s="7" t="str">
        <f>IF($S50="","",IF(INDEX('Master Tracker'!$T$6:$T$400,$S50)="","",INDEX('Master Tracker'!$T$6:$T$400,$S50)))</f>
        <v>Not Tested</v>
      </c>
      <c r="P50" s="7" t="str">
        <f ca="1">IF($S50="","",IF(INDEX('Master Tracker'!$AC$6:$AC$400,$S50)="","",INDEX('Master Tracker'!$AC$6:$AC$400,$S50)))</f>
        <v>On track</v>
      </c>
      <c r="S50">
        <f>IFERROR(MATCH("Phase 5|"&amp;A50,'Master Tracker'!$Z$6:$Z$400,0),"")</f>
        <v>80</v>
      </c>
    </row>
    <row r="51" spans="1:19" ht="48" customHeight="1" x14ac:dyDescent="0.3">
      <c r="A51" s="7">
        <v>12</v>
      </c>
      <c r="B51" s="51" t="str">
        <f>IF($S51="","",IF(INDEX('Master Tracker'!$A$6:$A$400,$S51)="","",INDEX('Master Tracker'!$A$6:$A$400,$S51)))</f>
        <v>P5-12</v>
      </c>
      <c r="C51" s="52" t="str">
        <f>IF($S51="","",IF(INDEX('Master Tracker'!$C$6:$C$400,$S51)="","",INDEX('Master Tracker'!$C$6:$C$400,$S51)))</f>
        <v>Security</v>
      </c>
      <c r="D51" s="52" t="str">
        <f>IF($S51="","",IF(INDEX('Master Tracker'!$D$6:$D$400,$S51)="","",INDEX('Master Tracker'!$D$6:$D$400,$S51)))</f>
        <v>Security hardening &amp; rate limiting</v>
      </c>
      <c r="E51" s="7" t="str">
        <f>IF($S51="","",IF(INDEX('Master Tracker'!$F$6:$F$400,$S51)="","",INDEX('Master Tracker'!$F$6:$F$400,$S51)))</f>
        <v>P0</v>
      </c>
      <c r="F51" s="7" t="str">
        <f>IF($S51="","",IF(INDEX('Master Tracker'!$G$6:$G$400,$S51)="","",INDEX('Master Tracker'!$G$6:$G$400,$S51)))</f>
        <v>Not Started</v>
      </c>
      <c r="G51" s="19">
        <f>IF($S51="","",IF(INDEX('Master Tracker'!$H$6:$H$400,$S51)="","",INDEX('Master Tracker'!$H$6:$H$400,$S51)))</f>
        <v>46319</v>
      </c>
      <c r="H51" s="19">
        <f>IF($S51="","",IF(INDEX('Master Tracker'!$I$6:$I$400,$S51)="","",INDEX('Master Tracker'!$I$6:$I$400,$S51)))</f>
        <v>46319</v>
      </c>
      <c r="I51" s="53">
        <f>IF($S51="","",IF(INDEX('Master Tracker'!$U$6:$U$400,$S51)="","",INDEX('Master Tracker'!$U$6:$U$400,$S51)))</f>
        <v>0</v>
      </c>
      <c r="J51" s="52" t="str">
        <f>IF($S51="","",IF(INDEX('Master Tracker'!$K$6:$K$400,$S51)="","",INDEX('Master Tracker'!$K$6:$K$400,$S51)))</f>
        <v>P5-04</v>
      </c>
      <c r="K51" s="52" t="str">
        <f>IF($S51="","",IF(INDEX('Master Tracker'!$Y$6:$Y$400,$S51)="","",INDEX('Master Tracker'!$Y$6:$Y$400,$S51)))</f>
        <v>⏳ 1 open</v>
      </c>
      <c r="L51" s="52" t="str">
        <f>IF($S51="","",IF(INDEX('Master Tracker'!$M$6:$M$400,$S51)="","",INDEX('Master Tracker'!$M$6:$M$400,$S51)))</f>
        <v>inc/security.php</v>
      </c>
      <c r="M51" s="52" t="str">
        <f>IF($S51="","",IF(INDEX('Master Tracker'!$O$6:$O$400,$S51)="","",INDEX('Master Tracker'!$O$6:$O$400,$S51)))</f>
        <v>Abuse throttled; no user enumeration; forms CSRF-safe</v>
      </c>
      <c r="N51" s="52" t="str">
        <f>IF($S51="","",IF(INDEX('Master Tracker'!$N$6:$N$400,$S51)="","",INDEX('Master Tracker'!$N$6:$N$400,$S51)))</f>
        <v>Brute-force 10 attempts → lockout; CSRF test without nonce</v>
      </c>
      <c r="O51" s="7" t="str">
        <f>IF($S51="","",IF(INDEX('Master Tracker'!$T$6:$T$400,$S51)="","",INDEX('Master Tracker'!$T$6:$T$400,$S51)))</f>
        <v>Not Tested</v>
      </c>
      <c r="P51" s="7" t="str">
        <f ca="1">IF($S51="","",IF(INDEX('Master Tracker'!$AC$6:$AC$400,$S51)="","",INDEX('Master Tracker'!$AC$6:$AC$400,$S51)))</f>
        <v>On track</v>
      </c>
      <c r="S51">
        <f>IFERROR(MATCH("Phase 5|"&amp;A51,'Master Tracker'!$Z$6:$Z$400,0),"")</f>
        <v>81</v>
      </c>
    </row>
    <row r="52" spans="1:19" ht="48" customHeight="1" x14ac:dyDescent="0.3">
      <c r="A52" s="7">
        <v>13</v>
      </c>
      <c r="B52" s="51" t="str">
        <f>IF($S52="","",IF(INDEX('Master Tracker'!$A$6:$A$400,$S52)="","",INDEX('Master Tracker'!$A$6:$A$400,$S52)))</f>
        <v>P5-13</v>
      </c>
      <c r="C52" s="52" t="str">
        <f>IF($S52="","",IF(INDEX('Master Tracker'!$C$6:$C$400,$S52)="","",INDEX('Master Tracker'!$C$6:$C$400,$S52)))</f>
        <v>Email</v>
      </c>
      <c r="D52" s="52" t="str">
        <f>IF($S52="","",IF(INDEX('Master Tracker'!$D$6:$D$400,$S52)="","",INDEX('Master Tracker'!$D$6:$D$400,$S52)))</f>
        <v>SMTP / transactional email setup</v>
      </c>
      <c r="E52" s="7" t="str">
        <f>IF($S52="","",IF(INDEX('Master Tracker'!$F$6:$F$400,$S52)="","",INDEX('Master Tracker'!$F$6:$F$400,$S52)))</f>
        <v>P0</v>
      </c>
      <c r="F52" s="7" t="str">
        <f>IF($S52="","",IF(INDEX('Master Tracker'!$G$6:$G$400,$S52)="","",INDEX('Master Tracker'!$G$6:$G$400,$S52)))</f>
        <v>Not Started</v>
      </c>
      <c r="G52" s="19">
        <f>IF($S52="","",IF(INDEX('Master Tracker'!$H$6:$H$400,$S52)="","",INDEX('Master Tracker'!$H$6:$H$400,$S52)))</f>
        <v>46319</v>
      </c>
      <c r="H52" s="19">
        <f>IF($S52="","",IF(INDEX('Master Tracker'!$I$6:$I$400,$S52)="","",INDEX('Master Tracker'!$I$6:$I$400,$S52)))</f>
        <v>46320</v>
      </c>
      <c r="I52" s="53">
        <f>IF($S52="","",IF(INDEX('Master Tracker'!$U$6:$U$400,$S52)="","",INDEX('Master Tracker'!$U$6:$U$400,$S52)))</f>
        <v>0</v>
      </c>
      <c r="J52" s="52" t="str">
        <f>IF($S52="","",IF(INDEX('Master Tracker'!$K$6:$K$400,$S52)="","",INDEX('Master Tracker'!$K$6:$K$400,$S52)))</f>
        <v/>
      </c>
      <c r="K52" s="52" t="str">
        <f>IF($S52="","",IF(INDEX('Master Tracker'!$Y$6:$Y$400,$S52)="","",INDEX('Master Tracker'!$Y$6:$Y$400,$S52)))</f>
        <v/>
      </c>
      <c r="L52" s="52" t="str">
        <f>IF($S52="","",IF(INDEX('Master Tracker'!$M$6:$M$400,$S52)="","",INDEX('Master Tracker'!$M$6:$M$400,$S52)))</f>
        <v>wp-config.php or SMTP plugin settings</v>
      </c>
      <c r="M52" s="52" t="str">
        <f>IF($S52="","",IF(INDEX('Master Tracker'!$O$6:$O$400,$S52)="","",INDEX('Master Tracker'!$O$6:$O$400,$S52)))</f>
        <v>Transactional emails delivered to inbox</v>
      </c>
      <c r="N52" s="52" t="str">
        <f>IF($S52="","",IF(INDEX('Master Tracker'!$N$6:$N$400,$S52)="","",INDEX('Master Tracker'!$N$6:$N$400,$S52)))</f>
        <v>Send test emails to Gmail/Outlook; check spam</v>
      </c>
      <c r="O52" s="7" t="str">
        <f>IF($S52="","",IF(INDEX('Master Tracker'!$T$6:$T$400,$S52)="","",INDEX('Master Tracker'!$T$6:$T$400,$S52)))</f>
        <v>Not Tested</v>
      </c>
      <c r="P52" s="7" t="str">
        <f ca="1">IF($S52="","",IF(INDEX('Master Tracker'!$AC$6:$AC$400,$S52)="","",INDEX('Master Tracker'!$AC$6:$AC$400,$S52)))</f>
        <v>External req.</v>
      </c>
      <c r="S52">
        <f>IFERROR(MATCH("Phase 5|"&amp;A52,'Master Tracker'!$Z$6:$Z$400,0),"")</f>
        <v>82</v>
      </c>
    </row>
    <row r="53" spans="1:19" ht="48" customHeight="1" x14ac:dyDescent="0.3">
      <c r="A53" s="7">
        <v>14</v>
      </c>
      <c r="B53" s="51" t="str">
        <f>IF($S53="","",IF(INDEX('Master Tracker'!$A$6:$A$400,$S53)="","",INDEX('Master Tracker'!$A$6:$A$400,$S53)))</f>
        <v>P5-14</v>
      </c>
      <c r="C53" s="52" t="str">
        <f>IF($S53="","",IF(INDEX('Master Tracker'!$C$6:$C$400,$S53)="","",INDEX('Master Tracker'!$C$6:$C$400,$S53)))</f>
        <v>AdOps</v>
      </c>
      <c r="D53" s="52" t="str">
        <f>IF($S53="","",IF(INDEX('Master Tracker'!$D$6:$D$400,$S53)="","",INDEX('Master Tracker'!$D$6:$D$400,$S53)))</f>
        <v>Advertising page</v>
      </c>
      <c r="E53" s="7" t="str">
        <f>IF($S53="","",IF(INDEX('Master Tracker'!$F$6:$F$400,$S53)="","",INDEX('Master Tracker'!$F$6:$F$400,$S53)))</f>
        <v>P1</v>
      </c>
      <c r="F53" s="7" t="str">
        <f>IF($S53="","",IF(INDEX('Master Tracker'!$G$6:$G$400,$S53)="","",INDEX('Master Tracker'!$G$6:$G$400,$S53)))</f>
        <v>Not Started</v>
      </c>
      <c r="G53" s="19">
        <f>IF($S53="","",IF(INDEX('Master Tracker'!$H$6:$H$400,$S53)="","",INDEX('Master Tracker'!$H$6:$H$400,$S53)))</f>
        <v>46320</v>
      </c>
      <c r="H53" s="19">
        <f>IF($S53="","",IF(INDEX('Master Tracker'!$I$6:$I$400,$S53)="","",INDEX('Master Tracker'!$I$6:$I$400,$S53)))</f>
        <v>46320</v>
      </c>
      <c r="I53" s="53">
        <f>IF($S53="","",IF(INDEX('Master Tracker'!$U$6:$U$400,$S53)="","",INDEX('Master Tracker'!$U$6:$U$400,$S53)))</f>
        <v>0</v>
      </c>
      <c r="J53" s="52" t="str">
        <f>IF($S53="","",IF(INDEX('Master Tracker'!$K$6:$K$400,$S53)="","",INDEX('Master Tracker'!$K$6:$K$400,$S53)))</f>
        <v>P1-17</v>
      </c>
      <c r="K53" s="52" t="str">
        <f>IF($S53="","",IF(INDEX('Master Tracker'!$Y$6:$Y$400,$S53)="","",INDEX('Master Tracker'!$Y$6:$Y$400,$S53)))</f>
        <v>⏳ 1 open</v>
      </c>
      <c r="L53" s="52" t="str">
        <f>IF($S53="","",IF(INDEX('Master Tracker'!$M$6:$M$400,$S53)="","",INDEX('Master Tracker'!$M$6:$M$400,$S53)))</f>
        <v>page-templates/page-advertise.php</v>
      </c>
      <c r="M53" s="52" t="str">
        <f>IF($S53="","",IF(INDEX('Master Tracker'!$O$6:$O$400,$S53)="","",INDEX('Master Tracker'!$O$6:$O$400,$S53)))</f>
        <v>Advertising page live with editable content</v>
      </c>
      <c r="N53" s="52" t="str">
        <f>IF($S53="","",IF(INDEX('Master Tracker'!$N$6:$N$400,$S53)="","",INDEX('Master Tracker'!$N$6:$N$400,$S53)))</f>
        <v>Content review with client; responsive check</v>
      </c>
      <c r="O53" s="7" t="str">
        <f>IF($S53="","",IF(INDEX('Master Tracker'!$T$6:$T$400,$S53)="","",INDEX('Master Tracker'!$T$6:$T$400,$S53)))</f>
        <v>Not Tested</v>
      </c>
      <c r="P53" s="7" t="str">
        <f ca="1">IF($S53="","",IF(INDEX('Master Tracker'!$AC$6:$AC$400,$S53)="","",INDEX('Master Tracker'!$AC$6:$AC$400,$S53)))</f>
        <v>External req.</v>
      </c>
      <c r="S53">
        <f>IFERROR(MATCH("Phase 5|"&amp;A53,'Master Tracker'!$Z$6:$Z$400,0),"")</f>
        <v>83</v>
      </c>
    </row>
    <row r="54" spans="1:19" ht="48" customHeight="1" x14ac:dyDescent="0.3">
      <c r="A54" s="7">
        <v>15</v>
      </c>
      <c r="B54" s="51" t="str">
        <f>IF($S54="","",IF(INDEX('Master Tracker'!$A$6:$A$400,$S54)="","",INDEX('Master Tracker'!$A$6:$A$400,$S54)))</f>
        <v>P5-15</v>
      </c>
      <c r="C54" s="52" t="str">
        <f>IF($S54="","",IF(INDEX('Master Tracker'!$C$6:$C$400,$S54)="","",INDEX('Master Tracker'!$C$6:$C$400,$S54)))</f>
        <v>AdOps</v>
      </c>
      <c r="D54" s="52" t="str">
        <f>IF($S54="","",IF(INDEX('Master Tracker'!$D$6:$D$400,$S54)="","",INDEX('Master Tracker'!$D$6:$D$400,$S54)))</f>
        <v>Advertising rate calculator</v>
      </c>
      <c r="E54" s="7" t="str">
        <f>IF($S54="","",IF(INDEX('Master Tracker'!$F$6:$F$400,$S54)="","",INDEX('Master Tracker'!$F$6:$F$400,$S54)))</f>
        <v>P1</v>
      </c>
      <c r="F54" s="7" t="str">
        <f>IF($S54="","",IF(INDEX('Master Tracker'!$G$6:$G$400,$S54)="","",INDEX('Master Tracker'!$G$6:$G$400,$S54)))</f>
        <v>Not Started</v>
      </c>
      <c r="G54" s="19">
        <f>IF($S54="","",IF(INDEX('Master Tracker'!$H$6:$H$400,$S54)="","",INDEX('Master Tracker'!$H$6:$H$400,$S54)))</f>
        <v>46320</v>
      </c>
      <c r="H54" s="19">
        <f>IF($S54="","",IF(INDEX('Master Tracker'!$I$6:$I$400,$S54)="","",INDEX('Master Tracker'!$I$6:$I$400,$S54)))</f>
        <v>46320</v>
      </c>
      <c r="I54" s="53">
        <f>IF($S54="","",IF(INDEX('Master Tracker'!$U$6:$U$400,$S54)="","",INDEX('Master Tracker'!$U$6:$U$400,$S54)))</f>
        <v>0</v>
      </c>
      <c r="J54" s="52" t="str">
        <f>IF($S54="","",IF(INDEX('Master Tracker'!$K$6:$K$400,$S54)="","",INDEX('Master Tracker'!$K$6:$K$400,$S54)))</f>
        <v>P5-14</v>
      </c>
      <c r="K54" s="52" t="str">
        <f>IF($S54="","",IF(INDEX('Master Tracker'!$Y$6:$Y$400,$S54)="","",INDEX('Master Tracker'!$Y$6:$Y$400,$S54)))</f>
        <v>⏳ 1 open</v>
      </c>
      <c r="L54" s="52" t="str">
        <f>IF($S54="","",IF(INDEX('Master Tracker'!$M$6:$M$400,$S54)="","",INDEX('Master Tracker'!$M$6:$M$400,$S54)))</f>
        <v>assets/js/modules/rate-calculator.js, inc/adops-settings.php</v>
      </c>
      <c r="M54" s="52" t="str">
        <f>IF($S54="","",IF(INDEX('Master Tracker'!$O$6:$O$400,$S54)="","",INDEX('Master Tracker'!$O$6:$O$400,$S54)))</f>
        <v>Calculator accurate and admin-configurable</v>
      </c>
      <c r="N54" s="52" t="str">
        <f>IF($S54="","",IF(INDEX('Master Tracker'!$N$6:$N$400,$S54)="","",INDEX('Master Tracker'!$N$6:$N$400,$S54)))</f>
        <v>Test edge values; change a rate in admin</v>
      </c>
      <c r="O54" s="7" t="str">
        <f>IF($S54="","",IF(INDEX('Master Tracker'!$T$6:$T$400,$S54)="","",INDEX('Master Tracker'!$T$6:$T$400,$S54)))</f>
        <v>Not Tested</v>
      </c>
      <c r="P54" s="7" t="str">
        <f ca="1">IF($S54="","",IF(INDEX('Master Tracker'!$AC$6:$AC$400,$S54)="","",INDEX('Master Tracker'!$AC$6:$AC$400,$S54)))</f>
        <v>External req.</v>
      </c>
      <c r="S54">
        <f>IFERROR(MATCH("Phase 5|"&amp;A54,'Master Tracker'!$Z$6:$Z$400,0),"")</f>
        <v>84</v>
      </c>
    </row>
    <row r="55" spans="1:19" ht="48" customHeight="1" x14ac:dyDescent="0.3">
      <c r="A55" s="7">
        <v>16</v>
      </c>
      <c r="B55" s="51" t="str">
        <f>IF($S55="","",IF(INDEX('Master Tracker'!$A$6:$A$400,$S55)="","",INDEX('Master Tracker'!$A$6:$A$400,$S55)))</f>
        <v>P5-16</v>
      </c>
      <c r="C55" s="52" t="str">
        <f>IF($S55="","",IF(INDEX('Master Tracker'!$C$6:$C$400,$S55)="","",INDEX('Master Tracker'!$C$6:$C$400,$S55)))</f>
        <v>AdOps</v>
      </c>
      <c r="D55" s="52" t="str">
        <f>IF($S55="","",IF(INDEX('Master Tracker'!$D$6:$D$400,$S55)="","",INDEX('Master Tracker'!$D$6:$D$400,$S55)))</f>
        <v>Media kit download</v>
      </c>
      <c r="E55" s="7" t="str">
        <f>IF($S55="","",IF(INDEX('Master Tracker'!$F$6:$F$400,$S55)="","",INDEX('Master Tracker'!$F$6:$F$400,$S55)))</f>
        <v>P2</v>
      </c>
      <c r="F55" s="7" t="str">
        <f>IF($S55="","",IF(INDEX('Master Tracker'!$G$6:$G$400,$S55)="","",INDEX('Master Tracker'!$G$6:$G$400,$S55)))</f>
        <v>Not Started</v>
      </c>
      <c r="G55" s="19">
        <f>IF($S55="","",IF(INDEX('Master Tracker'!$H$6:$H$400,$S55)="","",INDEX('Master Tracker'!$H$6:$H$400,$S55)))</f>
        <v>46320</v>
      </c>
      <c r="H55" s="19">
        <f>IF($S55="","",IF(INDEX('Master Tracker'!$I$6:$I$400,$S55)="","",INDEX('Master Tracker'!$I$6:$I$400,$S55)))</f>
        <v>46320</v>
      </c>
      <c r="I55" s="53">
        <f>IF($S55="","",IF(INDEX('Master Tracker'!$U$6:$U$400,$S55)="","",INDEX('Master Tracker'!$U$6:$U$400,$S55)))</f>
        <v>0</v>
      </c>
      <c r="J55" s="52" t="str">
        <f>IF($S55="","",IF(INDEX('Master Tracker'!$K$6:$K$400,$S55)="","",INDEX('Master Tracker'!$K$6:$K$400,$S55)))</f>
        <v>P5-14, P5-17</v>
      </c>
      <c r="K55" s="52" t="str">
        <f>IF($S55="","",IF(INDEX('Master Tracker'!$Y$6:$Y$400,$S55)="","",INDEX('Master Tracker'!$Y$6:$Y$400,$S55)))</f>
        <v>⏳ 2 open</v>
      </c>
      <c r="L55" s="52" t="str">
        <f>IF($S55="","",IF(INDEX('Master Tracker'!$M$6:$M$400,$S55)="","",INDEX('Master Tracker'!$M$6:$M$400,$S55)))</f>
        <v>page-templates/page-advertise.php</v>
      </c>
      <c r="M55" s="52" t="str">
        <f>IF($S55="","",IF(INDEX('Master Tracker'!$O$6:$O$400,$S55)="","",INDEX('Master Tracker'!$O$6:$O$400,$S55)))</f>
        <v>Media kit downloadable and tracked</v>
      </c>
      <c r="N55" s="52" t="str">
        <f>IF($S55="","",IF(INDEX('Master Tracker'!$N$6:$N$400,$S55)="","",INDEX('Master Tracker'!$N$6:$N$400,$S55)))</f>
        <v>Download after form submit</v>
      </c>
      <c r="O55" s="7" t="str">
        <f>IF($S55="","",IF(INDEX('Master Tracker'!$T$6:$T$400,$S55)="","",INDEX('Master Tracker'!$T$6:$T$400,$S55)))</f>
        <v>Not Tested</v>
      </c>
      <c r="P55" s="7" t="str">
        <f ca="1">IF($S55="","",IF(INDEX('Master Tracker'!$AC$6:$AC$400,$S55)="","",INDEX('Master Tracker'!$AC$6:$AC$400,$S55)))</f>
        <v>External req.</v>
      </c>
      <c r="S55">
        <f>IFERROR(MATCH("Phase 5|"&amp;A55,'Master Tracker'!$Z$6:$Z$400,0),"")</f>
        <v>85</v>
      </c>
    </row>
    <row r="56" spans="1:19" ht="48" customHeight="1" x14ac:dyDescent="0.3">
      <c r="A56" s="7">
        <v>17</v>
      </c>
      <c r="B56" s="51" t="str">
        <f>IF($S56="","",IF(INDEX('Master Tracker'!$A$6:$A$400,$S56)="","",INDEX('Master Tracker'!$A$6:$A$400,$S56)))</f>
        <v>P5-17</v>
      </c>
      <c r="C56" s="52" t="str">
        <f>IF($S56="","",IF(INDEX('Master Tracker'!$C$6:$C$400,$S56)="","",INDEX('Master Tracker'!$C$6:$C$400,$S56)))</f>
        <v>Leads</v>
      </c>
      <c r="D56" s="52" t="str">
        <f>IF($S56="","",IF(INDEX('Master Tracker'!$D$6:$D$400,$S56)="","",INDEX('Master Tracker'!$D$6:$D$400,$S56)))</f>
        <v>Lead capture forms</v>
      </c>
      <c r="E56" s="7" t="str">
        <f>IF($S56="","",IF(INDEX('Master Tracker'!$F$6:$F$400,$S56)="","",INDEX('Master Tracker'!$F$6:$F$400,$S56)))</f>
        <v>P0</v>
      </c>
      <c r="F56" s="7" t="str">
        <f>IF($S56="","",IF(INDEX('Master Tracker'!$G$6:$G$400,$S56)="","",INDEX('Master Tracker'!$G$6:$G$400,$S56)))</f>
        <v>Not Started</v>
      </c>
      <c r="G56" s="19">
        <f>IF($S56="","",IF(INDEX('Master Tracker'!$H$6:$H$400,$S56)="","",INDEX('Master Tracker'!$H$6:$H$400,$S56)))</f>
        <v>46320</v>
      </c>
      <c r="H56" s="19">
        <f>IF($S56="","",IF(INDEX('Master Tracker'!$I$6:$I$400,$S56)="","",INDEX('Master Tracker'!$I$6:$I$400,$S56)))</f>
        <v>46320</v>
      </c>
      <c r="I56" s="53">
        <f>IF($S56="","",IF(INDEX('Master Tracker'!$U$6:$U$400,$S56)="","",INDEX('Master Tracker'!$U$6:$U$400,$S56)))</f>
        <v>0</v>
      </c>
      <c r="J56" s="52" t="str">
        <f>IF($S56="","",IF(INDEX('Master Tracker'!$K$6:$K$400,$S56)="","",INDEX('Master Tracker'!$K$6:$K$400,$S56)))</f>
        <v>P5-12, P5-13</v>
      </c>
      <c r="K56" s="52" t="str">
        <f>IF($S56="","",IF(INDEX('Master Tracker'!$Y$6:$Y$400,$S56)="","",INDEX('Master Tracker'!$Y$6:$Y$400,$S56)))</f>
        <v>⏳ 2 open</v>
      </c>
      <c r="L56" s="52" t="str">
        <f>IF($S56="","",IF(INDEX('Master Tracker'!$M$6:$M$400,$S56)="","",INDEX('Master Tracker'!$M$6:$M$400,$S56)))</f>
        <v>inc/leads.php</v>
      </c>
      <c r="M56" s="52" t="str">
        <f>IF($S56="","",IF(INDEX('Master Tracker'!$O$6:$O$400,$S56)="","",INDEX('Master Tracker'!$O$6:$O$400,$S56)))</f>
        <v>Every lead stored and notified; spam blocked</v>
      </c>
      <c r="N56" s="52" t="str">
        <f>IF($S56="","",IF(INDEX('Master Tracker'!$N$6:$N$400,$S56)="","",INDEX('Master Tracker'!$N$6:$N$400,$S56)))</f>
        <v>Submit valid/invalid/spam; export CSV</v>
      </c>
      <c r="O56" s="7" t="str">
        <f>IF($S56="","",IF(INDEX('Master Tracker'!$T$6:$T$400,$S56)="","",INDEX('Master Tracker'!$T$6:$T$400,$S56)))</f>
        <v>Not Tested</v>
      </c>
      <c r="P56" s="7" t="str">
        <f ca="1">IF($S56="","",IF(INDEX('Master Tracker'!$AC$6:$AC$400,$S56)="","",INDEX('Master Tracker'!$AC$6:$AC$400,$S56)))</f>
        <v>On track</v>
      </c>
      <c r="S56">
        <f>IFERROR(MATCH("Phase 5|"&amp;A56,'Master Tracker'!$Z$6:$Z$400,0),"")</f>
        <v>86</v>
      </c>
    </row>
    <row r="57" spans="1:19" ht="48" customHeight="1" x14ac:dyDescent="0.3">
      <c r="A57" s="7">
        <v>18</v>
      </c>
      <c r="B57" s="51" t="str">
        <f>IF($S57="","",IF(INDEX('Master Tracker'!$A$6:$A$400,$S57)="","",INDEX('Master Tracker'!$A$6:$A$400,$S57)))</f>
        <v>P5-18</v>
      </c>
      <c r="C57" s="52" t="str">
        <f>IF($S57="","",IF(INDEX('Master Tracker'!$C$6:$C$400,$S57)="","",INDEX('Master Tracker'!$C$6:$C$400,$S57)))</f>
        <v>Pages</v>
      </c>
      <c r="D57" s="52" t="str">
        <f>IF($S57="","",IF(INDEX('Master Tracker'!$D$6:$D$400,$S57)="","",INDEX('Master Tracker'!$D$6:$D$400,$S57)))</f>
        <v>About page</v>
      </c>
      <c r="E57" s="7" t="str">
        <f>IF($S57="","",IF(INDEX('Master Tracker'!$F$6:$F$400,$S57)="","",INDEX('Master Tracker'!$F$6:$F$400,$S57)))</f>
        <v>P1</v>
      </c>
      <c r="F57" s="7" t="str">
        <f>IF($S57="","",IF(INDEX('Master Tracker'!$G$6:$G$400,$S57)="","",INDEX('Master Tracker'!$G$6:$G$400,$S57)))</f>
        <v>Not Started</v>
      </c>
      <c r="G57" s="19">
        <f>IF($S57="","",IF(INDEX('Master Tracker'!$H$6:$H$400,$S57)="","",INDEX('Master Tracker'!$H$6:$H$400,$S57)))</f>
        <v>46320</v>
      </c>
      <c r="H57" s="19">
        <f>IF($S57="","",IF(INDEX('Master Tracker'!$I$6:$I$400,$S57)="","",INDEX('Master Tracker'!$I$6:$I$400,$S57)))</f>
        <v>46320</v>
      </c>
      <c r="I57" s="53">
        <f>IF($S57="","",IF(INDEX('Master Tracker'!$U$6:$U$400,$S57)="","",INDEX('Master Tracker'!$U$6:$U$400,$S57)))</f>
        <v>0</v>
      </c>
      <c r="J57" s="52" t="str">
        <f>IF($S57="","",IF(INDEX('Master Tracker'!$K$6:$K$400,$S57)="","",INDEX('Master Tracker'!$K$6:$K$400,$S57)))</f>
        <v>P1-17</v>
      </c>
      <c r="K57" s="52" t="str">
        <f>IF($S57="","",IF(INDEX('Master Tracker'!$Y$6:$Y$400,$S57)="","",INDEX('Master Tracker'!$Y$6:$Y$400,$S57)))</f>
        <v>⏳ 1 open</v>
      </c>
      <c r="L57" s="52" t="str">
        <f>IF($S57="","",IF(INDEX('Master Tracker'!$M$6:$M$400,$S57)="","",INDEX('Master Tracker'!$M$6:$M$400,$S57)))</f>
        <v>page-templates/page-about.php</v>
      </c>
      <c r="M57" s="52" t="str">
        <f>IF($S57="","",IF(INDEX('Master Tracker'!$O$6:$O$400,$S57)="","",INDEX('Master Tracker'!$O$6:$O$400,$S57)))</f>
        <v>About page live and editable</v>
      </c>
      <c r="N57" s="52" t="str">
        <f>IF($S57="","",IF(INDEX('Master Tracker'!$N$6:$N$400,$S57)="","",INDEX('Master Tracker'!$N$6:$N$400,$S57)))</f>
        <v>Content review; responsive check</v>
      </c>
      <c r="O57" s="7" t="str">
        <f>IF($S57="","",IF(INDEX('Master Tracker'!$T$6:$T$400,$S57)="","",INDEX('Master Tracker'!$T$6:$T$400,$S57)))</f>
        <v>Not Tested</v>
      </c>
      <c r="P57" s="7" t="str">
        <f ca="1">IF($S57="","",IF(INDEX('Master Tracker'!$AC$6:$AC$400,$S57)="","",INDEX('Master Tracker'!$AC$6:$AC$400,$S57)))</f>
        <v>External req.</v>
      </c>
      <c r="S57">
        <f>IFERROR(MATCH("Phase 5|"&amp;A57,'Master Tracker'!$Z$6:$Z$400,0),"")</f>
        <v>87</v>
      </c>
    </row>
    <row r="58" spans="1:19" ht="48" customHeight="1" x14ac:dyDescent="0.3">
      <c r="A58" s="7">
        <v>19</v>
      </c>
      <c r="B58" s="51" t="str">
        <f>IF($S58="","",IF(INDEX('Master Tracker'!$A$6:$A$400,$S58)="","",INDEX('Master Tracker'!$A$6:$A$400,$S58)))</f>
        <v>P5-19</v>
      </c>
      <c r="C58" s="52" t="str">
        <f>IF($S58="","",IF(INDEX('Master Tracker'!$C$6:$C$400,$S58)="","",INDEX('Master Tracker'!$C$6:$C$400,$S58)))</f>
        <v>Pages</v>
      </c>
      <c r="D58" s="52" t="str">
        <f>IF($S58="","",IF(INDEX('Master Tracker'!$D$6:$D$400,$S58)="","",INDEX('Master Tracker'!$D$6:$D$400,$S58)))</f>
        <v>Contact page</v>
      </c>
      <c r="E58" s="7" t="str">
        <f>IF($S58="","",IF(INDEX('Master Tracker'!$F$6:$F$400,$S58)="","",INDEX('Master Tracker'!$F$6:$F$400,$S58)))</f>
        <v>P0</v>
      </c>
      <c r="F58" s="7" t="str">
        <f>IF($S58="","",IF(INDEX('Master Tracker'!$G$6:$G$400,$S58)="","",INDEX('Master Tracker'!$G$6:$G$400,$S58)))</f>
        <v>Not Started</v>
      </c>
      <c r="G58" s="19">
        <f>IF($S58="","",IF(INDEX('Master Tracker'!$H$6:$H$400,$S58)="","",INDEX('Master Tracker'!$H$6:$H$400,$S58)))</f>
        <v>46320</v>
      </c>
      <c r="H58" s="19">
        <f>IF($S58="","",IF(INDEX('Master Tracker'!$I$6:$I$400,$S58)="","",INDEX('Master Tracker'!$I$6:$I$400,$S58)))</f>
        <v>46320</v>
      </c>
      <c r="I58" s="53">
        <f>IF($S58="","",IF(INDEX('Master Tracker'!$U$6:$U$400,$S58)="","",INDEX('Master Tracker'!$U$6:$U$400,$S58)))</f>
        <v>0</v>
      </c>
      <c r="J58" s="52" t="str">
        <f>IF($S58="","",IF(INDEX('Master Tracker'!$K$6:$K$400,$S58)="","",INDEX('Master Tracker'!$K$6:$K$400,$S58)))</f>
        <v>P5-17</v>
      </c>
      <c r="K58" s="52" t="str">
        <f>IF($S58="","",IF(INDEX('Master Tracker'!$Y$6:$Y$400,$S58)="","",INDEX('Master Tracker'!$Y$6:$Y$400,$S58)))</f>
        <v>⏳ 1 open</v>
      </c>
      <c r="L58" s="52" t="str">
        <f>IF($S58="","",IF(INDEX('Master Tracker'!$M$6:$M$400,$S58)="","",INDEX('Master Tracker'!$M$6:$M$400,$S58)))</f>
        <v>page-templates/page-contact.php</v>
      </c>
      <c r="M58" s="52" t="str">
        <f>IF($S58="","",IF(INDEX('Master Tracker'!$O$6:$O$400,$S58)="","",INDEX('Master Tracker'!$O$6:$O$400,$S58)))</f>
        <v>Contact form works end-to-end</v>
      </c>
      <c r="N58" s="52" t="str">
        <f>IF($S58="","",IF(INDEX('Master Tracker'!$N$6:$N$400,$S58)="","",INDEX('Master Tracker'!$N$6:$N$400,$S58)))</f>
        <v>Submit form; check stored entry and email</v>
      </c>
      <c r="O58" s="7" t="str">
        <f>IF($S58="","",IF(INDEX('Master Tracker'!$T$6:$T$400,$S58)="","",INDEX('Master Tracker'!$T$6:$T$400,$S58)))</f>
        <v>Not Tested</v>
      </c>
      <c r="P58" s="7" t="str">
        <f ca="1">IF($S58="","",IF(INDEX('Master Tracker'!$AC$6:$AC$400,$S58)="","",INDEX('Master Tracker'!$AC$6:$AC$400,$S58)))</f>
        <v>On track</v>
      </c>
      <c r="S58">
        <f>IFERROR(MATCH("Phase 5|"&amp;A58,'Master Tracker'!$Z$6:$Z$400,0),"")</f>
        <v>88</v>
      </c>
    </row>
    <row r="59" spans="1:19" ht="48" customHeight="1" x14ac:dyDescent="0.3">
      <c r="A59" s="7">
        <v>20</v>
      </c>
      <c r="B59" s="51" t="str">
        <f>IF($S59="","",IF(INDEX('Master Tracker'!$A$6:$A$400,$S59)="","",INDEX('Master Tracker'!$A$6:$A$400,$S59)))</f>
        <v>P5-20</v>
      </c>
      <c r="C59" s="52" t="str">
        <f>IF($S59="","",IF(INDEX('Master Tracker'!$C$6:$C$400,$S59)="","",INDEX('Master Tracker'!$C$6:$C$400,$S59)))</f>
        <v>Roles</v>
      </c>
      <c r="D59" s="52" t="str">
        <f>IF($S59="","",IF(INDEX('Master Tracker'!$D$6:$D$400,$S59)="","",INDEX('Master Tracker'!$D$6:$D$400,$S59)))</f>
        <v>Editorial roles &amp; permissions</v>
      </c>
      <c r="E59" s="7" t="str">
        <f>IF($S59="","",IF(INDEX('Master Tracker'!$F$6:$F$400,$S59)="","",INDEX('Master Tracker'!$F$6:$F$400,$S59)))</f>
        <v>P0</v>
      </c>
      <c r="F59" s="7" t="str">
        <f>IF($S59="","",IF(INDEX('Master Tracker'!$G$6:$G$400,$S59)="","",INDEX('Master Tracker'!$G$6:$G$400,$S59)))</f>
        <v>Not Started</v>
      </c>
      <c r="G59" s="19">
        <f>IF($S59="","",IF(INDEX('Master Tracker'!$H$6:$H$400,$S59)="","",INDEX('Master Tracker'!$H$6:$H$400,$S59)))</f>
        <v>46320</v>
      </c>
      <c r="H59" s="19">
        <f>IF($S59="","",IF(INDEX('Master Tracker'!$I$6:$I$400,$S59)="","",INDEX('Master Tracker'!$I$6:$I$400,$S59)))</f>
        <v>46320</v>
      </c>
      <c r="I59" s="53">
        <f>IF($S59="","",IF(INDEX('Master Tracker'!$U$6:$U$400,$S59)="","",INDEX('Master Tracker'!$U$6:$U$400,$S59)))</f>
        <v>0</v>
      </c>
      <c r="J59" s="52" t="str">
        <f>IF($S59="","",IF(INDEX('Master Tracker'!$K$6:$K$400,$S59)="","",INDEX('Master Tracker'!$K$6:$K$400,$S59)))</f>
        <v>P2-02</v>
      </c>
      <c r="K59" s="52" t="str">
        <f>IF($S59="","",IF(INDEX('Master Tracker'!$Y$6:$Y$400,$S59)="","",INDEX('Master Tracker'!$Y$6:$Y$400,$S59)))</f>
        <v>⏳ 1 open</v>
      </c>
      <c r="L59" s="52" t="str">
        <f>IF($S59="","",IF(INDEX('Master Tracker'!$M$6:$M$400,$S59)="","",INDEX('Master Tracker'!$M$6:$M$400,$S59)))</f>
        <v>inc/roles.php</v>
      </c>
      <c r="M59" s="52" t="str">
        <f>IF($S59="","",IF(INDEX('Master Tracker'!$O$6:$O$400,$S59)="","",INDEX('Master Tracker'!$O$6:$O$400,$S59)))</f>
        <v>Each role can do exactly what it needs and nothing more</v>
      </c>
      <c r="N59" s="52" t="str">
        <f>IF($S59="","",IF(INDEX('Master Tracker'!$N$6:$N$400,$S59)="","",INDEX('Master Tracker'!$N$6:$N$400,$S59)))</f>
        <v>Log in as each role; attempt forbidden actions</v>
      </c>
      <c r="O59" s="7" t="str">
        <f>IF($S59="","",IF(INDEX('Master Tracker'!$T$6:$T$400,$S59)="","",INDEX('Master Tracker'!$T$6:$T$400,$S59)))</f>
        <v>Not Tested</v>
      </c>
      <c r="P59" s="7" t="str">
        <f ca="1">IF($S59="","",IF(INDEX('Master Tracker'!$AC$6:$AC$400,$S59)="","",INDEX('Master Tracker'!$AC$6:$AC$400,$S59)))</f>
        <v>On track</v>
      </c>
      <c r="S59">
        <f>IFERROR(MATCH("Phase 5|"&amp;A59,'Master Tracker'!$Z$6:$Z$400,0),"")</f>
        <v>89</v>
      </c>
    </row>
    <row r="60" spans="1:19" ht="15" customHeight="1" x14ac:dyDescent="0.3">
      <c r="A60" s="7">
        <v>21</v>
      </c>
      <c r="B60" s="51" t="str">
        <f>IF($S60="","",IF(INDEX('Master Tracker'!$A$6:$A$400,$S60)="","",INDEX('Master Tracker'!$A$6:$A$400,$S60)))</f>
        <v/>
      </c>
      <c r="C60" s="52" t="str">
        <f>IF($S60="","",IF(INDEX('Master Tracker'!$C$6:$C$400,$S60)="","",INDEX('Master Tracker'!$C$6:$C$400,$S60)))</f>
        <v/>
      </c>
      <c r="D60" s="52" t="str">
        <f>IF($S60="","",IF(INDEX('Master Tracker'!$D$6:$D$400,$S60)="","",INDEX('Master Tracker'!$D$6:$D$400,$S60)))</f>
        <v/>
      </c>
      <c r="E60" s="7" t="str">
        <f>IF($S60="","",IF(INDEX('Master Tracker'!$F$6:$F$400,$S60)="","",INDEX('Master Tracker'!$F$6:$F$400,$S60)))</f>
        <v/>
      </c>
      <c r="F60" s="7" t="str">
        <f>IF($S60="","",IF(INDEX('Master Tracker'!$G$6:$G$400,$S60)="","",INDEX('Master Tracker'!$G$6:$G$400,$S60)))</f>
        <v/>
      </c>
      <c r="G60" s="19" t="str">
        <f>IF($S60="","",IF(INDEX('Master Tracker'!$H$6:$H$400,$S60)="","",INDEX('Master Tracker'!$H$6:$H$400,$S60)))</f>
        <v/>
      </c>
      <c r="H60" s="19" t="str">
        <f>IF($S60="","",IF(INDEX('Master Tracker'!$I$6:$I$400,$S60)="","",INDEX('Master Tracker'!$I$6:$I$400,$S60)))</f>
        <v/>
      </c>
      <c r="I60" s="53" t="str">
        <f>IF($S60="","",IF(INDEX('Master Tracker'!$U$6:$U$400,$S60)="","",INDEX('Master Tracker'!$U$6:$U$400,$S60)))</f>
        <v/>
      </c>
      <c r="J60" s="52" t="str">
        <f>IF($S60="","",IF(INDEX('Master Tracker'!$K$6:$K$400,$S60)="","",INDEX('Master Tracker'!$K$6:$K$400,$S60)))</f>
        <v/>
      </c>
      <c r="K60" s="52" t="str">
        <f>IF($S60="","",IF(INDEX('Master Tracker'!$Y$6:$Y$400,$S60)="","",INDEX('Master Tracker'!$Y$6:$Y$400,$S60)))</f>
        <v/>
      </c>
      <c r="L60" s="52" t="str">
        <f>IF($S60="","",IF(INDEX('Master Tracker'!$M$6:$M$400,$S60)="","",INDEX('Master Tracker'!$M$6:$M$400,$S60)))</f>
        <v/>
      </c>
      <c r="M60" s="52" t="str">
        <f>IF($S60="","",IF(INDEX('Master Tracker'!$O$6:$O$400,$S60)="","",INDEX('Master Tracker'!$O$6:$O$400,$S60)))</f>
        <v/>
      </c>
      <c r="N60" s="52" t="str">
        <f>IF($S60="","",IF(INDEX('Master Tracker'!$N$6:$N$400,$S60)="","",INDEX('Master Tracker'!$N$6:$N$400,$S60)))</f>
        <v/>
      </c>
      <c r="O60" s="7" t="str">
        <f>IF($S60="","",IF(INDEX('Master Tracker'!$T$6:$T$400,$S60)="","",INDEX('Master Tracker'!$T$6:$T$400,$S60)))</f>
        <v/>
      </c>
      <c r="P60" s="7" t="str">
        <f>IF($S60="","",IF(INDEX('Master Tracker'!$AC$6:$AC$400,$S60)="","",INDEX('Master Tracker'!$AC$6:$AC$400,$S60)))</f>
        <v/>
      </c>
      <c r="S60" t="str">
        <f>IFERROR(MATCH("Phase 5|"&amp;A60,'Master Tracker'!$Z$6:$Z$400,0),"")</f>
        <v/>
      </c>
    </row>
    <row r="61" spans="1:19" ht="15" customHeight="1" x14ac:dyDescent="0.3">
      <c r="A61" s="7">
        <v>22</v>
      </c>
      <c r="B61" s="51" t="str">
        <f>IF($S61="","",IF(INDEX('Master Tracker'!$A$6:$A$400,$S61)="","",INDEX('Master Tracker'!$A$6:$A$400,$S61)))</f>
        <v/>
      </c>
      <c r="C61" s="52" t="str">
        <f>IF($S61="","",IF(INDEX('Master Tracker'!$C$6:$C$400,$S61)="","",INDEX('Master Tracker'!$C$6:$C$400,$S61)))</f>
        <v/>
      </c>
      <c r="D61" s="52" t="str">
        <f>IF($S61="","",IF(INDEX('Master Tracker'!$D$6:$D$400,$S61)="","",INDEX('Master Tracker'!$D$6:$D$400,$S61)))</f>
        <v/>
      </c>
      <c r="E61" s="7" t="str">
        <f>IF($S61="","",IF(INDEX('Master Tracker'!$F$6:$F$400,$S61)="","",INDEX('Master Tracker'!$F$6:$F$400,$S61)))</f>
        <v/>
      </c>
      <c r="F61" s="7" t="str">
        <f>IF($S61="","",IF(INDEX('Master Tracker'!$G$6:$G$400,$S61)="","",INDEX('Master Tracker'!$G$6:$G$400,$S61)))</f>
        <v/>
      </c>
      <c r="G61" s="19" t="str">
        <f>IF($S61="","",IF(INDEX('Master Tracker'!$H$6:$H$400,$S61)="","",INDEX('Master Tracker'!$H$6:$H$400,$S61)))</f>
        <v/>
      </c>
      <c r="H61" s="19" t="str">
        <f>IF($S61="","",IF(INDEX('Master Tracker'!$I$6:$I$400,$S61)="","",INDEX('Master Tracker'!$I$6:$I$400,$S61)))</f>
        <v/>
      </c>
      <c r="I61" s="53" t="str">
        <f>IF($S61="","",IF(INDEX('Master Tracker'!$U$6:$U$400,$S61)="","",INDEX('Master Tracker'!$U$6:$U$400,$S61)))</f>
        <v/>
      </c>
      <c r="J61" s="52" t="str">
        <f>IF($S61="","",IF(INDEX('Master Tracker'!$K$6:$K$400,$S61)="","",INDEX('Master Tracker'!$K$6:$K$400,$S61)))</f>
        <v/>
      </c>
      <c r="K61" s="52" t="str">
        <f>IF($S61="","",IF(INDEX('Master Tracker'!$Y$6:$Y$400,$S61)="","",INDEX('Master Tracker'!$Y$6:$Y$400,$S61)))</f>
        <v/>
      </c>
      <c r="L61" s="52" t="str">
        <f>IF($S61="","",IF(INDEX('Master Tracker'!$M$6:$M$400,$S61)="","",INDEX('Master Tracker'!$M$6:$M$400,$S61)))</f>
        <v/>
      </c>
      <c r="M61" s="52" t="str">
        <f>IF($S61="","",IF(INDEX('Master Tracker'!$O$6:$O$400,$S61)="","",INDEX('Master Tracker'!$O$6:$O$400,$S61)))</f>
        <v/>
      </c>
      <c r="N61" s="52" t="str">
        <f>IF($S61="","",IF(INDEX('Master Tracker'!$N$6:$N$400,$S61)="","",INDEX('Master Tracker'!$N$6:$N$400,$S61)))</f>
        <v/>
      </c>
      <c r="O61" s="7" t="str">
        <f>IF($S61="","",IF(INDEX('Master Tracker'!$T$6:$T$400,$S61)="","",INDEX('Master Tracker'!$T$6:$T$400,$S61)))</f>
        <v/>
      </c>
      <c r="P61" s="7" t="str">
        <f>IF($S61="","",IF(INDEX('Master Tracker'!$AC$6:$AC$400,$S61)="","",INDEX('Master Tracker'!$AC$6:$AC$400,$S61)))</f>
        <v/>
      </c>
      <c r="S61" t="str">
        <f>IFERROR(MATCH("Phase 5|"&amp;A61,'Master Tracker'!$Z$6:$Z$400,0),"")</f>
        <v/>
      </c>
    </row>
    <row r="62" spans="1:19" ht="15" customHeight="1" x14ac:dyDescent="0.3">
      <c r="A62" s="7">
        <v>23</v>
      </c>
      <c r="B62" s="51" t="str">
        <f>IF($S62="","",IF(INDEX('Master Tracker'!$A$6:$A$400,$S62)="","",INDEX('Master Tracker'!$A$6:$A$400,$S62)))</f>
        <v/>
      </c>
      <c r="C62" s="52" t="str">
        <f>IF($S62="","",IF(INDEX('Master Tracker'!$C$6:$C$400,$S62)="","",INDEX('Master Tracker'!$C$6:$C$400,$S62)))</f>
        <v/>
      </c>
      <c r="D62" s="52" t="str">
        <f>IF($S62="","",IF(INDEX('Master Tracker'!$D$6:$D$400,$S62)="","",INDEX('Master Tracker'!$D$6:$D$400,$S62)))</f>
        <v/>
      </c>
      <c r="E62" s="7" t="str">
        <f>IF($S62="","",IF(INDEX('Master Tracker'!$F$6:$F$400,$S62)="","",INDEX('Master Tracker'!$F$6:$F$400,$S62)))</f>
        <v/>
      </c>
      <c r="F62" s="7" t="str">
        <f>IF($S62="","",IF(INDEX('Master Tracker'!$G$6:$G$400,$S62)="","",INDEX('Master Tracker'!$G$6:$G$400,$S62)))</f>
        <v/>
      </c>
      <c r="G62" s="19" t="str">
        <f>IF($S62="","",IF(INDEX('Master Tracker'!$H$6:$H$400,$S62)="","",INDEX('Master Tracker'!$H$6:$H$400,$S62)))</f>
        <v/>
      </c>
      <c r="H62" s="19" t="str">
        <f>IF($S62="","",IF(INDEX('Master Tracker'!$I$6:$I$400,$S62)="","",INDEX('Master Tracker'!$I$6:$I$400,$S62)))</f>
        <v/>
      </c>
      <c r="I62" s="53" t="str">
        <f>IF($S62="","",IF(INDEX('Master Tracker'!$U$6:$U$400,$S62)="","",INDEX('Master Tracker'!$U$6:$U$400,$S62)))</f>
        <v/>
      </c>
      <c r="J62" s="52" t="str">
        <f>IF($S62="","",IF(INDEX('Master Tracker'!$K$6:$K$400,$S62)="","",INDEX('Master Tracker'!$K$6:$K$400,$S62)))</f>
        <v/>
      </c>
      <c r="K62" s="52" t="str">
        <f>IF($S62="","",IF(INDEX('Master Tracker'!$Y$6:$Y$400,$S62)="","",INDEX('Master Tracker'!$Y$6:$Y$400,$S62)))</f>
        <v/>
      </c>
      <c r="L62" s="52" t="str">
        <f>IF($S62="","",IF(INDEX('Master Tracker'!$M$6:$M$400,$S62)="","",INDEX('Master Tracker'!$M$6:$M$400,$S62)))</f>
        <v/>
      </c>
      <c r="M62" s="52" t="str">
        <f>IF($S62="","",IF(INDEX('Master Tracker'!$O$6:$O$400,$S62)="","",INDEX('Master Tracker'!$O$6:$O$400,$S62)))</f>
        <v/>
      </c>
      <c r="N62" s="52" t="str">
        <f>IF($S62="","",IF(INDEX('Master Tracker'!$N$6:$N$400,$S62)="","",INDEX('Master Tracker'!$N$6:$N$400,$S62)))</f>
        <v/>
      </c>
      <c r="O62" s="7" t="str">
        <f>IF($S62="","",IF(INDEX('Master Tracker'!$T$6:$T$400,$S62)="","",INDEX('Master Tracker'!$T$6:$T$400,$S62)))</f>
        <v/>
      </c>
      <c r="P62" s="7" t="str">
        <f>IF($S62="","",IF(INDEX('Master Tracker'!$AC$6:$AC$400,$S62)="","",INDEX('Master Tracker'!$AC$6:$AC$400,$S62)))</f>
        <v/>
      </c>
      <c r="S62" t="str">
        <f>IFERROR(MATCH("Phase 5|"&amp;A62,'Master Tracker'!$Z$6:$Z$400,0),"")</f>
        <v/>
      </c>
    </row>
    <row r="63" spans="1:19" ht="15" customHeight="1" x14ac:dyDescent="0.3">
      <c r="A63" s="7">
        <v>24</v>
      </c>
      <c r="B63" s="51" t="str">
        <f>IF($S63="","",IF(INDEX('Master Tracker'!$A$6:$A$400,$S63)="","",INDEX('Master Tracker'!$A$6:$A$400,$S63)))</f>
        <v/>
      </c>
      <c r="C63" s="52" t="str">
        <f>IF($S63="","",IF(INDEX('Master Tracker'!$C$6:$C$400,$S63)="","",INDEX('Master Tracker'!$C$6:$C$400,$S63)))</f>
        <v/>
      </c>
      <c r="D63" s="52" t="str">
        <f>IF($S63="","",IF(INDEX('Master Tracker'!$D$6:$D$400,$S63)="","",INDEX('Master Tracker'!$D$6:$D$400,$S63)))</f>
        <v/>
      </c>
      <c r="E63" s="7" t="str">
        <f>IF($S63="","",IF(INDEX('Master Tracker'!$F$6:$F$400,$S63)="","",INDEX('Master Tracker'!$F$6:$F$400,$S63)))</f>
        <v/>
      </c>
      <c r="F63" s="7" t="str">
        <f>IF($S63="","",IF(INDEX('Master Tracker'!$G$6:$G$400,$S63)="","",INDEX('Master Tracker'!$G$6:$G$400,$S63)))</f>
        <v/>
      </c>
      <c r="G63" s="19" t="str">
        <f>IF($S63="","",IF(INDEX('Master Tracker'!$H$6:$H$400,$S63)="","",INDEX('Master Tracker'!$H$6:$H$400,$S63)))</f>
        <v/>
      </c>
      <c r="H63" s="19" t="str">
        <f>IF($S63="","",IF(INDEX('Master Tracker'!$I$6:$I$400,$S63)="","",INDEX('Master Tracker'!$I$6:$I$400,$S63)))</f>
        <v/>
      </c>
      <c r="I63" s="53" t="str">
        <f>IF($S63="","",IF(INDEX('Master Tracker'!$U$6:$U$400,$S63)="","",INDEX('Master Tracker'!$U$6:$U$400,$S63)))</f>
        <v/>
      </c>
      <c r="J63" s="52" t="str">
        <f>IF($S63="","",IF(INDEX('Master Tracker'!$K$6:$K$400,$S63)="","",INDEX('Master Tracker'!$K$6:$K$400,$S63)))</f>
        <v/>
      </c>
      <c r="K63" s="52" t="str">
        <f>IF($S63="","",IF(INDEX('Master Tracker'!$Y$6:$Y$400,$S63)="","",INDEX('Master Tracker'!$Y$6:$Y$400,$S63)))</f>
        <v/>
      </c>
      <c r="L63" s="52" t="str">
        <f>IF($S63="","",IF(INDEX('Master Tracker'!$M$6:$M$400,$S63)="","",INDEX('Master Tracker'!$M$6:$M$400,$S63)))</f>
        <v/>
      </c>
      <c r="M63" s="52" t="str">
        <f>IF($S63="","",IF(INDEX('Master Tracker'!$O$6:$O$400,$S63)="","",INDEX('Master Tracker'!$O$6:$O$400,$S63)))</f>
        <v/>
      </c>
      <c r="N63" s="52" t="str">
        <f>IF($S63="","",IF(INDEX('Master Tracker'!$N$6:$N$400,$S63)="","",INDEX('Master Tracker'!$N$6:$N$400,$S63)))</f>
        <v/>
      </c>
      <c r="O63" s="7" t="str">
        <f>IF($S63="","",IF(INDEX('Master Tracker'!$T$6:$T$400,$S63)="","",INDEX('Master Tracker'!$T$6:$T$400,$S63)))</f>
        <v/>
      </c>
      <c r="P63" s="7" t="str">
        <f>IF($S63="","",IF(INDEX('Master Tracker'!$AC$6:$AC$400,$S63)="","",INDEX('Master Tracker'!$AC$6:$AC$400,$S63)))</f>
        <v/>
      </c>
      <c r="S63" t="str">
        <f>IFERROR(MATCH("Phase 5|"&amp;A63,'Master Tracker'!$Z$6:$Z$400,0),"")</f>
        <v/>
      </c>
    </row>
    <row r="64" spans="1:19" ht="15" customHeight="1" x14ac:dyDescent="0.3">
      <c r="A64" s="7">
        <v>25</v>
      </c>
      <c r="B64" s="51" t="str">
        <f>IF($S64="","",IF(INDEX('Master Tracker'!$A$6:$A$400,$S64)="","",INDEX('Master Tracker'!$A$6:$A$400,$S64)))</f>
        <v/>
      </c>
      <c r="C64" s="52" t="str">
        <f>IF($S64="","",IF(INDEX('Master Tracker'!$C$6:$C$400,$S64)="","",INDEX('Master Tracker'!$C$6:$C$400,$S64)))</f>
        <v/>
      </c>
      <c r="D64" s="52" t="str">
        <f>IF($S64="","",IF(INDEX('Master Tracker'!$D$6:$D$400,$S64)="","",INDEX('Master Tracker'!$D$6:$D$400,$S64)))</f>
        <v/>
      </c>
      <c r="E64" s="7" t="str">
        <f>IF($S64="","",IF(INDEX('Master Tracker'!$F$6:$F$400,$S64)="","",INDEX('Master Tracker'!$F$6:$F$400,$S64)))</f>
        <v/>
      </c>
      <c r="F64" s="7" t="str">
        <f>IF($S64="","",IF(INDEX('Master Tracker'!$G$6:$G$400,$S64)="","",INDEX('Master Tracker'!$G$6:$G$400,$S64)))</f>
        <v/>
      </c>
      <c r="G64" s="19" t="str">
        <f>IF($S64="","",IF(INDEX('Master Tracker'!$H$6:$H$400,$S64)="","",INDEX('Master Tracker'!$H$6:$H$400,$S64)))</f>
        <v/>
      </c>
      <c r="H64" s="19" t="str">
        <f>IF($S64="","",IF(INDEX('Master Tracker'!$I$6:$I$400,$S64)="","",INDEX('Master Tracker'!$I$6:$I$400,$S64)))</f>
        <v/>
      </c>
      <c r="I64" s="53" t="str">
        <f>IF($S64="","",IF(INDEX('Master Tracker'!$U$6:$U$400,$S64)="","",INDEX('Master Tracker'!$U$6:$U$400,$S64)))</f>
        <v/>
      </c>
      <c r="J64" s="52" t="str">
        <f>IF($S64="","",IF(INDEX('Master Tracker'!$K$6:$K$400,$S64)="","",INDEX('Master Tracker'!$K$6:$K$400,$S64)))</f>
        <v/>
      </c>
      <c r="K64" s="52" t="str">
        <f>IF($S64="","",IF(INDEX('Master Tracker'!$Y$6:$Y$400,$S64)="","",INDEX('Master Tracker'!$Y$6:$Y$400,$S64)))</f>
        <v/>
      </c>
      <c r="L64" s="52" t="str">
        <f>IF($S64="","",IF(INDEX('Master Tracker'!$M$6:$M$400,$S64)="","",INDEX('Master Tracker'!$M$6:$M$400,$S64)))</f>
        <v/>
      </c>
      <c r="M64" s="52" t="str">
        <f>IF($S64="","",IF(INDEX('Master Tracker'!$O$6:$O$400,$S64)="","",INDEX('Master Tracker'!$O$6:$O$400,$S64)))</f>
        <v/>
      </c>
      <c r="N64" s="52" t="str">
        <f>IF($S64="","",IF(INDEX('Master Tracker'!$N$6:$N$400,$S64)="","",INDEX('Master Tracker'!$N$6:$N$400,$S64)))</f>
        <v/>
      </c>
      <c r="O64" s="7" t="str">
        <f>IF($S64="","",IF(INDEX('Master Tracker'!$T$6:$T$400,$S64)="","",INDEX('Master Tracker'!$T$6:$T$400,$S64)))</f>
        <v/>
      </c>
      <c r="P64" s="7" t="str">
        <f>IF($S64="","",IF(INDEX('Master Tracker'!$AC$6:$AC$400,$S64)="","",INDEX('Master Tracker'!$AC$6:$AC$400,$S64)))</f>
        <v/>
      </c>
      <c r="S64" t="str">
        <f>IFERROR(MATCH("Phase 5|"&amp;A64,'Master Tracker'!$Z$6:$Z$400,0),"")</f>
        <v/>
      </c>
    </row>
    <row r="65" spans="1:19" ht="15" customHeight="1" x14ac:dyDescent="0.3">
      <c r="A65" s="7">
        <v>26</v>
      </c>
      <c r="B65" s="51" t="str">
        <f>IF($S65="","",IF(INDEX('Master Tracker'!$A$6:$A$400,$S65)="","",INDEX('Master Tracker'!$A$6:$A$400,$S65)))</f>
        <v/>
      </c>
      <c r="C65" s="52" t="str">
        <f>IF($S65="","",IF(INDEX('Master Tracker'!$C$6:$C$400,$S65)="","",INDEX('Master Tracker'!$C$6:$C$400,$S65)))</f>
        <v/>
      </c>
      <c r="D65" s="52" t="str">
        <f>IF($S65="","",IF(INDEX('Master Tracker'!$D$6:$D$400,$S65)="","",INDEX('Master Tracker'!$D$6:$D$400,$S65)))</f>
        <v/>
      </c>
      <c r="E65" s="7" t="str">
        <f>IF($S65="","",IF(INDEX('Master Tracker'!$F$6:$F$400,$S65)="","",INDEX('Master Tracker'!$F$6:$F$400,$S65)))</f>
        <v/>
      </c>
      <c r="F65" s="7" t="str">
        <f>IF($S65="","",IF(INDEX('Master Tracker'!$G$6:$G$400,$S65)="","",INDEX('Master Tracker'!$G$6:$G$400,$S65)))</f>
        <v/>
      </c>
      <c r="G65" s="19" t="str">
        <f>IF($S65="","",IF(INDEX('Master Tracker'!$H$6:$H$400,$S65)="","",INDEX('Master Tracker'!$H$6:$H$400,$S65)))</f>
        <v/>
      </c>
      <c r="H65" s="19" t="str">
        <f>IF($S65="","",IF(INDEX('Master Tracker'!$I$6:$I$400,$S65)="","",INDEX('Master Tracker'!$I$6:$I$400,$S65)))</f>
        <v/>
      </c>
      <c r="I65" s="53" t="str">
        <f>IF($S65="","",IF(INDEX('Master Tracker'!$U$6:$U$400,$S65)="","",INDEX('Master Tracker'!$U$6:$U$400,$S65)))</f>
        <v/>
      </c>
      <c r="J65" s="52" t="str">
        <f>IF($S65="","",IF(INDEX('Master Tracker'!$K$6:$K$400,$S65)="","",INDEX('Master Tracker'!$K$6:$K$400,$S65)))</f>
        <v/>
      </c>
      <c r="K65" s="52" t="str">
        <f>IF($S65="","",IF(INDEX('Master Tracker'!$Y$6:$Y$400,$S65)="","",INDEX('Master Tracker'!$Y$6:$Y$400,$S65)))</f>
        <v/>
      </c>
      <c r="L65" s="52" t="str">
        <f>IF($S65="","",IF(INDEX('Master Tracker'!$M$6:$M$400,$S65)="","",INDEX('Master Tracker'!$M$6:$M$400,$S65)))</f>
        <v/>
      </c>
      <c r="M65" s="52" t="str">
        <f>IF($S65="","",IF(INDEX('Master Tracker'!$O$6:$O$400,$S65)="","",INDEX('Master Tracker'!$O$6:$O$400,$S65)))</f>
        <v/>
      </c>
      <c r="N65" s="52" t="str">
        <f>IF($S65="","",IF(INDEX('Master Tracker'!$N$6:$N$400,$S65)="","",INDEX('Master Tracker'!$N$6:$N$400,$S65)))</f>
        <v/>
      </c>
      <c r="O65" s="7" t="str">
        <f>IF($S65="","",IF(INDEX('Master Tracker'!$T$6:$T$400,$S65)="","",INDEX('Master Tracker'!$T$6:$T$400,$S65)))</f>
        <v/>
      </c>
      <c r="P65" s="7" t="str">
        <f>IF($S65="","",IF(INDEX('Master Tracker'!$AC$6:$AC$400,$S65)="","",INDEX('Master Tracker'!$AC$6:$AC$400,$S65)))</f>
        <v/>
      </c>
      <c r="S65" t="str">
        <f>IFERROR(MATCH("Phase 5|"&amp;A65,'Master Tracker'!$Z$6:$Z$400,0),"")</f>
        <v/>
      </c>
    </row>
    <row r="66" spans="1:19" ht="15" customHeight="1" x14ac:dyDescent="0.3">
      <c r="A66" s="7">
        <v>27</v>
      </c>
      <c r="B66" s="51" t="str">
        <f>IF($S66="","",IF(INDEX('Master Tracker'!$A$6:$A$400,$S66)="","",INDEX('Master Tracker'!$A$6:$A$400,$S66)))</f>
        <v/>
      </c>
      <c r="C66" s="52" t="str">
        <f>IF($S66="","",IF(INDEX('Master Tracker'!$C$6:$C$400,$S66)="","",INDEX('Master Tracker'!$C$6:$C$400,$S66)))</f>
        <v/>
      </c>
      <c r="D66" s="52" t="str">
        <f>IF($S66="","",IF(INDEX('Master Tracker'!$D$6:$D$400,$S66)="","",INDEX('Master Tracker'!$D$6:$D$400,$S66)))</f>
        <v/>
      </c>
      <c r="E66" s="7" t="str">
        <f>IF($S66="","",IF(INDEX('Master Tracker'!$F$6:$F$400,$S66)="","",INDEX('Master Tracker'!$F$6:$F$400,$S66)))</f>
        <v/>
      </c>
      <c r="F66" s="7" t="str">
        <f>IF($S66="","",IF(INDEX('Master Tracker'!$G$6:$G$400,$S66)="","",INDEX('Master Tracker'!$G$6:$G$400,$S66)))</f>
        <v/>
      </c>
      <c r="G66" s="19" t="str">
        <f>IF($S66="","",IF(INDEX('Master Tracker'!$H$6:$H$400,$S66)="","",INDEX('Master Tracker'!$H$6:$H$400,$S66)))</f>
        <v/>
      </c>
      <c r="H66" s="19" t="str">
        <f>IF($S66="","",IF(INDEX('Master Tracker'!$I$6:$I$400,$S66)="","",INDEX('Master Tracker'!$I$6:$I$400,$S66)))</f>
        <v/>
      </c>
      <c r="I66" s="53" t="str">
        <f>IF($S66="","",IF(INDEX('Master Tracker'!$U$6:$U$400,$S66)="","",INDEX('Master Tracker'!$U$6:$U$400,$S66)))</f>
        <v/>
      </c>
      <c r="J66" s="52" t="str">
        <f>IF($S66="","",IF(INDEX('Master Tracker'!$K$6:$K$400,$S66)="","",INDEX('Master Tracker'!$K$6:$K$400,$S66)))</f>
        <v/>
      </c>
      <c r="K66" s="52" t="str">
        <f>IF($S66="","",IF(INDEX('Master Tracker'!$Y$6:$Y$400,$S66)="","",INDEX('Master Tracker'!$Y$6:$Y$400,$S66)))</f>
        <v/>
      </c>
      <c r="L66" s="52" t="str">
        <f>IF($S66="","",IF(INDEX('Master Tracker'!$M$6:$M$400,$S66)="","",INDEX('Master Tracker'!$M$6:$M$400,$S66)))</f>
        <v/>
      </c>
      <c r="M66" s="52" t="str">
        <f>IF($S66="","",IF(INDEX('Master Tracker'!$O$6:$O$400,$S66)="","",INDEX('Master Tracker'!$O$6:$O$400,$S66)))</f>
        <v/>
      </c>
      <c r="N66" s="52" t="str">
        <f>IF($S66="","",IF(INDEX('Master Tracker'!$N$6:$N$400,$S66)="","",INDEX('Master Tracker'!$N$6:$N$400,$S66)))</f>
        <v/>
      </c>
      <c r="O66" s="7" t="str">
        <f>IF($S66="","",IF(INDEX('Master Tracker'!$T$6:$T$400,$S66)="","",INDEX('Master Tracker'!$T$6:$T$400,$S66)))</f>
        <v/>
      </c>
      <c r="P66" s="7" t="str">
        <f>IF($S66="","",IF(INDEX('Master Tracker'!$AC$6:$AC$400,$S66)="","",INDEX('Master Tracker'!$AC$6:$AC$400,$S66)))</f>
        <v/>
      </c>
      <c r="S66" t="str">
        <f>IFERROR(MATCH("Phase 5|"&amp;A66,'Master Tracker'!$Z$6:$Z$400,0),"")</f>
        <v/>
      </c>
    </row>
    <row r="67" spans="1:19" ht="15" customHeight="1" x14ac:dyDescent="0.3">
      <c r="A67" s="7">
        <v>28</v>
      </c>
      <c r="B67" s="51" t="str">
        <f>IF($S67="","",IF(INDEX('Master Tracker'!$A$6:$A$400,$S67)="","",INDEX('Master Tracker'!$A$6:$A$400,$S67)))</f>
        <v/>
      </c>
      <c r="C67" s="52" t="str">
        <f>IF($S67="","",IF(INDEX('Master Tracker'!$C$6:$C$400,$S67)="","",INDEX('Master Tracker'!$C$6:$C$400,$S67)))</f>
        <v/>
      </c>
      <c r="D67" s="52" t="str">
        <f>IF($S67="","",IF(INDEX('Master Tracker'!$D$6:$D$400,$S67)="","",INDEX('Master Tracker'!$D$6:$D$400,$S67)))</f>
        <v/>
      </c>
      <c r="E67" s="7" t="str">
        <f>IF($S67="","",IF(INDEX('Master Tracker'!$F$6:$F$400,$S67)="","",INDEX('Master Tracker'!$F$6:$F$400,$S67)))</f>
        <v/>
      </c>
      <c r="F67" s="7" t="str">
        <f>IF($S67="","",IF(INDEX('Master Tracker'!$G$6:$G$400,$S67)="","",INDEX('Master Tracker'!$G$6:$G$400,$S67)))</f>
        <v/>
      </c>
      <c r="G67" s="19" t="str">
        <f>IF($S67="","",IF(INDEX('Master Tracker'!$H$6:$H$400,$S67)="","",INDEX('Master Tracker'!$H$6:$H$400,$S67)))</f>
        <v/>
      </c>
      <c r="H67" s="19" t="str">
        <f>IF($S67="","",IF(INDEX('Master Tracker'!$I$6:$I$400,$S67)="","",INDEX('Master Tracker'!$I$6:$I$400,$S67)))</f>
        <v/>
      </c>
      <c r="I67" s="53" t="str">
        <f>IF($S67="","",IF(INDEX('Master Tracker'!$U$6:$U$400,$S67)="","",INDEX('Master Tracker'!$U$6:$U$400,$S67)))</f>
        <v/>
      </c>
      <c r="J67" s="52" t="str">
        <f>IF($S67="","",IF(INDEX('Master Tracker'!$K$6:$K$400,$S67)="","",INDEX('Master Tracker'!$K$6:$K$400,$S67)))</f>
        <v/>
      </c>
      <c r="K67" s="52" t="str">
        <f>IF($S67="","",IF(INDEX('Master Tracker'!$Y$6:$Y$400,$S67)="","",INDEX('Master Tracker'!$Y$6:$Y$400,$S67)))</f>
        <v/>
      </c>
      <c r="L67" s="52" t="str">
        <f>IF($S67="","",IF(INDEX('Master Tracker'!$M$6:$M$400,$S67)="","",INDEX('Master Tracker'!$M$6:$M$400,$S67)))</f>
        <v/>
      </c>
      <c r="M67" s="52" t="str">
        <f>IF($S67="","",IF(INDEX('Master Tracker'!$O$6:$O$400,$S67)="","",INDEX('Master Tracker'!$O$6:$O$400,$S67)))</f>
        <v/>
      </c>
      <c r="N67" s="52" t="str">
        <f>IF($S67="","",IF(INDEX('Master Tracker'!$N$6:$N$400,$S67)="","",INDEX('Master Tracker'!$N$6:$N$400,$S67)))</f>
        <v/>
      </c>
      <c r="O67" s="7" t="str">
        <f>IF($S67="","",IF(INDEX('Master Tracker'!$T$6:$T$400,$S67)="","",INDEX('Master Tracker'!$T$6:$T$400,$S67)))</f>
        <v/>
      </c>
      <c r="P67" s="7" t="str">
        <f>IF($S67="","",IF(INDEX('Master Tracker'!$AC$6:$AC$400,$S67)="","",INDEX('Master Tracker'!$AC$6:$AC$400,$S67)))</f>
        <v/>
      </c>
      <c r="S67" t="str">
        <f>IFERROR(MATCH("Phase 5|"&amp;A67,'Master Tracker'!$Z$6:$Z$400,0),"")</f>
        <v/>
      </c>
    </row>
  </sheetData>
  <mergeCells count="54">
    <mergeCell ref="B36:R36"/>
    <mergeCell ref="A1:R1"/>
    <mergeCell ref="J13:R13"/>
    <mergeCell ref="A19:H19"/>
    <mergeCell ref="B33:R33"/>
    <mergeCell ref="P6:R6"/>
    <mergeCell ref="A38:R38"/>
    <mergeCell ref="J18:R18"/>
    <mergeCell ref="B29:R29"/>
    <mergeCell ref="A10:R10"/>
    <mergeCell ref="J23:R23"/>
    <mergeCell ref="B34:R34"/>
    <mergeCell ref="A14:H14"/>
    <mergeCell ref="B28:R28"/>
    <mergeCell ref="J17:R17"/>
    <mergeCell ref="A23:H23"/>
    <mergeCell ref="A22:H22"/>
    <mergeCell ref="A17:H17"/>
    <mergeCell ref="J14:R14"/>
    <mergeCell ref="B30:R30"/>
    <mergeCell ref="A20:H20"/>
    <mergeCell ref="J19:R19"/>
    <mergeCell ref="A2:R2"/>
    <mergeCell ref="A16:H16"/>
    <mergeCell ref="J22:R22"/>
    <mergeCell ref="J21:R21"/>
    <mergeCell ref="A12:H12"/>
    <mergeCell ref="J12:R12"/>
    <mergeCell ref="A18:H18"/>
    <mergeCell ref="E6:F6"/>
    <mergeCell ref="A21:H21"/>
    <mergeCell ref="P5:R5"/>
    <mergeCell ref="A9:R9"/>
    <mergeCell ref="A6:C6"/>
    <mergeCell ref="H5:I5"/>
    <mergeCell ref="A13:H13"/>
    <mergeCell ref="B35:R35"/>
    <mergeCell ref="A24:H24"/>
    <mergeCell ref="E5:F5"/>
    <mergeCell ref="A3:C3"/>
    <mergeCell ref="B31:R31"/>
    <mergeCell ref="J20:R20"/>
    <mergeCell ref="A26:R26"/>
    <mergeCell ref="J16:R16"/>
    <mergeCell ref="H6:I6"/>
    <mergeCell ref="B27:R27"/>
    <mergeCell ref="A5:C5"/>
    <mergeCell ref="J6:K6"/>
    <mergeCell ref="B32:R32"/>
    <mergeCell ref="J24:R24"/>
    <mergeCell ref="A7:R7"/>
    <mergeCell ref="A15:H15"/>
    <mergeCell ref="J5:K5"/>
    <mergeCell ref="J15:R15"/>
  </mergeCells>
  <conditionalFormatting sqref="F40:F67">
    <cfRule type="expression" dxfId="68" priority="5">
      <formula>$F40="Completed"</formula>
    </cfRule>
    <cfRule type="expression" dxfId="67" priority="6">
      <formula>$F40="In Progress"</formula>
    </cfRule>
    <cfRule type="expression" dxfId="66" priority="7">
      <formula>$F40="Testing"</formula>
    </cfRule>
    <cfRule type="expression" dxfId="65" priority="8">
      <formula>$F40="In Review"</formula>
    </cfRule>
    <cfRule type="expression" dxfId="64" priority="9">
      <formula>$F40="Blocked"</formula>
    </cfRule>
    <cfRule type="expression" dxfId="63" priority="10">
      <formula>$F40="Not Started"</formula>
    </cfRule>
  </conditionalFormatting>
  <conditionalFormatting sqref="I40:I67">
    <cfRule type="dataBar" priority="11">
      <dataBar>
        <cfvo type="num" val="0"/>
        <cfvo type="num" val="1"/>
        <color rgb="FF10B981"/>
      </dataBar>
    </cfRule>
  </conditionalFormatting>
  <conditionalFormatting sqref="O40:O67">
    <cfRule type="expression" dxfId="62" priority="19">
      <formula>$O40="Pass"</formula>
    </cfRule>
    <cfRule type="expression" dxfId="61" priority="20">
      <formula>$O40="Fail"</formula>
    </cfRule>
    <cfRule type="expression" dxfId="60" priority="21">
      <formula>$O40="Partial"</formula>
    </cfRule>
  </conditionalFormatting>
  <conditionalFormatting sqref="P6">
    <cfRule type="expression" dxfId="59" priority="1">
      <formula>$P$6="Complete"</formula>
    </cfRule>
    <cfRule type="expression" dxfId="58" priority="2">
      <formula>$P$6="On Track"</formula>
    </cfRule>
    <cfRule type="expression" dxfId="57" priority="3">
      <formula>$P$6="Behind"</formula>
    </cfRule>
    <cfRule type="expression" dxfId="56" priority="4">
      <formula>$P$6="Blocked"</formula>
    </cfRule>
  </conditionalFormatting>
  <conditionalFormatting sqref="P40:P67">
    <cfRule type="expression" dxfId="55" priority="12">
      <formula>$P40="Overdue"</formula>
    </cfRule>
    <cfRule type="expression" dxfId="54" priority="13">
      <formula>$P40="Blocked"</formula>
    </cfRule>
    <cfRule type="expression" dxfId="53" priority="14">
      <formula>$P40="Due soon"</formula>
    </cfRule>
    <cfRule type="expression" dxfId="52" priority="15">
      <formula>$P40="Done"</formula>
    </cfRule>
    <cfRule type="expression" dxfId="51" priority="16">
      <formula>$P40="Dependency open"</formula>
    </cfRule>
    <cfRule type="expression" dxfId="50" priority="17">
      <formula>$P40="External req."</formula>
    </cfRule>
    <cfRule type="expression" dxfId="49" priority="18">
      <formula>$P40="On track"</formula>
    </cfRule>
  </conditionalFormatting>
  <hyperlinks>
    <hyperlink ref="A3" location="'Executive Dashboard'!A1" display="← Dashboard" xr:uid="{00000000-0004-0000-0600-000000000000}"/>
    <hyperlink ref="D3" location="'Master Tracker'!A1" display="Open Master Tracker →" xr:uid="{00000000-0004-0000-0600-000001000000}"/>
    <hyperlink ref="F3" r:id="rId1" xr:uid="{00000000-0004-0000-0600-000002000000}"/>
  </hyperlinks>
  <pageMargins left="0.75" right="0.75" top="1" bottom="1" header="0.5" footer="0.5"/>
  <pageSetup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34155"/>
    <pageSetUpPr fitToPage="1"/>
  </sheetPr>
  <dimension ref="A1:S66"/>
  <sheetViews>
    <sheetView showGridLines="0" zoomScale="90" workbookViewId="0">
      <pane ySplit="3" topLeftCell="A4" activePane="bottomLeft" state="frozen"/>
      <selection pane="bottomLeft"/>
    </sheetView>
  </sheetViews>
  <sheetFormatPr defaultRowHeight="14.4" x14ac:dyDescent="0.3"/>
  <cols>
    <col min="1" max="1" width="5" customWidth="1"/>
    <col min="2" max="2" width="9" customWidth="1"/>
    <col min="3" max="3" width="15" customWidth="1"/>
    <col min="4" max="4" width="32" customWidth="1"/>
    <col min="5" max="5" width="8" customWidth="1"/>
    <col min="6" max="6" width="12" customWidth="1"/>
    <col min="7" max="9" width="10" customWidth="1"/>
    <col min="10" max="10" width="16" customWidth="1"/>
    <col min="11" max="11" width="12" customWidth="1"/>
    <col min="12" max="12" width="30" customWidth="1"/>
    <col min="13" max="14" width="38" customWidth="1"/>
    <col min="15" max="15" width="10" customWidth="1"/>
    <col min="16" max="16" width="13" customWidth="1"/>
    <col min="17" max="18" width="12" customWidth="1"/>
    <col min="19" max="19" width="4" hidden="1" customWidth="1"/>
  </cols>
  <sheetData>
    <row r="1" spans="1:18" ht="34.049999999999997" customHeight="1" x14ac:dyDescent="0.3">
      <c r="A1" s="111" t="s">
        <v>1075</v>
      </c>
      <c r="B1" s="112"/>
      <c r="C1" s="112"/>
      <c r="D1" s="112"/>
      <c r="E1" s="112"/>
      <c r="F1" s="112"/>
      <c r="G1" s="112"/>
      <c r="H1" s="112"/>
      <c r="I1" s="112"/>
      <c r="J1" s="112"/>
      <c r="K1" s="112"/>
      <c r="L1" s="112"/>
      <c r="M1" s="112"/>
      <c r="N1" s="112"/>
      <c r="O1" s="112"/>
      <c r="P1" s="112"/>
      <c r="Q1" s="112"/>
      <c r="R1" s="112"/>
    </row>
    <row r="2" spans="1:18" ht="19.95" customHeight="1" x14ac:dyDescent="0.3">
      <c r="A2" s="79" t="s">
        <v>1076</v>
      </c>
      <c r="B2" s="80"/>
      <c r="C2" s="80"/>
      <c r="D2" s="80"/>
      <c r="E2" s="80"/>
      <c r="F2" s="80"/>
      <c r="G2" s="80"/>
      <c r="H2" s="80"/>
      <c r="I2" s="80"/>
      <c r="J2" s="80"/>
      <c r="K2" s="80"/>
      <c r="L2" s="80"/>
      <c r="M2" s="80"/>
      <c r="N2" s="80"/>
      <c r="O2" s="80"/>
      <c r="P2" s="80"/>
      <c r="Q2" s="80"/>
      <c r="R2" s="80"/>
    </row>
    <row r="3" spans="1:18" x14ac:dyDescent="0.3">
      <c r="A3" s="131" t="s">
        <v>109</v>
      </c>
      <c r="B3" s="86"/>
      <c r="C3" s="86"/>
      <c r="D3" s="33" t="s">
        <v>889</v>
      </c>
      <c r="F3" s="3" t="s">
        <v>110</v>
      </c>
    </row>
    <row r="5" spans="1:18" x14ac:dyDescent="0.3">
      <c r="A5" s="129" t="s">
        <v>890</v>
      </c>
      <c r="B5" s="130"/>
      <c r="C5" s="130"/>
      <c r="D5" s="46" t="s">
        <v>891</v>
      </c>
      <c r="E5" s="129" t="s">
        <v>892</v>
      </c>
      <c r="F5" s="130"/>
      <c r="G5" s="46" t="s">
        <v>893</v>
      </c>
      <c r="H5" s="129" t="s">
        <v>35</v>
      </c>
      <c r="I5" s="130"/>
      <c r="J5" s="129" t="s">
        <v>38</v>
      </c>
      <c r="K5" s="130"/>
      <c r="L5" s="46" t="s">
        <v>39</v>
      </c>
      <c r="M5" s="46" t="s">
        <v>894</v>
      </c>
      <c r="N5" s="46" t="s">
        <v>40</v>
      </c>
      <c r="O5" s="46" t="s">
        <v>895</v>
      </c>
      <c r="P5" s="134" t="s">
        <v>896</v>
      </c>
      <c r="Q5" s="86"/>
      <c r="R5" s="86"/>
    </row>
    <row r="6" spans="1:18" ht="31.95" customHeight="1" x14ac:dyDescent="0.3">
      <c r="A6" s="136">
        <f>IFERROR(SUMPRODUCT(('Master Tracker'!$B$6:$B$400="Phase 6")*'Master Tracker'!$U$6:$U$400)/COUNTIFS('Master Tracker'!$B$6:$B$400,"Phase 6",'Master Tracker'!$A$6:$A$400,"?*"),0)</f>
        <v>0</v>
      </c>
      <c r="B6" s="133"/>
      <c r="C6" s="133"/>
      <c r="D6" s="47">
        <f ca="1">IFERROR(SUMPRODUCT(('Master Tracker'!$B$6:$B$400="Phase 6")*'Master Tracker'!$V$6:$V$400)/COUNTIFS('Master Tracker'!$B$6:$B$400,"Phase 6",'Master Tracker'!$A$6:$A$400,"?*"),0)</f>
        <v>0</v>
      </c>
      <c r="E6" s="132">
        <f>COUNTIFS('Master Tracker'!$B$6:$B$400,"Phase 6",'Master Tracker'!$A$6:$A$400,"?*")</f>
        <v>22</v>
      </c>
      <c r="F6" s="133"/>
      <c r="G6" s="48">
        <f>COUNTIFS('Master Tracker'!$B$6:$B$400,"Phase 6",'Master Tracker'!$G$6:$G$400,"Completed")</f>
        <v>0</v>
      </c>
      <c r="H6" s="132">
        <f>COUNTIFS('Master Tracker'!$B$6:$B$400,"Phase 6",'Master Tracker'!$G$6:$G$400,"In Progress")</f>
        <v>0</v>
      </c>
      <c r="I6" s="133"/>
      <c r="J6" s="132">
        <f>COUNTIFS('Master Tracker'!$B$6:$B$400,"Phase 6",'Master Tracker'!$G$6:$G$400,"Blocked")</f>
        <v>0</v>
      </c>
      <c r="K6" s="133"/>
      <c r="L6" s="48">
        <f ca="1">COUNTIFS('Master Tracker'!$B$6:$B$400,"Phase 6",'Master Tracker'!$X$6:$X$400,"OVERDUE")</f>
        <v>0</v>
      </c>
      <c r="M6" s="48">
        <f>COUNTIFS('Master Tracker'!$B$6:$B$400,"Phase 6",'Master Tracker'!$G$6:$G$400,"In Review")+COUNTIFS('Master Tracker'!$B$6:$B$400,"Phase 6",'Master Tracker'!$G$6:$G$400,"Testing")</f>
        <v>0</v>
      </c>
      <c r="N6" s="48">
        <f>COUNTIFS('Master Tracker'!$B$6:$B$400,"Phase 6",'Master Tracker'!$F$6:$F$400,"P0",'Master Tracker'!$G$6:$G$400,"&lt;&gt;Completed",'Master Tracker'!$A$6:$A$400,"?*")</f>
        <v>20</v>
      </c>
      <c r="O6" s="49">
        <f>_xlfn.MAXIFS('Master Tracker'!$I$6:$I$400,'Master Tracker'!$B$6:$B$400,"Phase 6")</f>
        <v>46327</v>
      </c>
      <c r="P6" s="137" t="str">
        <f ca="1">IF(E6=0,"—",IF(G6=E6,"Complete",IF(J6&gt;0,"Blocked",IF(L6&gt;0,"Behind",IF(A6+0.1&lt;D6,"Behind",IF(A6&gt;0,"On Track","Not Started"))))))</f>
        <v>Not Started</v>
      </c>
      <c r="Q6" s="86"/>
      <c r="R6" s="86"/>
    </row>
    <row r="7" spans="1:18" ht="22.05" customHeight="1" x14ac:dyDescent="0.3">
      <c r="A7" s="127" t="str">
        <f ca="1">"Progress  "&amp;REPT("█",ROUND(A6*50,0))&amp;REPT("░",50-ROUND(A6*50,0))&amp;"  "&amp;TEXT(A6,"0%")&amp;"  (planned "&amp;TEXT(D6,"0%")&amp;")"</f>
        <v>Progress  ░░░░░░░░░░░░░░░░░░░░░░░░░░░░░░░░░░░░░░░░░░░░░░░░░░  0%  (planned 0%)</v>
      </c>
      <c r="B7" s="86"/>
      <c r="C7" s="86"/>
      <c r="D7" s="86"/>
      <c r="E7" s="86"/>
      <c r="F7" s="86"/>
      <c r="G7" s="86"/>
      <c r="H7" s="86"/>
      <c r="I7" s="86"/>
      <c r="J7" s="86"/>
      <c r="K7" s="86"/>
      <c r="L7" s="86"/>
      <c r="M7" s="86"/>
      <c r="N7" s="86"/>
      <c r="O7" s="86"/>
      <c r="P7" s="86"/>
      <c r="Q7" s="86"/>
      <c r="R7" s="86"/>
    </row>
    <row r="9" spans="1:18" ht="22.05" customHeight="1" x14ac:dyDescent="0.3">
      <c r="A9" s="71" t="s">
        <v>897</v>
      </c>
      <c r="B9" s="72"/>
      <c r="C9" s="72"/>
      <c r="D9" s="72"/>
      <c r="E9" s="72"/>
      <c r="F9" s="72"/>
      <c r="G9" s="72"/>
      <c r="H9" s="72"/>
      <c r="I9" s="72"/>
      <c r="J9" s="72"/>
      <c r="K9" s="72"/>
      <c r="L9" s="72"/>
      <c r="M9" s="72"/>
      <c r="N9" s="72"/>
      <c r="O9" s="72"/>
      <c r="P9" s="72"/>
      <c r="Q9" s="72"/>
      <c r="R9" s="72"/>
    </row>
    <row r="10" spans="1:18" ht="46.05" customHeight="1" x14ac:dyDescent="0.3">
      <c r="A10" s="135" t="s">
        <v>1077</v>
      </c>
      <c r="B10" s="86"/>
      <c r="C10" s="86"/>
      <c r="D10" s="86"/>
      <c r="E10" s="86"/>
      <c r="F10" s="86"/>
      <c r="G10" s="86"/>
      <c r="H10" s="86"/>
      <c r="I10" s="86"/>
      <c r="J10" s="86"/>
      <c r="K10" s="86"/>
      <c r="L10" s="86"/>
      <c r="M10" s="86"/>
      <c r="N10" s="86"/>
      <c r="O10" s="86"/>
      <c r="P10" s="86"/>
      <c r="Q10" s="86"/>
      <c r="R10" s="86"/>
    </row>
    <row r="12" spans="1:18" ht="22.05" customHeight="1" x14ac:dyDescent="0.3">
      <c r="A12" s="71" t="s">
        <v>899</v>
      </c>
      <c r="B12" s="72"/>
      <c r="C12" s="72"/>
      <c r="D12" s="72"/>
      <c r="E12" s="72"/>
      <c r="F12" s="72"/>
      <c r="G12" s="72"/>
      <c r="H12" s="72"/>
      <c r="J12" s="71" t="s">
        <v>900</v>
      </c>
      <c r="K12" s="72"/>
      <c r="L12" s="72"/>
      <c r="M12" s="72"/>
      <c r="N12" s="72"/>
      <c r="O12" s="72"/>
      <c r="P12" s="72"/>
      <c r="Q12" s="72"/>
      <c r="R12" s="72"/>
    </row>
    <row r="13" spans="1:18" x14ac:dyDescent="0.3">
      <c r="A13" s="128" t="s">
        <v>1078</v>
      </c>
      <c r="B13" s="86"/>
      <c r="C13" s="86"/>
      <c r="D13" s="86"/>
      <c r="E13" s="86"/>
      <c r="F13" s="86"/>
      <c r="G13" s="86"/>
      <c r="H13" s="86"/>
      <c r="J13" s="128" t="s">
        <v>1079</v>
      </c>
      <c r="K13" s="86"/>
      <c r="L13" s="86"/>
      <c r="M13" s="86"/>
      <c r="N13" s="86"/>
      <c r="O13" s="86"/>
      <c r="P13" s="86"/>
      <c r="Q13" s="86"/>
      <c r="R13" s="86"/>
    </row>
    <row r="14" spans="1:18" x14ac:dyDescent="0.3">
      <c r="A14" s="126" t="s">
        <v>1080</v>
      </c>
      <c r="B14" s="86"/>
      <c r="C14" s="86"/>
      <c r="D14" s="86"/>
      <c r="E14" s="86"/>
      <c r="F14" s="86"/>
      <c r="G14" s="86"/>
      <c r="H14" s="86"/>
      <c r="J14" s="126" t="s">
        <v>1081</v>
      </c>
      <c r="K14" s="86"/>
      <c r="L14" s="86"/>
      <c r="M14" s="86"/>
      <c r="N14" s="86"/>
      <c r="O14" s="86"/>
      <c r="P14" s="86"/>
      <c r="Q14" s="86"/>
      <c r="R14" s="86"/>
    </row>
    <row r="15" spans="1:18" x14ac:dyDescent="0.3">
      <c r="A15" s="128" t="s">
        <v>1082</v>
      </c>
      <c r="B15" s="86"/>
      <c r="C15" s="86"/>
      <c r="D15" s="86"/>
      <c r="E15" s="86"/>
      <c r="F15" s="86"/>
      <c r="G15" s="86"/>
      <c r="H15" s="86"/>
      <c r="J15" s="128" t="s">
        <v>1083</v>
      </c>
      <c r="K15" s="86"/>
      <c r="L15" s="86"/>
      <c r="M15" s="86"/>
      <c r="N15" s="86"/>
      <c r="O15" s="86"/>
      <c r="P15" s="86"/>
      <c r="Q15" s="86"/>
      <c r="R15" s="86"/>
    </row>
    <row r="16" spans="1:18" x14ac:dyDescent="0.3">
      <c r="A16" s="126" t="s">
        <v>1084</v>
      </c>
      <c r="B16" s="86"/>
      <c r="C16" s="86"/>
      <c r="D16" s="86"/>
      <c r="E16" s="86"/>
      <c r="F16" s="86"/>
      <c r="G16" s="86"/>
      <c r="H16" s="86"/>
      <c r="J16" s="126" t="s">
        <v>1085</v>
      </c>
      <c r="K16" s="86"/>
      <c r="L16" s="86"/>
      <c r="M16" s="86"/>
      <c r="N16" s="86"/>
      <c r="O16" s="86"/>
      <c r="P16" s="86"/>
      <c r="Q16" s="86"/>
      <c r="R16" s="86"/>
    </row>
    <row r="17" spans="1:18" x14ac:dyDescent="0.3">
      <c r="A17" s="128" t="s">
        <v>1086</v>
      </c>
      <c r="B17" s="86"/>
      <c r="C17" s="86"/>
      <c r="D17" s="86"/>
      <c r="E17" s="86"/>
      <c r="F17" s="86"/>
      <c r="G17" s="86"/>
      <c r="H17" s="86"/>
      <c r="J17" s="128" t="s">
        <v>1087</v>
      </c>
      <c r="K17" s="86"/>
      <c r="L17" s="86"/>
      <c r="M17" s="86"/>
      <c r="N17" s="86"/>
      <c r="O17" s="86"/>
      <c r="P17" s="86"/>
      <c r="Q17" s="86"/>
      <c r="R17" s="86"/>
    </row>
    <row r="18" spans="1:18" x14ac:dyDescent="0.3">
      <c r="A18" s="126" t="s">
        <v>1088</v>
      </c>
      <c r="B18" s="86"/>
      <c r="C18" s="86"/>
      <c r="D18" s="86"/>
      <c r="E18" s="86"/>
      <c r="F18" s="86"/>
      <c r="G18" s="86"/>
      <c r="H18" s="86"/>
      <c r="J18" s="126" t="s">
        <v>1089</v>
      </c>
      <c r="K18" s="86"/>
      <c r="L18" s="86"/>
      <c r="M18" s="86"/>
      <c r="N18" s="86"/>
      <c r="O18" s="86"/>
      <c r="P18" s="86"/>
      <c r="Q18" s="86"/>
      <c r="R18" s="86"/>
    </row>
    <row r="19" spans="1:18" x14ac:dyDescent="0.3">
      <c r="A19" s="128" t="s">
        <v>1090</v>
      </c>
      <c r="B19" s="86"/>
      <c r="C19" s="86"/>
      <c r="D19" s="86"/>
      <c r="E19" s="86"/>
      <c r="F19" s="86"/>
      <c r="G19" s="86"/>
      <c r="H19" s="86"/>
      <c r="J19" s="128" t="s">
        <v>1091</v>
      </c>
      <c r="K19" s="86"/>
      <c r="L19" s="86"/>
      <c r="M19" s="86"/>
      <c r="N19" s="86"/>
      <c r="O19" s="86"/>
      <c r="P19" s="86"/>
      <c r="Q19" s="86"/>
      <c r="R19" s="86"/>
    </row>
    <row r="20" spans="1:18" x14ac:dyDescent="0.3">
      <c r="A20" s="126" t="s">
        <v>1092</v>
      </c>
      <c r="B20" s="86"/>
      <c r="C20" s="86"/>
      <c r="D20" s="86"/>
      <c r="E20" s="86"/>
      <c r="F20" s="86"/>
      <c r="G20" s="86"/>
      <c r="H20" s="86"/>
      <c r="J20" s="126" t="s">
        <v>1093</v>
      </c>
      <c r="K20" s="86"/>
      <c r="L20" s="86"/>
      <c r="M20" s="86"/>
      <c r="N20" s="86"/>
      <c r="O20" s="86"/>
      <c r="P20" s="86"/>
      <c r="Q20" s="86"/>
      <c r="R20" s="86"/>
    </row>
    <row r="21" spans="1:18" x14ac:dyDescent="0.3">
      <c r="A21" s="128" t="s">
        <v>1094</v>
      </c>
      <c r="B21" s="86"/>
      <c r="C21" s="86"/>
      <c r="D21" s="86"/>
      <c r="E21" s="86"/>
      <c r="F21" s="86"/>
      <c r="G21" s="86"/>
      <c r="H21" s="86"/>
      <c r="J21" s="128"/>
      <c r="K21" s="86"/>
      <c r="L21" s="86"/>
      <c r="M21" s="86"/>
      <c r="N21" s="86"/>
      <c r="O21" s="86"/>
      <c r="P21" s="86"/>
      <c r="Q21" s="86"/>
      <c r="R21" s="86"/>
    </row>
    <row r="23" spans="1:18" ht="22.05" customHeight="1" x14ac:dyDescent="0.3">
      <c r="A23" s="71" t="s">
        <v>922</v>
      </c>
      <c r="B23" s="72"/>
      <c r="C23" s="72"/>
      <c r="D23" s="72"/>
      <c r="E23" s="72"/>
      <c r="F23" s="72"/>
      <c r="G23" s="72"/>
      <c r="H23" s="72"/>
      <c r="I23" s="72"/>
      <c r="J23" s="72"/>
      <c r="K23" s="72"/>
      <c r="L23" s="72"/>
      <c r="M23" s="72"/>
      <c r="N23" s="72"/>
      <c r="O23" s="72"/>
      <c r="P23" s="72"/>
      <c r="Q23" s="72"/>
      <c r="R23" s="72"/>
    </row>
    <row r="24" spans="1:18" x14ac:dyDescent="0.3">
      <c r="A24" s="50">
        <v>1</v>
      </c>
      <c r="B24" s="126" t="s">
        <v>1095</v>
      </c>
      <c r="C24" s="86"/>
      <c r="D24" s="86"/>
      <c r="E24" s="86"/>
      <c r="F24" s="86"/>
      <c r="G24" s="86"/>
      <c r="H24" s="86"/>
      <c r="I24" s="86"/>
      <c r="J24" s="86"/>
      <c r="K24" s="86"/>
      <c r="L24" s="86"/>
      <c r="M24" s="86"/>
      <c r="N24" s="86"/>
      <c r="O24" s="86"/>
      <c r="P24" s="86"/>
      <c r="Q24" s="86"/>
      <c r="R24" s="86"/>
    </row>
    <row r="25" spans="1:18" x14ac:dyDescent="0.3">
      <c r="A25" s="50">
        <v>2</v>
      </c>
      <c r="B25" s="128" t="s">
        <v>1096</v>
      </c>
      <c r="C25" s="86"/>
      <c r="D25" s="86"/>
      <c r="E25" s="86"/>
      <c r="F25" s="86"/>
      <c r="G25" s="86"/>
      <c r="H25" s="86"/>
      <c r="I25" s="86"/>
      <c r="J25" s="86"/>
      <c r="K25" s="86"/>
      <c r="L25" s="86"/>
      <c r="M25" s="86"/>
      <c r="N25" s="86"/>
      <c r="O25" s="86"/>
      <c r="P25" s="86"/>
      <c r="Q25" s="86"/>
      <c r="R25" s="86"/>
    </row>
    <row r="26" spans="1:18" x14ac:dyDescent="0.3">
      <c r="A26" s="50">
        <v>3</v>
      </c>
      <c r="B26" s="126" t="s">
        <v>1097</v>
      </c>
      <c r="C26" s="86"/>
      <c r="D26" s="86"/>
      <c r="E26" s="86"/>
      <c r="F26" s="86"/>
      <c r="G26" s="86"/>
      <c r="H26" s="86"/>
      <c r="I26" s="86"/>
      <c r="J26" s="86"/>
      <c r="K26" s="86"/>
      <c r="L26" s="86"/>
      <c r="M26" s="86"/>
      <c r="N26" s="86"/>
      <c r="O26" s="86"/>
      <c r="P26" s="86"/>
      <c r="Q26" s="86"/>
      <c r="R26" s="86"/>
    </row>
    <row r="27" spans="1:18" x14ac:dyDescent="0.3">
      <c r="A27" s="50">
        <v>4</v>
      </c>
      <c r="B27" s="128" t="s">
        <v>1098</v>
      </c>
      <c r="C27" s="86"/>
      <c r="D27" s="86"/>
      <c r="E27" s="86"/>
      <c r="F27" s="86"/>
      <c r="G27" s="86"/>
      <c r="H27" s="86"/>
      <c r="I27" s="86"/>
      <c r="J27" s="86"/>
      <c r="K27" s="86"/>
      <c r="L27" s="86"/>
      <c r="M27" s="86"/>
      <c r="N27" s="86"/>
      <c r="O27" s="86"/>
      <c r="P27" s="86"/>
      <c r="Q27" s="86"/>
      <c r="R27" s="86"/>
    </row>
    <row r="28" spans="1:18" x14ac:dyDescent="0.3">
      <c r="A28" s="50">
        <v>5</v>
      </c>
      <c r="B28" s="126" t="s">
        <v>1099</v>
      </c>
      <c r="C28" s="86"/>
      <c r="D28" s="86"/>
      <c r="E28" s="86"/>
      <c r="F28" s="86"/>
      <c r="G28" s="86"/>
      <c r="H28" s="86"/>
      <c r="I28" s="86"/>
      <c r="J28" s="86"/>
      <c r="K28" s="86"/>
      <c r="L28" s="86"/>
      <c r="M28" s="86"/>
      <c r="N28" s="86"/>
      <c r="O28" s="86"/>
      <c r="P28" s="86"/>
      <c r="Q28" s="86"/>
      <c r="R28" s="86"/>
    </row>
    <row r="29" spans="1:18" x14ac:dyDescent="0.3">
      <c r="A29" s="50">
        <v>6</v>
      </c>
      <c r="B29" s="128" t="s">
        <v>1100</v>
      </c>
      <c r="C29" s="86"/>
      <c r="D29" s="86"/>
      <c r="E29" s="86"/>
      <c r="F29" s="86"/>
      <c r="G29" s="86"/>
      <c r="H29" s="86"/>
      <c r="I29" s="86"/>
      <c r="J29" s="86"/>
      <c r="K29" s="86"/>
      <c r="L29" s="86"/>
      <c r="M29" s="86"/>
      <c r="N29" s="86"/>
      <c r="O29" s="86"/>
      <c r="P29" s="86"/>
      <c r="Q29" s="86"/>
      <c r="R29" s="86"/>
    </row>
    <row r="30" spans="1:18" x14ac:dyDescent="0.3">
      <c r="A30" s="50">
        <v>7</v>
      </c>
      <c r="B30" s="126" t="s">
        <v>1101</v>
      </c>
      <c r="C30" s="86"/>
      <c r="D30" s="86"/>
      <c r="E30" s="86"/>
      <c r="F30" s="86"/>
      <c r="G30" s="86"/>
      <c r="H30" s="86"/>
      <c r="I30" s="86"/>
      <c r="J30" s="86"/>
      <c r="K30" s="86"/>
      <c r="L30" s="86"/>
      <c r="M30" s="86"/>
      <c r="N30" s="86"/>
      <c r="O30" s="86"/>
      <c r="P30" s="86"/>
      <c r="Q30" s="86"/>
      <c r="R30" s="86"/>
    </row>
    <row r="31" spans="1:18" x14ac:dyDescent="0.3">
      <c r="A31" s="50">
        <v>8</v>
      </c>
      <c r="B31" s="128" t="s">
        <v>1102</v>
      </c>
      <c r="C31" s="86"/>
      <c r="D31" s="86"/>
      <c r="E31" s="86"/>
      <c r="F31" s="86"/>
      <c r="G31" s="86"/>
      <c r="H31" s="86"/>
      <c r="I31" s="86"/>
      <c r="J31" s="86"/>
      <c r="K31" s="86"/>
      <c r="L31" s="86"/>
      <c r="M31" s="86"/>
      <c r="N31" s="86"/>
      <c r="O31" s="86"/>
      <c r="P31" s="86"/>
      <c r="Q31" s="86"/>
      <c r="R31" s="86"/>
    </row>
    <row r="32" spans="1:18" x14ac:dyDescent="0.3">
      <c r="A32" s="50">
        <v>9</v>
      </c>
      <c r="B32" s="126" t="s">
        <v>1103</v>
      </c>
      <c r="C32" s="86"/>
      <c r="D32" s="86"/>
      <c r="E32" s="86"/>
      <c r="F32" s="86"/>
      <c r="G32" s="86"/>
      <c r="H32" s="86"/>
      <c r="I32" s="86"/>
      <c r="J32" s="86"/>
      <c r="K32" s="86"/>
      <c r="L32" s="86"/>
      <c r="M32" s="86"/>
      <c r="N32" s="86"/>
      <c r="O32" s="86"/>
      <c r="P32" s="86"/>
      <c r="Q32" s="86"/>
      <c r="R32" s="86"/>
    </row>
    <row r="33" spans="1:19" x14ac:dyDescent="0.3">
      <c r="A33" s="50">
        <v>10</v>
      </c>
      <c r="B33" s="128" t="s">
        <v>1104</v>
      </c>
      <c r="C33" s="86"/>
      <c r="D33" s="86"/>
      <c r="E33" s="86"/>
      <c r="F33" s="86"/>
      <c r="G33" s="86"/>
      <c r="H33" s="86"/>
      <c r="I33" s="86"/>
      <c r="J33" s="86"/>
      <c r="K33" s="86"/>
      <c r="L33" s="86"/>
      <c r="M33" s="86"/>
      <c r="N33" s="86"/>
      <c r="O33" s="86"/>
      <c r="P33" s="86"/>
      <c r="Q33" s="86"/>
      <c r="R33" s="86"/>
    </row>
    <row r="35" spans="1:19" ht="22.05" customHeight="1" x14ac:dyDescent="0.3">
      <c r="A35" s="71" t="s">
        <v>933</v>
      </c>
      <c r="B35" s="72"/>
      <c r="C35" s="72"/>
      <c r="D35" s="72"/>
      <c r="E35" s="72"/>
      <c r="F35" s="72"/>
      <c r="G35" s="72"/>
      <c r="H35" s="72"/>
      <c r="I35" s="72"/>
      <c r="J35" s="72"/>
      <c r="K35" s="72"/>
      <c r="L35" s="72"/>
      <c r="M35" s="72"/>
      <c r="N35" s="72"/>
      <c r="O35" s="72"/>
      <c r="P35" s="72"/>
      <c r="Q35" s="72"/>
      <c r="R35" s="72"/>
    </row>
    <row r="36" spans="1:19" x14ac:dyDescent="0.3">
      <c r="A36" s="12" t="s">
        <v>934</v>
      </c>
      <c r="B36" s="12" t="s">
        <v>112</v>
      </c>
      <c r="C36" s="12" t="s">
        <v>935</v>
      </c>
      <c r="D36" s="12" t="s">
        <v>91</v>
      </c>
      <c r="E36" s="12" t="s">
        <v>66</v>
      </c>
      <c r="F36" s="12" t="s">
        <v>70</v>
      </c>
      <c r="G36" s="12" t="s">
        <v>936</v>
      </c>
      <c r="H36" s="12" t="s">
        <v>92</v>
      </c>
      <c r="I36" s="12" t="s">
        <v>937</v>
      </c>
      <c r="J36" s="12" t="s">
        <v>938</v>
      </c>
      <c r="K36" s="12" t="s">
        <v>939</v>
      </c>
      <c r="L36" s="12" t="s">
        <v>940</v>
      </c>
      <c r="M36" s="12" t="s">
        <v>941</v>
      </c>
      <c r="N36" s="12" t="s">
        <v>942</v>
      </c>
      <c r="O36" s="12" t="s">
        <v>943</v>
      </c>
      <c r="P36" s="12" t="s">
        <v>944</v>
      </c>
    </row>
    <row r="37" spans="1:19" ht="48" customHeight="1" x14ac:dyDescent="0.3">
      <c r="A37" s="7">
        <v>1</v>
      </c>
      <c r="B37" s="51" t="str">
        <f>IF($S37="","",IF(INDEX('Master Tracker'!$A$6:$A$400,$S37)="","",INDEX('Master Tracker'!$A$6:$A$400,$S37)))</f>
        <v>P6-01</v>
      </c>
      <c r="C37" s="52" t="str">
        <f>IF($S37="","",IF(INDEX('Master Tracker'!$C$6:$C$400,$S37)="","",INDEX('Master Tracker'!$C$6:$C$400,$S37)))</f>
        <v>Backup</v>
      </c>
      <c r="D37" s="52" t="str">
        <f>IF($S37="","",IF(INDEX('Master Tracker'!$D$6:$D$400,$S37)="","",INDEX('Master Tracker'!$D$6:$D$400,$S37)))</f>
        <v>Full production backup (files + DB) before any work</v>
      </c>
      <c r="E37" s="7" t="str">
        <f>IF($S37="","",IF(INDEX('Master Tracker'!$F$6:$F$400,$S37)="","",INDEX('Master Tracker'!$F$6:$F$400,$S37)))</f>
        <v>P0</v>
      </c>
      <c r="F37" s="7" t="str">
        <f>IF($S37="","",IF(INDEX('Master Tracker'!$G$6:$G$400,$S37)="","",INDEX('Master Tracker'!$G$6:$G$400,$S37)))</f>
        <v>Not Started</v>
      </c>
      <c r="G37" s="19">
        <f>IF($S37="","",IF(INDEX('Master Tracker'!$H$6:$H$400,$S37)="","",INDEX('Master Tracker'!$H$6:$H$400,$S37)))</f>
        <v>46307</v>
      </c>
      <c r="H37" s="19">
        <f>IF($S37="","",IF(INDEX('Master Tracker'!$I$6:$I$400,$S37)="","",INDEX('Master Tracker'!$I$6:$I$400,$S37)))</f>
        <v>46307</v>
      </c>
      <c r="I37" s="53">
        <f>IF($S37="","",IF(INDEX('Master Tracker'!$U$6:$U$400,$S37)="","",INDEX('Master Tracker'!$U$6:$U$400,$S37)))</f>
        <v>0</v>
      </c>
      <c r="J37" s="52" t="str">
        <f>IF($S37="","",IF(INDEX('Master Tracker'!$K$6:$K$400,$S37)="","",INDEX('Master Tracker'!$K$6:$K$400,$S37)))</f>
        <v/>
      </c>
      <c r="K37" s="52" t="str">
        <f>IF($S37="","",IF(INDEX('Master Tracker'!$Y$6:$Y$400,$S37)="","",INDEX('Master Tracker'!$Y$6:$Y$400,$S37)))</f>
        <v/>
      </c>
      <c r="L37" s="52" t="str">
        <f>IF($S37="","",IF(INDEX('Master Tracker'!$M$6:$M$400,$S37)="","",INDEX('Master Tracker'!$M$6:$M$400,$S37)))</f>
        <v>backups/ (off-server)</v>
      </c>
      <c r="M37" s="52" t="str">
        <f>IF($S37="","",IF(INDEX('Master Tracker'!$O$6:$O$400,$S37)="","",INDEX('Master Tracker'!$O$6:$O$400,$S37)))</f>
        <v>Restorable backup exists before any change</v>
      </c>
      <c r="N37" s="52" t="str">
        <f>IF($S37="","",IF(INDEX('Master Tracker'!$N$6:$N$400,$S37)="","",INDEX('Master Tracker'!$N$6:$N$400,$S37)))</f>
        <v>Checksum verified; DB dump imports cleanly on staging</v>
      </c>
      <c r="O37" s="7" t="str">
        <f>IF($S37="","",IF(INDEX('Master Tracker'!$T$6:$T$400,$S37)="","",INDEX('Master Tracker'!$T$6:$T$400,$S37)))</f>
        <v>Not Tested</v>
      </c>
      <c r="P37" s="7" t="str">
        <f ca="1">IF($S37="","",IF(INDEX('Master Tracker'!$AC$6:$AC$400,$S37)="","",INDEX('Master Tracker'!$AC$6:$AC$400,$S37)))</f>
        <v>Due soon</v>
      </c>
      <c r="S37">
        <f>IFERROR(MATCH("Phase 6|"&amp;A37,'Master Tracker'!$Z$6:$Z$400,0),"")</f>
        <v>90</v>
      </c>
    </row>
    <row r="38" spans="1:19" ht="48" customHeight="1" x14ac:dyDescent="0.3">
      <c r="A38" s="7">
        <v>2</v>
      </c>
      <c r="B38" s="51" t="str">
        <f>IF($S38="","",IF(INDEX('Master Tracker'!$A$6:$A$400,$S38)="","",INDEX('Master Tracker'!$A$6:$A$400,$S38)))</f>
        <v>P6-02</v>
      </c>
      <c r="C38" s="52" t="str">
        <f>IF($S38="","",IF(INDEX('Master Tracker'!$C$6:$C$400,$S38)="","",INDEX('Master Tracker'!$C$6:$C$400,$S38)))</f>
        <v>Backup</v>
      </c>
      <c r="D38" s="52" t="str">
        <f>IF($S38="","",IF(INDEX('Master Tracker'!$D$6:$D$400,$S38)="","",INDEX('Master Tracker'!$D$6:$D$400,$S38)))</f>
        <v>Verify staging mirrors production</v>
      </c>
      <c r="E38" s="7" t="str">
        <f>IF($S38="","",IF(INDEX('Master Tracker'!$F$6:$F$400,$S38)="","",INDEX('Master Tracker'!$F$6:$F$400,$S38)))</f>
        <v>P0</v>
      </c>
      <c r="F38" s="7" t="str">
        <f>IF($S38="","",IF(INDEX('Master Tracker'!$G$6:$G$400,$S38)="","",INDEX('Master Tracker'!$G$6:$G$400,$S38)))</f>
        <v>Not Started</v>
      </c>
      <c r="G38" s="19">
        <f>IF($S38="","",IF(INDEX('Master Tracker'!$H$6:$H$400,$S38)="","",INDEX('Master Tracker'!$H$6:$H$400,$S38)))</f>
        <v>46307</v>
      </c>
      <c r="H38" s="19">
        <f>IF($S38="","",IF(INDEX('Master Tracker'!$I$6:$I$400,$S38)="","",INDEX('Master Tracker'!$I$6:$I$400,$S38)))</f>
        <v>46307</v>
      </c>
      <c r="I38" s="53">
        <f>IF($S38="","",IF(INDEX('Master Tracker'!$U$6:$U$400,$S38)="","",INDEX('Master Tracker'!$U$6:$U$400,$S38)))</f>
        <v>0</v>
      </c>
      <c r="J38" s="52" t="str">
        <f>IF($S38="","",IF(INDEX('Master Tracker'!$K$6:$K$400,$S38)="","",INDEX('Master Tracker'!$K$6:$K$400,$S38)))</f>
        <v>P6-01</v>
      </c>
      <c r="K38" s="52" t="str">
        <f>IF($S38="","",IF(INDEX('Master Tracker'!$Y$6:$Y$400,$S38)="","",INDEX('Master Tracker'!$Y$6:$Y$400,$S38)))</f>
        <v>⏳ 1 open</v>
      </c>
      <c r="L38" s="52" t="str">
        <f>IF($S38="","",IF(INDEX('Master Tracker'!$M$6:$M$400,$S38)="","",INDEX('Master Tracker'!$M$6:$M$400,$S38)))</f>
        <v>wp-config.php, database</v>
      </c>
      <c r="M38" s="52" t="str">
        <f>IF($S38="","",IF(INDEX('Master Tracker'!$O$6:$O$400,$S38)="","",INDEX('Master Tracker'!$O$6:$O$400,$S38)))</f>
        <v>Staging is a verified mirror; content-delta plan agreed</v>
      </c>
      <c r="N38" s="52" t="str">
        <f>IF($S38="","",IF(INDEX('Master Tracker'!$N$6:$N$400,$S38)="","",INDEX('Master Tracker'!$N$6:$N$400,$S38)))</f>
        <v>Compare post/term/user counts staging vs production</v>
      </c>
      <c r="O38" s="7" t="str">
        <f>IF($S38="","",IF(INDEX('Master Tracker'!$T$6:$T$400,$S38)="","",INDEX('Master Tracker'!$T$6:$T$400,$S38)))</f>
        <v>Not Tested</v>
      </c>
      <c r="P38" s="7" t="str">
        <f ca="1">IF($S38="","",IF(INDEX('Master Tracker'!$AC$6:$AC$400,$S38)="","",INDEX('Master Tracker'!$AC$6:$AC$400,$S38)))</f>
        <v>Due soon</v>
      </c>
      <c r="S38">
        <f>IFERROR(MATCH("Phase 6|"&amp;A38,'Master Tracker'!$Z$6:$Z$400,0),"")</f>
        <v>91</v>
      </c>
    </row>
    <row r="39" spans="1:19" ht="48" customHeight="1" x14ac:dyDescent="0.3">
      <c r="A39" s="7">
        <v>3</v>
      </c>
      <c r="B39" s="51" t="str">
        <f>IF($S39="","",IF(INDEX('Master Tracker'!$A$6:$A$400,$S39)="","",INDEX('Master Tracker'!$A$6:$A$400,$S39)))</f>
        <v>P6-03</v>
      </c>
      <c r="C39" s="52" t="str">
        <f>IF($S39="","",IF(INDEX('Master Tracker'!$C$6:$C$400,$S39)="","",INDEX('Master Tracker'!$C$6:$C$400,$S39)))</f>
        <v>DB Audit</v>
      </c>
      <c r="D39" s="52" t="str">
        <f>IF($S39="","",IF(INDEX('Master Tracker'!$D$6:$D$400,$S39)="","",INDEX('Master Tracker'!$D$6:$D$400,$S39)))</f>
        <v>Database audit</v>
      </c>
      <c r="E39" s="7" t="str">
        <f>IF($S39="","",IF(INDEX('Master Tracker'!$F$6:$F$400,$S39)="","",INDEX('Master Tracker'!$F$6:$F$400,$S39)))</f>
        <v>P0</v>
      </c>
      <c r="F39" s="7" t="str">
        <f>IF($S39="","",IF(INDEX('Master Tracker'!$G$6:$G$400,$S39)="","",INDEX('Master Tracker'!$G$6:$G$400,$S39)))</f>
        <v>Not Started</v>
      </c>
      <c r="G39" s="19">
        <f>IF($S39="","",IF(INDEX('Master Tracker'!$H$6:$H$400,$S39)="","",INDEX('Master Tracker'!$H$6:$H$400,$S39)))</f>
        <v>46308</v>
      </c>
      <c r="H39" s="19">
        <f>IF($S39="","",IF(INDEX('Master Tracker'!$I$6:$I$400,$S39)="","",INDEX('Master Tracker'!$I$6:$I$400,$S39)))</f>
        <v>46308</v>
      </c>
      <c r="I39" s="53">
        <f>IF($S39="","",IF(INDEX('Master Tracker'!$U$6:$U$400,$S39)="","",INDEX('Master Tracker'!$U$6:$U$400,$S39)))</f>
        <v>0</v>
      </c>
      <c r="J39" s="52" t="str">
        <f>IF($S39="","",IF(INDEX('Master Tracker'!$K$6:$K$400,$S39)="","",INDEX('Master Tracker'!$K$6:$K$400,$S39)))</f>
        <v>P6-02</v>
      </c>
      <c r="K39" s="52" t="str">
        <f>IF($S39="","",IF(INDEX('Master Tracker'!$Y$6:$Y$400,$S39)="","",INDEX('Master Tracker'!$Y$6:$Y$400,$S39)))</f>
        <v>⏳ 1 open</v>
      </c>
      <c r="L39" s="52" t="str">
        <f>IF($S39="","",IF(INDEX('Master Tracker'!$M$6:$M$400,$S39)="","",INDEX('Master Tracker'!$M$6:$M$400,$S39)))</f>
        <v>database (phpMyAdmin)</v>
      </c>
      <c r="M39" s="52" t="str">
        <f>IF($S39="","",IF(INDEX('Master Tracker'!$O$6:$O$400,$S39)="","",INDEX('Master Tracker'!$O$6:$O$400,$S39)))</f>
        <v>Audit report saved; risks logged</v>
      </c>
      <c r="N39" s="52" t="str">
        <f>IF($S39="","",IF(INDEX('Master Tracker'!$N$6:$N$400,$S39)="","",INDEX('Master Tracker'!$N$6:$N$400,$S39)))</f>
        <v>Run audit queries; export results</v>
      </c>
      <c r="O39" s="7" t="str">
        <f>IF($S39="","",IF(INDEX('Master Tracker'!$T$6:$T$400,$S39)="","",INDEX('Master Tracker'!$T$6:$T$400,$S39)))</f>
        <v>Not Tested</v>
      </c>
      <c r="P39" s="7" t="str">
        <f ca="1">IF($S39="","",IF(INDEX('Master Tracker'!$AC$6:$AC$400,$S39)="","",INDEX('Master Tracker'!$AC$6:$AC$400,$S39)))</f>
        <v>Due soon</v>
      </c>
      <c r="S39">
        <f>IFERROR(MATCH("Phase 6|"&amp;A39,'Master Tracker'!$Z$6:$Z$400,0),"")</f>
        <v>92</v>
      </c>
    </row>
    <row r="40" spans="1:19" ht="48" customHeight="1" x14ac:dyDescent="0.3">
      <c r="A40" s="7">
        <v>4</v>
      </c>
      <c r="B40" s="51" t="str">
        <f>IF($S40="","",IF(INDEX('Master Tracker'!$A$6:$A$400,$S40)="","",INDEX('Master Tracker'!$A$6:$A$400,$S40)))</f>
        <v>P6-04</v>
      </c>
      <c r="C40" s="52" t="str">
        <f>IF($S40="","",IF(INDEX('Master Tracker'!$C$6:$C$400,$S40)="","",INDEX('Master Tracker'!$C$6:$C$400,$S40)))</f>
        <v>JNews Review</v>
      </c>
      <c r="D40" s="52" t="str">
        <f>IF($S40="","",IF(INDEX('Master Tracker'!$D$6:$D$400,$S40)="","",INDEX('Master Tracker'!$D$6:$D$400,$S40)))</f>
        <v>Legacy JNews dependency review</v>
      </c>
      <c r="E40" s="7" t="str">
        <f>IF($S40="","",IF(INDEX('Master Tracker'!$F$6:$F$400,$S40)="","",INDEX('Master Tracker'!$F$6:$F$400,$S40)))</f>
        <v>P0</v>
      </c>
      <c r="F40" s="7" t="str">
        <f>IF($S40="","",IF(INDEX('Master Tracker'!$G$6:$G$400,$S40)="","",INDEX('Master Tracker'!$G$6:$G$400,$S40)))</f>
        <v>Not Started</v>
      </c>
      <c r="G40" s="19">
        <f>IF($S40="","",IF(INDEX('Master Tracker'!$H$6:$H$400,$S40)="","",INDEX('Master Tracker'!$H$6:$H$400,$S40)))</f>
        <v>46308</v>
      </c>
      <c r="H40" s="19">
        <f>IF($S40="","",IF(INDEX('Master Tracker'!$I$6:$I$400,$S40)="","",INDEX('Master Tracker'!$I$6:$I$400,$S40)))</f>
        <v>46308</v>
      </c>
      <c r="I40" s="53">
        <f>IF($S40="","",IF(INDEX('Master Tracker'!$U$6:$U$400,$S40)="","",INDEX('Master Tracker'!$U$6:$U$400,$S40)))</f>
        <v>0</v>
      </c>
      <c r="J40" s="52" t="str">
        <f>IF($S40="","",IF(INDEX('Master Tracker'!$K$6:$K$400,$S40)="","",INDEX('Master Tracker'!$K$6:$K$400,$S40)))</f>
        <v>P6-03</v>
      </c>
      <c r="K40" s="52" t="str">
        <f>IF($S40="","",IF(INDEX('Master Tracker'!$Y$6:$Y$400,$S40)="","",INDEX('Master Tracker'!$Y$6:$Y$400,$S40)))</f>
        <v>⏳ 1 open</v>
      </c>
      <c r="L40" s="52" t="str">
        <f>IF($S40="","",IF(INDEX('Master Tracker'!$M$6:$M$400,$S40)="","",INDEX('Master Tracker'!$M$6:$M$400,$S40)))</f>
        <v>database, wp-content/plugins/jnews-*</v>
      </c>
      <c r="M40" s="52" t="str">
        <f>IF($S40="","",IF(INDEX('Master Tracker'!$O$6:$O$400,$S40)="","",INDEX('Master Tracker'!$O$6:$O$400,$S40)))</f>
        <v>Every JNews dependency has a documented decision</v>
      </c>
      <c r="N40" s="52" t="str">
        <f>IF($S40="","",IF(INDEX('Master Tracker'!$N$6:$N$400,$S40)="","",INDEX('Master Tracker'!$N$6:$N$400,$S40)))</f>
        <v>SQL LIKE search for shortcodes; meta key frequency list</v>
      </c>
      <c r="O40" s="7" t="str">
        <f>IF($S40="","",IF(INDEX('Master Tracker'!$T$6:$T$400,$S40)="","",INDEX('Master Tracker'!$T$6:$T$400,$S40)))</f>
        <v>Not Tested</v>
      </c>
      <c r="P40" s="7" t="str">
        <f ca="1">IF($S40="","",IF(INDEX('Master Tracker'!$AC$6:$AC$400,$S40)="","",INDEX('Master Tracker'!$AC$6:$AC$400,$S40)))</f>
        <v>Due soon</v>
      </c>
      <c r="S40">
        <f>IFERROR(MATCH("Phase 6|"&amp;A40,'Master Tracker'!$Z$6:$Z$400,0),"")</f>
        <v>93</v>
      </c>
    </row>
    <row r="41" spans="1:19" ht="48" customHeight="1" x14ac:dyDescent="0.3">
      <c r="A41" s="7">
        <v>5</v>
      </c>
      <c r="B41" s="51" t="str">
        <f>IF($S41="","",IF(INDEX('Master Tracker'!$A$6:$A$400,$S41)="","",INDEX('Master Tracker'!$A$6:$A$400,$S41)))</f>
        <v>P6-05</v>
      </c>
      <c r="C41" s="52" t="str">
        <f>IF($S41="","",IF(INDEX('Master Tracker'!$C$6:$C$400,$S41)="","",INDEX('Master Tracker'!$C$6:$C$400,$S41)))</f>
        <v>URL Inventory</v>
      </c>
      <c r="D41" s="52" t="str">
        <f>IF($S41="","",IF(INDEX('Master Tracker'!$D$6:$D$400,$S41)="","",INDEX('Master Tracker'!$D$6:$D$400,$S41)))</f>
        <v>Export URL inventory (2,645 articles + taxonomies)</v>
      </c>
      <c r="E41" s="7" t="str">
        <f>IF($S41="","",IF(INDEX('Master Tracker'!$F$6:$F$400,$S41)="","",INDEX('Master Tracker'!$F$6:$F$400,$S41)))</f>
        <v>P0</v>
      </c>
      <c r="F41" s="7" t="str">
        <f>IF($S41="","",IF(INDEX('Master Tracker'!$G$6:$G$400,$S41)="","",INDEX('Master Tracker'!$G$6:$G$400,$S41)))</f>
        <v>Not Started</v>
      </c>
      <c r="G41" s="19">
        <f>IF($S41="","",IF(INDEX('Master Tracker'!$H$6:$H$400,$S41)="","",INDEX('Master Tracker'!$H$6:$H$400,$S41)))</f>
        <v>46308</v>
      </c>
      <c r="H41" s="19">
        <f>IF($S41="","",IF(INDEX('Master Tracker'!$I$6:$I$400,$S41)="","",INDEX('Master Tracker'!$I$6:$I$400,$S41)))</f>
        <v>46308</v>
      </c>
      <c r="I41" s="53">
        <f>IF($S41="","",IF(INDEX('Master Tracker'!$U$6:$U$400,$S41)="","",INDEX('Master Tracker'!$U$6:$U$400,$S41)))</f>
        <v>0</v>
      </c>
      <c r="J41" s="52" t="str">
        <f>IF($S41="","",IF(INDEX('Master Tracker'!$K$6:$K$400,$S41)="","",INDEX('Master Tracker'!$K$6:$K$400,$S41)))</f>
        <v>P6-01</v>
      </c>
      <c r="K41" s="52" t="str">
        <f>IF($S41="","",IF(INDEX('Master Tracker'!$Y$6:$Y$400,$S41)="","",INDEX('Master Tracker'!$Y$6:$Y$400,$S41)))</f>
        <v>⏳ 1 open</v>
      </c>
      <c r="L41" s="52" t="str">
        <f>IF($S41="","",IF(INDEX('Master Tracker'!$M$6:$M$400,$S41)="","",INDEX('Master Tracker'!$M$6:$M$400,$S41)))</f>
        <v>url-inventory.csv</v>
      </c>
      <c r="M41" s="52" t="str">
        <f>IF($S41="","",IF(INDEX('Master Tracker'!$O$6:$O$400,$S41)="","",INDEX('Master Tracker'!$O$6:$O$400,$S41)))</f>
        <v>Complete URL inventory saved</v>
      </c>
      <c r="N41" s="52" t="str">
        <f>IF($S41="","",IF(INDEX('Master Tracker'!$N$6:$N$400,$S41)="","",INDEX('Master Tracker'!$N$6:$N$400,$S41)))</f>
        <v>Row count = 2,645 articles + taxonomy/page rows</v>
      </c>
      <c r="O41" s="7" t="str">
        <f>IF($S41="","",IF(INDEX('Master Tracker'!$T$6:$T$400,$S41)="","",INDEX('Master Tracker'!$T$6:$T$400,$S41)))</f>
        <v>Not Tested</v>
      </c>
      <c r="P41" s="7" t="str">
        <f ca="1">IF($S41="","",IF(INDEX('Master Tracker'!$AC$6:$AC$400,$S41)="","",INDEX('Master Tracker'!$AC$6:$AC$400,$S41)))</f>
        <v>Due soon</v>
      </c>
      <c r="S41">
        <f>IFERROR(MATCH("Phase 6|"&amp;A41,'Master Tracker'!$Z$6:$Z$400,0),"")</f>
        <v>94</v>
      </c>
    </row>
    <row r="42" spans="1:19" ht="48" customHeight="1" x14ac:dyDescent="0.3">
      <c r="A42" s="7">
        <v>6</v>
      </c>
      <c r="B42" s="51" t="str">
        <f>IF($S42="","",IF(INDEX('Master Tracker'!$A$6:$A$400,$S42)="","",INDEX('Master Tracker'!$A$6:$A$400,$S42)))</f>
        <v>P6-06</v>
      </c>
      <c r="C42" s="52" t="str">
        <f>IF($S42="","",IF(INDEX('Master Tracker'!$C$6:$C$400,$S42)="","",INDEX('Master Tracker'!$C$6:$C$400,$S42)))</f>
        <v>SEO Baseline</v>
      </c>
      <c r="D42" s="52" t="str">
        <f>IF($S42="","",IF(INDEX('Master Tracker'!$D$6:$D$400,$S42)="","",INDEX('Master Tracker'!$D$6:$D$400,$S42)))</f>
        <v>Capture SEO baseline</v>
      </c>
      <c r="E42" s="7" t="str">
        <f>IF($S42="","",IF(INDEX('Master Tracker'!$F$6:$F$400,$S42)="","",INDEX('Master Tracker'!$F$6:$F$400,$S42)))</f>
        <v>P0</v>
      </c>
      <c r="F42" s="7" t="str">
        <f>IF($S42="","",IF(INDEX('Master Tracker'!$G$6:$G$400,$S42)="","",INDEX('Master Tracker'!$G$6:$G$400,$S42)))</f>
        <v>Not Started</v>
      </c>
      <c r="G42" s="19">
        <f>IF($S42="","",IF(INDEX('Master Tracker'!$H$6:$H$400,$S42)="","",INDEX('Master Tracker'!$H$6:$H$400,$S42)))</f>
        <v>46308</v>
      </c>
      <c r="H42" s="19">
        <f>IF($S42="","",IF(INDEX('Master Tracker'!$I$6:$I$400,$S42)="","",INDEX('Master Tracker'!$I$6:$I$400,$S42)))</f>
        <v>46308</v>
      </c>
      <c r="I42" s="53">
        <f>IF($S42="","",IF(INDEX('Master Tracker'!$U$6:$U$400,$S42)="","",INDEX('Master Tracker'!$U$6:$U$400,$S42)))</f>
        <v>0</v>
      </c>
      <c r="J42" s="52" t="str">
        <f>IF($S42="","",IF(INDEX('Master Tracker'!$K$6:$K$400,$S42)="","",INDEX('Master Tracker'!$K$6:$K$400,$S42)))</f>
        <v>P6-05</v>
      </c>
      <c r="K42" s="52" t="str">
        <f>IF($S42="","",IF(INDEX('Master Tracker'!$Y$6:$Y$400,$S42)="","",INDEX('Master Tracker'!$Y$6:$Y$400,$S42)))</f>
        <v>⏳ 1 open</v>
      </c>
      <c r="L42" s="52" t="str">
        <f>IF($S42="","",IF(INDEX('Master Tracker'!$M$6:$M$400,$S42)="","",INDEX('Master Tracker'!$M$6:$M$400,$S42)))</f>
        <v>seo-baseline.csv</v>
      </c>
      <c r="M42" s="52" t="str">
        <f>IF($S42="","",IF(INDEX('Master Tracker'!$O$6:$O$400,$S42)="","",INDEX('Master Tracker'!$O$6:$O$400,$S42)))</f>
        <v>Baseline available for comparison</v>
      </c>
      <c r="N42" s="52" t="str">
        <f>IF($S42="","",IF(INDEX('Master Tracker'!$N$6:$N$400,$S42)="","",INDEX('Master Tracker'!$N$6:$N$400,$S42)))</f>
        <v>Baseline crawl complete; GSC export saved</v>
      </c>
      <c r="O42" s="7" t="str">
        <f>IF($S42="","",IF(INDEX('Master Tracker'!$T$6:$T$400,$S42)="","",INDEX('Master Tracker'!$T$6:$T$400,$S42)))</f>
        <v>Not Tested</v>
      </c>
      <c r="P42" s="7" t="str">
        <f ca="1">IF($S42="","",IF(INDEX('Master Tracker'!$AC$6:$AC$400,$S42)="","",INDEX('Master Tracker'!$AC$6:$AC$400,$S42)))</f>
        <v>Due soon</v>
      </c>
      <c r="S42">
        <f>IFERROR(MATCH("Phase 6|"&amp;A42,'Master Tracker'!$Z$6:$Z$400,0),"")</f>
        <v>95</v>
      </c>
    </row>
    <row r="43" spans="1:19" ht="48" customHeight="1" x14ac:dyDescent="0.3">
      <c r="A43" s="7">
        <v>7</v>
      </c>
      <c r="B43" s="51" t="str">
        <f>IF($S43="","",IF(INDEX('Master Tracker'!$A$6:$A$400,$S43)="","",INDEX('Master Tracker'!$A$6:$A$400,$S43)))</f>
        <v>P6-07</v>
      </c>
      <c r="C43" s="52" t="str">
        <f>IF($S43="","",IF(INDEX('Master Tracker'!$C$6:$C$400,$S43)="","",INDEX('Master Tracker'!$C$6:$C$400,$S43)))</f>
        <v>DB Optimization</v>
      </c>
      <c r="D43" s="52" t="str">
        <f>IF($S43="","",IF(INDEX('Master Tracker'!$D$6:$D$400,$S43)="","",INDEX('Master Tracker'!$D$6:$D$400,$S43)))</f>
        <v>Safe database optimization (staging first)</v>
      </c>
      <c r="E43" s="7" t="str">
        <f>IF($S43="","",IF(INDEX('Master Tracker'!$F$6:$F$400,$S43)="","",INDEX('Master Tracker'!$F$6:$F$400,$S43)))</f>
        <v>P1</v>
      </c>
      <c r="F43" s="7" t="str">
        <f>IF($S43="","",IF(INDEX('Master Tracker'!$G$6:$G$400,$S43)="","",INDEX('Master Tracker'!$G$6:$G$400,$S43)))</f>
        <v>Not Started</v>
      </c>
      <c r="G43" s="19">
        <f>IF($S43="","",IF(INDEX('Master Tracker'!$H$6:$H$400,$S43)="","",INDEX('Master Tracker'!$H$6:$H$400,$S43)))</f>
        <v>46321</v>
      </c>
      <c r="H43" s="19">
        <f>IF($S43="","",IF(INDEX('Master Tracker'!$I$6:$I$400,$S43)="","",INDEX('Master Tracker'!$I$6:$I$400,$S43)))</f>
        <v>46321</v>
      </c>
      <c r="I43" s="53">
        <f>IF($S43="","",IF(INDEX('Master Tracker'!$U$6:$U$400,$S43)="","",INDEX('Master Tracker'!$U$6:$U$400,$S43)))</f>
        <v>0</v>
      </c>
      <c r="J43" s="52" t="str">
        <f>IF($S43="","",IF(INDEX('Master Tracker'!$K$6:$K$400,$S43)="","",INDEX('Master Tracker'!$K$6:$K$400,$S43)))</f>
        <v>P6-03, P6-04</v>
      </c>
      <c r="K43" s="52" t="str">
        <f>IF($S43="","",IF(INDEX('Master Tracker'!$Y$6:$Y$400,$S43)="","",INDEX('Master Tracker'!$Y$6:$Y$400,$S43)))</f>
        <v>⏳ 2 open</v>
      </c>
      <c r="L43" s="52" t="str">
        <f>IF($S43="","",IF(INDEX('Master Tracker'!$M$6:$M$400,$S43)="","",INDEX('Master Tracker'!$M$6:$M$400,$S43)))</f>
        <v>wp-config.php (WP_POST_REVISIONS), database</v>
      </c>
      <c r="M43" s="52" t="str">
        <f>IF($S43="","",IF(INDEX('Master Tracker'!$O$6:$O$400,$S43)="","",INDEX('Master Tracker'!$O$6:$O$400,$S43)))</f>
        <v>DB smaller and faster with no content loss</v>
      </c>
      <c r="N43" s="52" t="str">
        <f>IF($S43="","",IF(INDEX('Master Tracker'!$N$6:$N$400,$S43)="","",INDEX('Master Tracker'!$N$6:$N$400,$S43)))</f>
        <v>Before/after sizes; site regression check</v>
      </c>
      <c r="O43" s="7" t="str">
        <f>IF($S43="","",IF(INDEX('Master Tracker'!$T$6:$T$400,$S43)="","",INDEX('Master Tracker'!$T$6:$T$400,$S43)))</f>
        <v>Not Tested</v>
      </c>
      <c r="P43" s="7" t="str">
        <f ca="1">IF($S43="","",IF(INDEX('Master Tracker'!$AC$6:$AC$400,$S43)="","",INDEX('Master Tracker'!$AC$6:$AC$400,$S43)))</f>
        <v>On track</v>
      </c>
      <c r="S43">
        <f>IFERROR(MATCH("Phase 6|"&amp;A43,'Master Tracker'!$Z$6:$Z$400,0),"")</f>
        <v>96</v>
      </c>
    </row>
    <row r="44" spans="1:19" ht="48" customHeight="1" x14ac:dyDescent="0.3">
      <c r="A44" s="7">
        <v>8</v>
      </c>
      <c r="B44" s="51" t="str">
        <f>IF($S44="","",IF(INDEX('Master Tracker'!$A$6:$A$400,$S44)="","",INDEX('Master Tracker'!$A$6:$A$400,$S44)))</f>
        <v>P6-08</v>
      </c>
      <c r="C44" s="52" t="str">
        <f>IF($S44="","",IF(INDEX('Master Tracker'!$C$6:$C$400,$S44)="","",INDEX('Master Tracker'!$C$6:$C$400,$S44)))</f>
        <v>URL Validation</v>
      </c>
      <c r="D44" s="52" t="str">
        <f>IF($S44="","",IF(INDEX('Master Tracker'!$D$6:$D$400,$S44)="","",INDEX('Master Tracker'!$D$6:$D$400,$S44)))</f>
        <v>Validate all 2,645 article URLs on staging</v>
      </c>
      <c r="E44" s="7" t="str">
        <f>IF($S44="","",IF(INDEX('Master Tracker'!$F$6:$F$400,$S44)="","",INDEX('Master Tracker'!$F$6:$F$400,$S44)))</f>
        <v>P0</v>
      </c>
      <c r="F44" s="7" t="str">
        <f>IF($S44="","",IF(INDEX('Master Tracker'!$G$6:$G$400,$S44)="","",INDEX('Master Tracker'!$G$6:$G$400,$S44)))</f>
        <v>Not Started</v>
      </c>
      <c r="G44" s="19">
        <f>IF($S44="","",IF(INDEX('Master Tracker'!$H$6:$H$400,$S44)="","",INDEX('Master Tracker'!$H$6:$H$400,$S44)))</f>
        <v>46321</v>
      </c>
      <c r="H44" s="19">
        <f>IF($S44="","",IF(INDEX('Master Tracker'!$I$6:$I$400,$S44)="","",INDEX('Master Tracker'!$I$6:$I$400,$S44)))</f>
        <v>46321</v>
      </c>
      <c r="I44" s="53">
        <f>IF($S44="","",IF(INDEX('Master Tracker'!$U$6:$U$400,$S44)="","",INDEX('Master Tracker'!$U$6:$U$400,$S44)))</f>
        <v>0</v>
      </c>
      <c r="J44" s="52" t="str">
        <f>IF($S44="","",IF(INDEX('Master Tracker'!$K$6:$K$400,$S44)="","",INDEX('Master Tracker'!$K$6:$K$400,$S44)))</f>
        <v>P6-05, P3-16</v>
      </c>
      <c r="K44" s="52" t="str">
        <f>IF($S44="","",IF(INDEX('Master Tracker'!$Y$6:$Y$400,$S44)="","",INDEX('Master Tracker'!$Y$6:$Y$400,$S44)))</f>
        <v>⏳ 2 open</v>
      </c>
      <c r="L44" s="52" t="str">
        <f>IF($S44="","",IF(INDEX('Master Tracker'!$M$6:$M$400,$S44)="","",INDEX('Master Tracker'!$M$6:$M$400,$S44)))</f>
        <v>url-inventory.csv</v>
      </c>
      <c r="M44" s="52" t="str">
        <f>IF($S44="","",IF(INDEX('Master Tracker'!$O$6:$O$400,$S44)="","",INDEX('Master Tracker'!$O$6:$O$400,$S44)))</f>
        <v>2,645/2,645 article URLs return 200 with correct content</v>
      </c>
      <c r="N44" s="52" t="str">
        <f>IF($S44="","",IF(INDEX('Master Tracker'!$N$6:$N$400,$S44)="","",INDEX('Master Tracker'!$N$6:$N$400,$S44)))</f>
        <v>Automated crawl; 0 unexpected 404s</v>
      </c>
      <c r="O44" s="7" t="str">
        <f>IF($S44="","",IF(INDEX('Master Tracker'!$T$6:$T$400,$S44)="","",INDEX('Master Tracker'!$T$6:$T$400,$S44)))</f>
        <v>Not Tested</v>
      </c>
      <c r="P44" s="7" t="str">
        <f ca="1">IF($S44="","",IF(INDEX('Master Tracker'!$AC$6:$AC$400,$S44)="","",INDEX('Master Tracker'!$AC$6:$AC$400,$S44)))</f>
        <v>On track</v>
      </c>
      <c r="S44">
        <f>IFERROR(MATCH("Phase 6|"&amp;A44,'Master Tracker'!$Z$6:$Z$400,0),"")</f>
        <v>97</v>
      </c>
    </row>
    <row r="45" spans="1:19" ht="48" customHeight="1" x14ac:dyDescent="0.3">
      <c r="A45" s="7">
        <v>9</v>
      </c>
      <c r="B45" s="51" t="str">
        <f>IF($S45="","",IF(INDEX('Master Tracker'!$A$6:$A$400,$S45)="","",INDEX('Master Tracker'!$A$6:$A$400,$S45)))</f>
        <v>P6-09</v>
      </c>
      <c r="C45" s="52" t="str">
        <f>IF($S45="","",IF(INDEX('Master Tracker'!$C$6:$C$400,$S45)="","",INDEX('Master Tracker'!$C$6:$C$400,$S45)))</f>
        <v>SEO</v>
      </c>
      <c r="D45" s="52" t="str">
        <f>IF($S45="","",IF(INDEX('Master Tracker'!$D$6:$D$400,$S45)="","",INDEX('Master Tracker'!$D$6:$D$400,$S45)))</f>
        <v>SEO comparison: staging vs baseline</v>
      </c>
      <c r="E45" s="7" t="str">
        <f>IF($S45="","",IF(INDEX('Master Tracker'!$F$6:$F$400,$S45)="","",INDEX('Master Tracker'!$F$6:$F$400,$S45)))</f>
        <v>P0</v>
      </c>
      <c r="F45" s="7" t="str">
        <f>IF($S45="","",IF(INDEX('Master Tracker'!$G$6:$G$400,$S45)="","",INDEX('Master Tracker'!$G$6:$G$400,$S45)))</f>
        <v>Not Started</v>
      </c>
      <c r="G45" s="19">
        <f>IF($S45="","",IF(INDEX('Master Tracker'!$H$6:$H$400,$S45)="","",INDEX('Master Tracker'!$H$6:$H$400,$S45)))</f>
        <v>46321</v>
      </c>
      <c r="H45" s="19">
        <f>IF($S45="","",IF(INDEX('Master Tracker'!$I$6:$I$400,$S45)="","",INDEX('Master Tracker'!$I$6:$I$400,$S45)))</f>
        <v>46322</v>
      </c>
      <c r="I45" s="53">
        <f>IF($S45="","",IF(INDEX('Master Tracker'!$U$6:$U$400,$S45)="","",INDEX('Master Tracker'!$U$6:$U$400,$S45)))</f>
        <v>0</v>
      </c>
      <c r="J45" s="52" t="str">
        <f>IF($S45="","",IF(INDEX('Master Tracker'!$K$6:$K$400,$S45)="","",INDEX('Master Tracker'!$K$6:$K$400,$S45)))</f>
        <v>P6-06, P6-08</v>
      </c>
      <c r="K45" s="52" t="str">
        <f>IF($S45="","",IF(INDEX('Master Tracker'!$Y$6:$Y$400,$S45)="","",INDEX('Master Tracker'!$Y$6:$Y$400,$S45)))</f>
        <v>⏳ 2 open</v>
      </c>
      <c r="L45" s="52" t="str">
        <f>IF($S45="","",IF(INDEX('Master Tracker'!$M$6:$M$400,$S45)="","",INDEX('Master Tracker'!$M$6:$M$400,$S45)))</f>
        <v>seo-baseline.csv</v>
      </c>
      <c r="M45" s="52" t="str">
        <f>IF($S45="","",IF(INDEX('Master Tracker'!$O$6:$O$400,$S45)="","",INDEX('Master Tracker'!$O$6:$O$400,$S45)))</f>
        <v>No SEO regressions vs baseline</v>
      </c>
      <c r="N45" s="52" t="str">
        <f>IF($S45="","",IF(INDEX('Master Tracker'!$N$6:$N$400,$S45)="","",INDEX('Master Tracker'!$N$6:$N$400,$S45)))</f>
        <v>Diff report reviewed</v>
      </c>
      <c r="O45" s="7" t="str">
        <f>IF($S45="","",IF(INDEX('Master Tracker'!$T$6:$T$400,$S45)="","",INDEX('Master Tracker'!$T$6:$T$400,$S45)))</f>
        <v>Not Tested</v>
      </c>
      <c r="P45" s="7" t="str">
        <f ca="1">IF($S45="","",IF(INDEX('Master Tracker'!$AC$6:$AC$400,$S45)="","",INDEX('Master Tracker'!$AC$6:$AC$400,$S45)))</f>
        <v>On track</v>
      </c>
      <c r="S45">
        <f>IFERROR(MATCH("Phase 6|"&amp;A45,'Master Tracker'!$Z$6:$Z$400,0),"")</f>
        <v>98</v>
      </c>
    </row>
    <row r="46" spans="1:19" ht="48" customHeight="1" x14ac:dyDescent="0.3">
      <c r="A46" s="7">
        <v>10</v>
      </c>
      <c r="B46" s="51" t="str">
        <f>IF($S46="","",IF(INDEX('Master Tracker'!$A$6:$A$400,$S46)="","",INDEX('Master Tracker'!$A$6:$A$400,$S46)))</f>
        <v>P6-10</v>
      </c>
      <c r="C46" s="52" t="str">
        <f>IF($S46="","",IF(INDEX('Master Tracker'!$C$6:$C$400,$S46)="","",INDEX('Master Tracker'!$C$6:$C$400,$S46)))</f>
        <v>SEO</v>
      </c>
      <c r="D46" s="52" t="str">
        <f>IF($S46="","",IF(INDEX('Master Tracker'!$D$6:$D$400,$S46)="","",INDEX('Master Tracker'!$D$6:$D$400,$S46)))</f>
        <v>301 redirect map for changed URLs</v>
      </c>
      <c r="E46" s="7" t="str">
        <f>IF($S46="","",IF(INDEX('Master Tracker'!$F$6:$F$400,$S46)="","",INDEX('Master Tracker'!$F$6:$F$400,$S46)))</f>
        <v>P1</v>
      </c>
      <c r="F46" s="7" t="str">
        <f>IF($S46="","",IF(INDEX('Master Tracker'!$G$6:$G$400,$S46)="","",INDEX('Master Tracker'!$G$6:$G$400,$S46)))</f>
        <v>Not Started</v>
      </c>
      <c r="G46" s="19">
        <f>IF($S46="","",IF(INDEX('Master Tracker'!$H$6:$H$400,$S46)="","",INDEX('Master Tracker'!$H$6:$H$400,$S46)))</f>
        <v>46322</v>
      </c>
      <c r="H46" s="19">
        <f>IF($S46="","",IF(INDEX('Master Tracker'!$I$6:$I$400,$S46)="","",INDEX('Master Tracker'!$I$6:$I$400,$S46)))</f>
        <v>46322</v>
      </c>
      <c r="I46" s="53">
        <f>IF($S46="","",IF(INDEX('Master Tracker'!$U$6:$U$400,$S46)="","",INDEX('Master Tracker'!$U$6:$U$400,$S46)))</f>
        <v>0</v>
      </c>
      <c r="J46" s="52" t="str">
        <f>IF($S46="","",IF(INDEX('Master Tracker'!$K$6:$K$400,$S46)="","",INDEX('Master Tracker'!$K$6:$K$400,$S46)))</f>
        <v>P6-08</v>
      </c>
      <c r="K46" s="52" t="str">
        <f>IF($S46="","",IF(INDEX('Master Tracker'!$Y$6:$Y$400,$S46)="","",INDEX('Master Tracker'!$Y$6:$Y$400,$S46)))</f>
        <v>⏳ 1 open</v>
      </c>
      <c r="L46" s="52" t="str">
        <f>IF($S46="","",IF(INDEX('Master Tracker'!$M$6:$M$400,$S46)="","",INDEX('Master Tracker'!$M$6:$M$400,$S46)))</f>
        <v>inc/redirects.php or Redirection export</v>
      </c>
      <c r="M46" s="52" t="str">
        <f>IF($S46="","",IF(INDEX('Master Tracker'!$O$6:$O$400,$S46)="","",INDEX('Master Tracker'!$O$6:$O$400,$S46)))</f>
        <v>All changed URLs 301 to correct targets; no chains</v>
      </c>
      <c r="N46" s="52" t="str">
        <f>IF($S46="","",IF(INDEX('Master Tracker'!$N$6:$N$400,$S46)="","",INDEX('Master Tracker'!$N$6:$N$400,$S46)))</f>
        <v>.htaccess / plugin test of each mapping</v>
      </c>
      <c r="O46" s="7" t="str">
        <f>IF($S46="","",IF(INDEX('Master Tracker'!$T$6:$T$400,$S46)="","",INDEX('Master Tracker'!$T$6:$T$400,$S46)))</f>
        <v>Not Tested</v>
      </c>
      <c r="P46" s="7" t="str">
        <f ca="1">IF($S46="","",IF(INDEX('Master Tracker'!$AC$6:$AC$400,$S46)="","",INDEX('Master Tracker'!$AC$6:$AC$400,$S46)))</f>
        <v>On track</v>
      </c>
      <c r="S46">
        <f>IFERROR(MATCH("Phase 6|"&amp;A46,'Master Tracker'!$Z$6:$Z$400,0),"")</f>
        <v>99</v>
      </c>
    </row>
    <row r="47" spans="1:19" ht="48" customHeight="1" x14ac:dyDescent="0.3">
      <c r="A47" s="7">
        <v>11</v>
      </c>
      <c r="B47" s="51" t="str">
        <f>IF($S47="","",IF(INDEX('Master Tracker'!$A$6:$A$400,$S47)="","",INDEX('Master Tracker'!$A$6:$A$400,$S47)))</f>
        <v>P6-11</v>
      </c>
      <c r="C47" s="52" t="str">
        <f>IF($S47="","",IF(INDEX('Master Tracker'!$C$6:$C$400,$S47)="","",INDEX('Master Tracker'!$C$6:$C$400,$S47)))</f>
        <v>Performance</v>
      </c>
      <c r="D47" s="52" t="str">
        <f>IF($S47="","",IF(INDEX('Master Tracker'!$D$6:$D$400,$S47)="","",INDEX('Master Tracker'!$D$6:$D$400,$S47)))</f>
        <v>Performance optimization (Core Web Vitals)</v>
      </c>
      <c r="E47" s="7" t="str">
        <f>IF($S47="","",IF(INDEX('Master Tracker'!$F$6:$F$400,$S47)="","",INDEX('Master Tracker'!$F$6:$F$400,$S47)))</f>
        <v>P0</v>
      </c>
      <c r="F47" s="7" t="str">
        <f>IF($S47="","",IF(INDEX('Master Tracker'!$G$6:$G$400,$S47)="","",INDEX('Master Tracker'!$G$6:$G$400,$S47)))</f>
        <v>Not Started</v>
      </c>
      <c r="G47" s="19">
        <f>IF($S47="","",IF(INDEX('Master Tracker'!$H$6:$H$400,$S47)="","",INDEX('Master Tracker'!$H$6:$H$400,$S47)))</f>
        <v>46322</v>
      </c>
      <c r="H47" s="19">
        <f>IF($S47="","",IF(INDEX('Master Tracker'!$I$6:$I$400,$S47)="","",INDEX('Master Tracker'!$I$6:$I$400,$S47)))</f>
        <v>46323</v>
      </c>
      <c r="I47" s="53">
        <f>IF($S47="","",IF(INDEX('Master Tracker'!$U$6:$U$400,$S47)="","",INDEX('Master Tracker'!$U$6:$U$400,$S47)))</f>
        <v>0</v>
      </c>
      <c r="J47" s="52" t="str">
        <f>IF($S47="","",IF(INDEX('Master Tracker'!$K$6:$K$400,$S47)="","",INDEX('Master Tracker'!$K$6:$K$400,$S47)))</f>
        <v>P2-24, P3-16, P4-12</v>
      </c>
      <c r="K47" s="52" t="str">
        <f>IF($S47="","",IF(INDEX('Master Tracker'!$Y$6:$Y$400,$S47)="","",INDEX('Master Tracker'!$Y$6:$Y$400,$S47)))</f>
        <v>⏳ 3 open</v>
      </c>
      <c r="L47" s="52" t="str">
        <f>IF($S47="","",IF(INDEX('Master Tracker'!$M$6:$M$400,$S47)="","",INDEX('Master Tracker'!$M$6:$M$400,$S47)))</f>
        <v>inc/enqueue.php, assets/*</v>
      </c>
      <c r="M47" s="52" t="str">
        <f>IF($S47="","",IF(INDEX('Master Tracker'!$O$6:$O$400,$S47)="","",INDEX('Master Tracker'!$O$6:$O$400,$S47)))</f>
        <v>Key templates meet Core Web Vitals targets on mobile</v>
      </c>
      <c r="N47" s="52" t="str">
        <f>IF($S47="","",IF(INDEX('Master Tracker'!$N$6:$N$400,$S47)="","",INDEX('Master Tracker'!$N$6:$N$400,$S47)))</f>
        <v>Lighthouse/PageSpeed on homepage, article, category, issue</v>
      </c>
      <c r="O47" s="7" t="str">
        <f>IF($S47="","",IF(INDEX('Master Tracker'!$T$6:$T$400,$S47)="","",INDEX('Master Tracker'!$T$6:$T$400,$S47)))</f>
        <v>Not Tested</v>
      </c>
      <c r="P47" s="7" t="str">
        <f ca="1">IF($S47="","",IF(INDEX('Master Tracker'!$AC$6:$AC$400,$S47)="","",INDEX('Master Tracker'!$AC$6:$AC$400,$S47)))</f>
        <v>On track</v>
      </c>
      <c r="S47">
        <f>IFERROR(MATCH("Phase 6|"&amp;A47,'Master Tracker'!$Z$6:$Z$400,0),"")</f>
        <v>100</v>
      </c>
    </row>
    <row r="48" spans="1:19" ht="48" customHeight="1" x14ac:dyDescent="0.3">
      <c r="A48" s="7">
        <v>12</v>
      </c>
      <c r="B48" s="51" t="str">
        <f>IF($S48="","",IF(INDEX('Master Tracker'!$A$6:$A$400,$S48)="","",INDEX('Master Tracker'!$A$6:$A$400,$S48)))</f>
        <v>P6-12</v>
      </c>
      <c r="C48" s="52" t="str">
        <f>IF($S48="","",IF(INDEX('Master Tracker'!$C$6:$C$400,$S48)="","",INDEX('Master Tracker'!$C$6:$C$400,$S48)))</f>
        <v>Caching</v>
      </c>
      <c r="D48" s="52" t="str">
        <f>IF($S48="","",IF(INDEX('Master Tracker'!$D$6:$D$400,$S48)="","",INDEX('Master Tracker'!$D$6:$D$400,$S48)))</f>
        <v>LiteSpeed Cache configuration</v>
      </c>
      <c r="E48" s="7" t="str">
        <f>IF($S48="","",IF(INDEX('Master Tracker'!$F$6:$F$400,$S48)="","",INDEX('Master Tracker'!$F$6:$F$400,$S48)))</f>
        <v>P0</v>
      </c>
      <c r="F48" s="7" t="str">
        <f>IF($S48="","",IF(INDEX('Master Tracker'!$G$6:$G$400,$S48)="","",INDEX('Master Tracker'!$G$6:$G$400,$S48)))</f>
        <v>Not Started</v>
      </c>
      <c r="G48" s="19">
        <f>IF($S48="","",IF(INDEX('Master Tracker'!$H$6:$H$400,$S48)="","",INDEX('Master Tracker'!$H$6:$H$400,$S48)))</f>
        <v>46323</v>
      </c>
      <c r="H48" s="19">
        <f>IF($S48="","",IF(INDEX('Master Tracker'!$I$6:$I$400,$S48)="","",INDEX('Master Tracker'!$I$6:$I$400,$S48)))</f>
        <v>46323</v>
      </c>
      <c r="I48" s="53">
        <f>IF($S48="","",IF(INDEX('Master Tracker'!$U$6:$U$400,$S48)="","",INDEX('Master Tracker'!$U$6:$U$400,$S48)))</f>
        <v>0</v>
      </c>
      <c r="J48" s="52" t="str">
        <f>IF($S48="","",IF(INDEX('Master Tracker'!$K$6:$K$400,$S48)="","",INDEX('Master Tracker'!$K$6:$K$400,$S48)))</f>
        <v>P6-11, P2-08</v>
      </c>
      <c r="K48" s="52" t="str">
        <f>IF($S48="","",IF(INDEX('Master Tracker'!$Y$6:$Y$400,$S48)="","",INDEX('Master Tracker'!$Y$6:$Y$400,$S48)))</f>
        <v>⏳ 2 open</v>
      </c>
      <c r="L48" s="52" t="str">
        <f>IF($S48="","",IF(INDEX('Master Tracker'!$M$6:$M$400,$S48)="","",INDEX('Master Tracker'!$M$6:$M$400,$S48)))</f>
        <v>LiteSpeed Cache settings</v>
      </c>
      <c r="M48" s="52" t="str">
        <f>IF($S48="","",IF(INDEX('Master Tracker'!$O$6:$O$400,$S48)="","",INDEX('Master Tracker'!$O$6:$O$400,$S48)))</f>
        <v>Fast cached pages with no cached private content</v>
      </c>
      <c r="N48" s="52" t="str">
        <f>IF($S48="","",IF(INDEX('Master Tracker'!$N$6:$N$400,$S48)="","",INDEX('Master Tracker'!$N$6:$N$400,$S48)))</f>
        <v>Logged-in vs guest caching; checkout not cached; purge on publish</v>
      </c>
      <c r="O48" s="7" t="str">
        <f>IF($S48="","",IF(INDEX('Master Tracker'!$T$6:$T$400,$S48)="","",INDEX('Master Tracker'!$T$6:$T$400,$S48)))</f>
        <v>Not Tested</v>
      </c>
      <c r="P48" s="7" t="str">
        <f ca="1">IF($S48="","",IF(INDEX('Master Tracker'!$AC$6:$AC$400,$S48)="","",INDEX('Master Tracker'!$AC$6:$AC$400,$S48)))</f>
        <v>External req.</v>
      </c>
      <c r="S48">
        <f>IFERROR(MATCH("Phase 6|"&amp;A48,'Master Tracker'!$Z$6:$Z$400,0),"")</f>
        <v>101</v>
      </c>
    </row>
    <row r="49" spans="1:19" ht="48" customHeight="1" x14ac:dyDescent="0.3">
      <c r="A49" s="7">
        <v>13</v>
      </c>
      <c r="B49" s="51" t="str">
        <f>IF($S49="","",IF(INDEX('Master Tracker'!$A$6:$A$400,$S49)="","",INDEX('Master Tracker'!$A$6:$A$400,$S49)))</f>
        <v>P6-13</v>
      </c>
      <c r="C49" s="52" t="str">
        <f>IF($S49="","",IF(INDEX('Master Tracker'!$C$6:$C$400,$S49)="","",INDEX('Master Tracker'!$C$6:$C$400,$S49)))</f>
        <v>Testing</v>
      </c>
      <c r="D49" s="52" t="str">
        <f>IF($S49="","",IF(INDEX('Master Tracker'!$D$6:$D$400,$S49)="","",INDEX('Master Tracker'!$D$6:$D$400,$S49)))</f>
        <v>Responsive testing</v>
      </c>
      <c r="E49" s="7" t="str">
        <f>IF($S49="","",IF(INDEX('Master Tracker'!$F$6:$F$400,$S49)="","",INDEX('Master Tracker'!$F$6:$F$400,$S49)))</f>
        <v>P0</v>
      </c>
      <c r="F49" s="7" t="str">
        <f>IF($S49="","",IF(INDEX('Master Tracker'!$G$6:$G$400,$S49)="","",INDEX('Master Tracker'!$G$6:$G$400,$S49)))</f>
        <v>Not Started</v>
      </c>
      <c r="G49" s="19">
        <f>IF($S49="","",IF(INDEX('Master Tracker'!$H$6:$H$400,$S49)="","",INDEX('Master Tracker'!$H$6:$H$400,$S49)))</f>
        <v>46323</v>
      </c>
      <c r="H49" s="19">
        <f>IF($S49="","",IF(INDEX('Master Tracker'!$I$6:$I$400,$S49)="","",INDEX('Master Tracker'!$I$6:$I$400,$S49)))</f>
        <v>46323</v>
      </c>
      <c r="I49" s="53">
        <f>IF($S49="","",IF(INDEX('Master Tracker'!$U$6:$U$400,$S49)="","",INDEX('Master Tracker'!$U$6:$U$400,$S49)))</f>
        <v>0</v>
      </c>
      <c r="J49" s="52" t="str">
        <f>IF($S49="","",IF(INDEX('Master Tracker'!$K$6:$K$400,$S49)="","",INDEX('Master Tracker'!$K$6:$K$400,$S49)))</f>
        <v>P6-11</v>
      </c>
      <c r="K49" s="52" t="str">
        <f>IF($S49="","",IF(INDEX('Master Tracker'!$Y$6:$Y$400,$S49)="","",INDEX('Master Tracker'!$Y$6:$Y$400,$S49)))</f>
        <v>⏳ 1 open</v>
      </c>
      <c r="L49" s="52" t="str">
        <f>IF($S49="","",IF(INDEX('Master Tracker'!$M$6:$M$400,$S49)="","",INDEX('Master Tracker'!$M$6:$M$400,$S49)))</f>
        <v>—</v>
      </c>
      <c r="M49" s="52" t="str">
        <f>IF($S49="","",IF(INDEX('Master Tracker'!$O$6:$O$400,$S49)="","",INDEX('Master Tracker'!$O$6:$O$400,$S49)))</f>
        <v>All templates pass responsive checks</v>
      </c>
      <c r="N49" s="52" t="str">
        <f>IF($S49="","",IF(INDEX('Master Tracker'!$N$6:$N$400,$S49)="","",INDEX('Master Tracker'!$N$6:$N$400,$S49)))</f>
        <v>QA sheet: Mobile Responsiveness rows</v>
      </c>
      <c r="O49" s="7" t="str">
        <f>IF($S49="","",IF(INDEX('Master Tracker'!$T$6:$T$400,$S49)="","",INDEX('Master Tracker'!$T$6:$T$400,$S49)))</f>
        <v>Not Tested</v>
      </c>
      <c r="P49" s="7" t="str">
        <f ca="1">IF($S49="","",IF(INDEX('Master Tracker'!$AC$6:$AC$400,$S49)="","",INDEX('Master Tracker'!$AC$6:$AC$400,$S49)))</f>
        <v>On track</v>
      </c>
      <c r="S49">
        <f>IFERROR(MATCH("Phase 6|"&amp;A49,'Master Tracker'!$Z$6:$Z$400,0),"")</f>
        <v>102</v>
      </c>
    </row>
    <row r="50" spans="1:19" ht="48" customHeight="1" x14ac:dyDescent="0.3">
      <c r="A50" s="7">
        <v>14</v>
      </c>
      <c r="B50" s="51" t="str">
        <f>IF($S50="","",IF(INDEX('Master Tracker'!$A$6:$A$400,$S50)="","",INDEX('Master Tracker'!$A$6:$A$400,$S50)))</f>
        <v>P6-14</v>
      </c>
      <c r="C50" s="52" t="str">
        <f>IF($S50="","",IF(INDEX('Master Tracker'!$C$6:$C$400,$S50)="","",INDEX('Master Tracker'!$C$6:$C$400,$S50)))</f>
        <v>Testing</v>
      </c>
      <c r="D50" s="52" t="str">
        <f>IF($S50="","",IF(INDEX('Master Tracker'!$D$6:$D$400,$S50)="","",INDEX('Master Tracker'!$D$6:$D$400,$S50)))</f>
        <v>Cross-browser testing</v>
      </c>
      <c r="E50" s="7" t="str">
        <f>IF($S50="","",IF(INDEX('Master Tracker'!$F$6:$F$400,$S50)="","",INDEX('Master Tracker'!$F$6:$F$400,$S50)))</f>
        <v>P0</v>
      </c>
      <c r="F50" s="7" t="str">
        <f>IF($S50="","",IF(INDEX('Master Tracker'!$G$6:$G$400,$S50)="","",INDEX('Master Tracker'!$G$6:$G$400,$S50)))</f>
        <v>Not Started</v>
      </c>
      <c r="G50" s="19">
        <f>IF($S50="","",IF(INDEX('Master Tracker'!$H$6:$H$400,$S50)="","",INDEX('Master Tracker'!$H$6:$H$400,$S50)))</f>
        <v>46323</v>
      </c>
      <c r="H50" s="19">
        <f>IF($S50="","",IF(INDEX('Master Tracker'!$I$6:$I$400,$S50)="","",INDEX('Master Tracker'!$I$6:$I$400,$S50)))</f>
        <v>46324</v>
      </c>
      <c r="I50" s="53">
        <f>IF($S50="","",IF(INDEX('Master Tracker'!$U$6:$U$400,$S50)="","",INDEX('Master Tracker'!$U$6:$U$400,$S50)))</f>
        <v>0</v>
      </c>
      <c r="J50" s="52" t="str">
        <f>IF($S50="","",IF(INDEX('Master Tracker'!$K$6:$K$400,$S50)="","",INDEX('Master Tracker'!$K$6:$K$400,$S50)))</f>
        <v>P6-13</v>
      </c>
      <c r="K50" s="52" t="str">
        <f>IF($S50="","",IF(INDEX('Master Tracker'!$Y$6:$Y$400,$S50)="","",INDEX('Master Tracker'!$Y$6:$Y$400,$S50)))</f>
        <v>⏳ 1 open</v>
      </c>
      <c r="L50" s="52" t="str">
        <f>IF($S50="","",IF(INDEX('Master Tracker'!$M$6:$M$400,$S50)="","",INDEX('Master Tracker'!$M$6:$M$400,$S50)))</f>
        <v>—</v>
      </c>
      <c r="M50" s="52" t="str">
        <f>IF($S50="","",IF(INDEX('Master Tracker'!$O$6:$O$400,$S50)="","",INDEX('Master Tracker'!$O$6:$O$400,$S50)))</f>
        <v>No blocking issues in supported browsers</v>
      </c>
      <c r="N50" s="52" t="str">
        <f>IF($S50="","",IF(INDEX('Master Tracker'!$N$6:$N$400,$S50)="","",INDEX('Master Tracker'!$N$6:$N$400,$S50)))</f>
        <v>QA sheet: Browser Compatibility rows</v>
      </c>
      <c r="O50" s="7" t="str">
        <f>IF($S50="","",IF(INDEX('Master Tracker'!$T$6:$T$400,$S50)="","",INDEX('Master Tracker'!$T$6:$T$400,$S50)))</f>
        <v>Not Tested</v>
      </c>
      <c r="P50" s="7" t="str">
        <f ca="1">IF($S50="","",IF(INDEX('Master Tracker'!$AC$6:$AC$400,$S50)="","",INDEX('Master Tracker'!$AC$6:$AC$400,$S50)))</f>
        <v>On track</v>
      </c>
      <c r="S50">
        <f>IFERROR(MATCH("Phase 6|"&amp;A50,'Master Tracker'!$Z$6:$Z$400,0),"")</f>
        <v>103</v>
      </c>
    </row>
    <row r="51" spans="1:19" ht="48" customHeight="1" x14ac:dyDescent="0.3">
      <c r="A51" s="7">
        <v>15</v>
      </c>
      <c r="B51" s="51" t="str">
        <f>IF($S51="","",IF(INDEX('Master Tracker'!$A$6:$A$400,$S51)="","",INDEX('Master Tracker'!$A$6:$A$400,$S51)))</f>
        <v>P6-15</v>
      </c>
      <c r="C51" s="52" t="str">
        <f>IF($S51="","",IF(INDEX('Master Tracker'!$C$6:$C$400,$S51)="","",INDEX('Master Tracker'!$C$6:$C$400,$S51)))</f>
        <v>Security</v>
      </c>
      <c r="D51" s="52" t="str">
        <f>IF($S51="","",IF(INDEX('Master Tracker'!$D$6:$D$400,$S51)="","",INDEX('Master Tracker'!$D$6:$D$400,$S51)))</f>
        <v>Security verification</v>
      </c>
      <c r="E51" s="7" t="str">
        <f>IF($S51="","",IF(INDEX('Master Tracker'!$F$6:$F$400,$S51)="","",INDEX('Master Tracker'!$F$6:$F$400,$S51)))</f>
        <v>P0</v>
      </c>
      <c r="F51" s="7" t="str">
        <f>IF($S51="","",IF(INDEX('Master Tracker'!$G$6:$G$400,$S51)="","",INDEX('Master Tracker'!$G$6:$G$400,$S51)))</f>
        <v>Not Started</v>
      </c>
      <c r="G51" s="19">
        <f>IF($S51="","",IF(INDEX('Master Tracker'!$H$6:$H$400,$S51)="","",INDEX('Master Tracker'!$H$6:$H$400,$S51)))</f>
        <v>46324</v>
      </c>
      <c r="H51" s="19">
        <f>IF($S51="","",IF(INDEX('Master Tracker'!$I$6:$I$400,$S51)="","",INDEX('Master Tracker'!$I$6:$I$400,$S51)))</f>
        <v>46324</v>
      </c>
      <c r="I51" s="53">
        <f>IF($S51="","",IF(INDEX('Master Tracker'!$U$6:$U$400,$S51)="","",INDEX('Master Tracker'!$U$6:$U$400,$S51)))</f>
        <v>0</v>
      </c>
      <c r="J51" s="52" t="str">
        <f>IF($S51="","",IF(INDEX('Master Tracker'!$K$6:$K$400,$S51)="","",INDEX('Master Tracker'!$K$6:$K$400,$S51)))</f>
        <v>P5-12</v>
      </c>
      <c r="K51" s="52" t="str">
        <f>IF($S51="","",IF(INDEX('Master Tracker'!$Y$6:$Y$400,$S51)="","",INDEX('Master Tracker'!$Y$6:$Y$400,$S51)))</f>
        <v>⏳ 1 open</v>
      </c>
      <c r="L51" s="52" t="str">
        <f>IF($S51="","",IF(INDEX('Master Tracker'!$M$6:$M$400,$S51)="","",INDEX('Master Tracker'!$M$6:$M$400,$S51)))</f>
        <v>wp-config.php, .htaccess</v>
      </c>
      <c r="M51" s="52" t="str">
        <f>IF($S51="","",IF(INDEX('Master Tracker'!$O$6:$O$400,$S51)="","",INDEX('Master Tracker'!$O$6:$O$400,$S51)))</f>
        <v>No high-severity findings open</v>
      </c>
      <c r="N51" s="52" t="str">
        <f>IF($S51="","",IF(INDEX('Master Tracker'!$N$6:$N$400,$S51)="","",INDEX('Master Tracker'!$N$6:$N$400,$S51)))</f>
        <v>QA sheet: Security rows; header scan</v>
      </c>
      <c r="O51" s="7" t="str">
        <f>IF($S51="","",IF(INDEX('Master Tracker'!$T$6:$T$400,$S51)="","",INDEX('Master Tracker'!$T$6:$T$400,$S51)))</f>
        <v>Not Tested</v>
      </c>
      <c r="P51" s="7" t="str">
        <f ca="1">IF($S51="","",IF(INDEX('Master Tracker'!$AC$6:$AC$400,$S51)="","",INDEX('Master Tracker'!$AC$6:$AC$400,$S51)))</f>
        <v>External req.</v>
      </c>
      <c r="S51">
        <f>IFERROR(MATCH("Phase 6|"&amp;A51,'Master Tracker'!$Z$6:$Z$400,0),"")</f>
        <v>104</v>
      </c>
    </row>
    <row r="52" spans="1:19" ht="48" customHeight="1" x14ac:dyDescent="0.3">
      <c r="A52" s="7">
        <v>16</v>
      </c>
      <c r="B52" s="51" t="str">
        <f>IF($S52="","",IF(INDEX('Master Tracker'!$A$6:$A$400,$S52)="","",INDEX('Master Tracker'!$A$6:$A$400,$S52)))</f>
        <v>P6-16</v>
      </c>
      <c r="C52" s="52" t="str">
        <f>IF($S52="","",IF(INDEX('Master Tracker'!$C$6:$C$400,$S52)="","",INDEX('Master Tracker'!$C$6:$C$400,$S52)))</f>
        <v>Testing</v>
      </c>
      <c r="D52" s="52" t="str">
        <f>IF($S52="","",IF(INDEX('Master Tracker'!$D$6:$D$400,$S52)="","",INDEX('Master Tracker'!$D$6:$D$400,$S52)))</f>
        <v>Full QA regression run</v>
      </c>
      <c r="E52" s="7" t="str">
        <f>IF($S52="","",IF(INDEX('Master Tracker'!$F$6:$F$400,$S52)="","",INDEX('Master Tracker'!$F$6:$F$400,$S52)))</f>
        <v>P0</v>
      </c>
      <c r="F52" s="7" t="str">
        <f>IF($S52="","",IF(INDEX('Master Tracker'!$G$6:$G$400,$S52)="","",INDEX('Master Tracker'!$G$6:$G$400,$S52)))</f>
        <v>Not Started</v>
      </c>
      <c r="G52" s="19">
        <f>IF($S52="","",IF(INDEX('Master Tracker'!$H$6:$H$400,$S52)="","",INDEX('Master Tracker'!$H$6:$H$400,$S52)))</f>
        <v>46324</v>
      </c>
      <c r="H52" s="19">
        <f>IF($S52="","",IF(INDEX('Master Tracker'!$I$6:$I$400,$S52)="","",INDEX('Master Tracker'!$I$6:$I$400,$S52)))</f>
        <v>46325</v>
      </c>
      <c r="I52" s="53">
        <f>IF($S52="","",IF(INDEX('Master Tracker'!$U$6:$U$400,$S52)="","",INDEX('Master Tracker'!$U$6:$U$400,$S52)))</f>
        <v>0</v>
      </c>
      <c r="J52" s="52" t="str">
        <f>IF($S52="","",IF(INDEX('Master Tracker'!$K$6:$K$400,$S52)="","",INDEX('Master Tracker'!$K$6:$K$400,$S52)))</f>
        <v>P6-13, P6-14</v>
      </c>
      <c r="K52" s="52" t="str">
        <f>IF($S52="","",IF(INDEX('Master Tracker'!$Y$6:$Y$400,$S52)="","",INDEX('Master Tracker'!$Y$6:$Y$400,$S52)))</f>
        <v>⏳ 2 open</v>
      </c>
      <c r="L52" s="52" t="str">
        <f>IF($S52="","",IF(INDEX('Master Tracker'!$M$6:$M$400,$S52)="","",INDEX('Master Tracker'!$M$6:$M$400,$S52)))</f>
        <v>—</v>
      </c>
      <c r="M52" s="52" t="str">
        <f>IF($S52="","",IF(INDEX('Master Tracker'!$O$6:$O$400,$S52)="","",INDEX('Master Tracker'!$O$6:$O$400,$S52)))</f>
        <v>All P0 test cases pass</v>
      </c>
      <c r="N52" s="52" t="str">
        <f>IF($S52="","",IF(INDEX('Master Tracker'!$N$6:$N$400,$S52)="","",INDEX('Master Tracker'!$N$6:$N$400,$S52)))</f>
        <v>QA sheet completion = 100%</v>
      </c>
      <c r="O52" s="7" t="str">
        <f>IF($S52="","",IF(INDEX('Master Tracker'!$T$6:$T$400,$S52)="","",INDEX('Master Tracker'!$T$6:$T$400,$S52)))</f>
        <v>Not Tested</v>
      </c>
      <c r="P52" s="7" t="str">
        <f ca="1">IF($S52="","",IF(INDEX('Master Tracker'!$AC$6:$AC$400,$S52)="","",INDEX('Master Tracker'!$AC$6:$AC$400,$S52)))</f>
        <v>On track</v>
      </c>
      <c r="S52">
        <f>IFERROR(MATCH("Phase 6|"&amp;A52,'Master Tracker'!$Z$6:$Z$400,0),"")</f>
        <v>105</v>
      </c>
    </row>
    <row r="53" spans="1:19" ht="48" customHeight="1" x14ac:dyDescent="0.3">
      <c r="A53" s="7">
        <v>17</v>
      </c>
      <c r="B53" s="51" t="str">
        <f>IF($S53="","",IF(INDEX('Master Tracker'!$A$6:$A$400,$S53)="","",INDEX('Master Tracker'!$A$6:$A$400,$S53)))</f>
        <v>P6-17</v>
      </c>
      <c r="C53" s="52" t="str">
        <f>IF($S53="","",IF(INDEX('Master Tracker'!$C$6:$C$400,$S53)="","",INDEX('Master Tracker'!$C$6:$C$400,$S53)))</f>
        <v>Bug Fixing</v>
      </c>
      <c r="D53" s="52" t="str">
        <f>IF($S53="","",IF(INDEX('Master Tracker'!$D$6:$D$400,$S53)="","",INDEX('Master Tracker'!$D$6:$D$400,$S53)))</f>
        <v>Defect fixing buffer</v>
      </c>
      <c r="E53" s="7" t="str">
        <f>IF($S53="","",IF(INDEX('Master Tracker'!$F$6:$F$400,$S53)="","",INDEX('Master Tracker'!$F$6:$F$400,$S53)))</f>
        <v>P0</v>
      </c>
      <c r="F53" s="7" t="str">
        <f>IF($S53="","",IF(INDEX('Master Tracker'!$G$6:$G$400,$S53)="","",INDEX('Master Tracker'!$G$6:$G$400,$S53)))</f>
        <v>Not Started</v>
      </c>
      <c r="G53" s="19">
        <f>IF($S53="","",IF(INDEX('Master Tracker'!$H$6:$H$400,$S53)="","",INDEX('Master Tracker'!$H$6:$H$400,$S53)))</f>
        <v>46325</v>
      </c>
      <c r="H53" s="19">
        <f>IF($S53="","",IF(INDEX('Master Tracker'!$I$6:$I$400,$S53)="","",INDEX('Master Tracker'!$I$6:$I$400,$S53)))</f>
        <v>46326</v>
      </c>
      <c r="I53" s="53">
        <f>IF($S53="","",IF(INDEX('Master Tracker'!$U$6:$U$400,$S53)="","",INDEX('Master Tracker'!$U$6:$U$400,$S53)))</f>
        <v>0</v>
      </c>
      <c r="J53" s="52" t="str">
        <f>IF($S53="","",IF(INDEX('Master Tracker'!$K$6:$K$400,$S53)="","",INDEX('Master Tracker'!$K$6:$K$400,$S53)))</f>
        <v>P6-16</v>
      </c>
      <c r="K53" s="52" t="str">
        <f>IF($S53="","",IF(INDEX('Master Tracker'!$Y$6:$Y$400,$S53)="","",INDEX('Master Tracker'!$Y$6:$Y$400,$S53)))</f>
        <v>⏳ 1 open</v>
      </c>
      <c r="L53" s="52" t="str">
        <f>IF($S53="","",IF(INDEX('Master Tracker'!$M$6:$M$400,$S53)="","",INDEX('Master Tracker'!$M$6:$M$400,$S53)))</f>
        <v>—</v>
      </c>
      <c r="M53" s="52" t="str">
        <f>IF($S53="","",IF(INDEX('Master Tracker'!$O$6:$O$400,$S53)="","",INDEX('Master Tracker'!$O$6:$O$400,$S53)))</f>
        <v>No open P0/P1 defects</v>
      </c>
      <c r="N53" s="52" t="str">
        <f>IF($S53="","",IF(INDEX('Master Tracker'!$N$6:$N$400,$S53)="","",INDEX('Master Tracker'!$N$6:$N$400,$S53)))</f>
        <v>Re-test fixed defects</v>
      </c>
      <c r="O53" s="7" t="str">
        <f>IF($S53="","",IF(INDEX('Master Tracker'!$T$6:$T$400,$S53)="","",INDEX('Master Tracker'!$T$6:$T$400,$S53)))</f>
        <v>Not Tested</v>
      </c>
      <c r="P53" s="7" t="str">
        <f ca="1">IF($S53="","",IF(INDEX('Master Tracker'!$AC$6:$AC$400,$S53)="","",INDEX('Master Tracker'!$AC$6:$AC$400,$S53)))</f>
        <v>On track</v>
      </c>
      <c r="S53">
        <f>IFERROR(MATCH("Phase 6|"&amp;A53,'Master Tracker'!$Z$6:$Z$400,0),"")</f>
        <v>106</v>
      </c>
    </row>
    <row r="54" spans="1:19" ht="48" customHeight="1" x14ac:dyDescent="0.3">
      <c r="A54" s="7">
        <v>18</v>
      </c>
      <c r="B54" s="51" t="str">
        <f>IF($S54="","",IF(INDEX('Master Tracker'!$A$6:$A$400,$S54)="","",INDEX('Master Tracker'!$A$6:$A$400,$S54)))</f>
        <v>P6-18</v>
      </c>
      <c r="C54" s="52" t="str">
        <f>IF($S54="","",IF(INDEX('Master Tracker'!$C$6:$C$400,$S54)="","",INDEX('Master Tracker'!$C$6:$C$400,$S54)))</f>
        <v>Readiness</v>
      </c>
      <c r="D54" s="52" t="str">
        <f>IF($S54="","",IF(INDEX('Master Tracker'!$D$6:$D$400,$S54)="","",INDEX('Master Tracker'!$D$6:$D$400,$S54)))</f>
        <v>Deployment readiness review &amp; client UAT sign-off</v>
      </c>
      <c r="E54" s="7" t="str">
        <f>IF($S54="","",IF(INDEX('Master Tracker'!$F$6:$F$400,$S54)="","",INDEX('Master Tracker'!$F$6:$F$400,$S54)))</f>
        <v>P0</v>
      </c>
      <c r="F54" s="7" t="str">
        <f>IF($S54="","",IF(INDEX('Master Tracker'!$G$6:$G$400,$S54)="","",INDEX('Master Tracker'!$G$6:$G$400,$S54)))</f>
        <v>Not Started</v>
      </c>
      <c r="G54" s="19">
        <f>IF($S54="","",IF(INDEX('Master Tracker'!$H$6:$H$400,$S54)="","",INDEX('Master Tracker'!$H$6:$H$400,$S54)))</f>
        <v>46326</v>
      </c>
      <c r="H54" s="19">
        <f>IF($S54="","",IF(INDEX('Master Tracker'!$I$6:$I$400,$S54)="","",INDEX('Master Tracker'!$I$6:$I$400,$S54)))</f>
        <v>46326</v>
      </c>
      <c r="I54" s="53">
        <f>IF($S54="","",IF(INDEX('Master Tracker'!$U$6:$U$400,$S54)="","",INDEX('Master Tracker'!$U$6:$U$400,$S54)))</f>
        <v>0</v>
      </c>
      <c r="J54" s="52" t="str">
        <f>IF($S54="","",IF(INDEX('Master Tracker'!$K$6:$K$400,$S54)="","",INDEX('Master Tracker'!$K$6:$K$400,$S54)))</f>
        <v>P6-17</v>
      </c>
      <c r="K54" s="52" t="str">
        <f>IF($S54="","",IF(INDEX('Master Tracker'!$Y$6:$Y$400,$S54)="","",INDEX('Master Tracker'!$Y$6:$Y$400,$S54)))</f>
        <v>⏳ 1 open</v>
      </c>
      <c r="L54" s="52" t="str">
        <f>IF($S54="","",IF(INDEX('Master Tracker'!$M$6:$M$400,$S54)="","",INDEX('Master Tracker'!$M$6:$M$400,$S54)))</f>
        <v>—</v>
      </c>
      <c r="M54" s="52" t="str">
        <f>IF($S54="","",IF(INDEX('Master Tracker'!$O$6:$O$400,$S54)="","",INDEX('Master Tracker'!$O$6:$O$400,$S54)))</f>
        <v>Written client approval to deploy</v>
      </c>
      <c r="N54" s="52" t="str">
        <f>IF($S54="","",IF(INDEX('Master Tracker'!$N$6:$N$400,$S54)="","",INDEX('Master Tracker'!$N$6:$N$400,$S54)))</f>
        <v>Deployment sheet stage 1 complete</v>
      </c>
      <c r="O54" s="7" t="str">
        <f>IF($S54="","",IF(INDEX('Master Tracker'!$T$6:$T$400,$S54)="","",INDEX('Master Tracker'!$T$6:$T$400,$S54)))</f>
        <v>Not Tested</v>
      </c>
      <c r="P54" s="7" t="str">
        <f ca="1">IF($S54="","",IF(INDEX('Master Tracker'!$AC$6:$AC$400,$S54)="","",INDEX('Master Tracker'!$AC$6:$AC$400,$S54)))</f>
        <v>On track</v>
      </c>
      <c r="S54">
        <f>IFERROR(MATCH("Phase 6|"&amp;A54,'Master Tracker'!$Z$6:$Z$400,0),"")</f>
        <v>107</v>
      </c>
    </row>
    <row r="55" spans="1:19" ht="48" customHeight="1" x14ac:dyDescent="0.3">
      <c r="A55" s="7">
        <v>19</v>
      </c>
      <c r="B55" s="51" t="str">
        <f>IF($S55="","",IF(INDEX('Master Tracker'!$A$6:$A$400,$S55)="","",INDEX('Master Tracker'!$A$6:$A$400,$S55)))</f>
        <v>P6-19</v>
      </c>
      <c r="C55" s="52" t="str">
        <f>IF($S55="","",IF(INDEX('Master Tracker'!$C$6:$C$400,$S55)="","",INDEX('Master Tracker'!$C$6:$C$400,$S55)))</f>
        <v>Rollback</v>
      </c>
      <c r="D55" s="52" t="str">
        <f>IF($S55="","",IF(INDEX('Master Tracker'!$D$6:$D$400,$S55)="","",INDEX('Master Tracker'!$D$6:$D$400,$S55)))</f>
        <v>Rollback plan documented &amp; rehearsed</v>
      </c>
      <c r="E55" s="7" t="str">
        <f>IF($S55="","",IF(INDEX('Master Tracker'!$F$6:$F$400,$S55)="","",INDEX('Master Tracker'!$F$6:$F$400,$S55)))</f>
        <v>P0</v>
      </c>
      <c r="F55" s="7" t="str">
        <f>IF($S55="","",IF(INDEX('Master Tracker'!$G$6:$G$400,$S55)="","",INDEX('Master Tracker'!$G$6:$G$400,$S55)))</f>
        <v>Not Started</v>
      </c>
      <c r="G55" s="19">
        <f>IF($S55="","",IF(INDEX('Master Tracker'!$H$6:$H$400,$S55)="","",INDEX('Master Tracker'!$H$6:$H$400,$S55)))</f>
        <v>46326</v>
      </c>
      <c r="H55" s="19">
        <f>IF($S55="","",IF(INDEX('Master Tracker'!$I$6:$I$400,$S55)="","",INDEX('Master Tracker'!$I$6:$I$400,$S55)))</f>
        <v>46326</v>
      </c>
      <c r="I55" s="53">
        <f>IF($S55="","",IF(INDEX('Master Tracker'!$U$6:$U$400,$S55)="","",INDEX('Master Tracker'!$U$6:$U$400,$S55)))</f>
        <v>0</v>
      </c>
      <c r="J55" s="52" t="str">
        <f>IF($S55="","",IF(INDEX('Master Tracker'!$K$6:$K$400,$S55)="","",INDEX('Master Tracker'!$K$6:$K$400,$S55)))</f>
        <v>P6-01</v>
      </c>
      <c r="K55" s="52" t="str">
        <f>IF($S55="","",IF(INDEX('Master Tracker'!$Y$6:$Y$400,$S55)="","",INDEX('Master Tracker'!$Y$6:$Y$400,$S55)))</f>
        <v>⏳ 1 open</v>
      </c>
      <c r="L55" s="52" t="str">
        <f>IF($S55="","",IF(INDEX('Master Tracker'!$M$6:$M$400,$S55)="","",INDEX('Master Tracker'!$M$6:$M$400,$S55)))</f>
        <v>Deployment &amp; Rollback sheet</v>
      </c>
      <c r="M55" s="52" t="str">
        <f>IF($S55="","",IF(INDEX('Master Tracker'!$O$6:$O$400,$S55)="","",INDEX('Master Tracker'!$O$6:$O$400,$S55)))</f>
        <v>Rollback achievable within agreed window (target &lt; 30 min)</v>
      </c>
      <c r="N55" s="52" t="str">
        <f>IF($S55="","",IF(INDEX('Master Tracker'!$N$6:$N$400,$S55)="","",INDEX('Master Tracker'!$N$6:$N$400,$S55)))</f>
        <v>Timed rehearsal</v>
      </c>
      <c r="O55" s="7" t="str">
        <f>IF($S55="","",IF(INDEX('Master Tracker'!$T$6:$T$400,$S55)="","",INDEX('Master Tracker'!$T$6:$T$400,$S55)))</f>
        <v>Not Tested</v>
      </c>
      <c r="P55" s="7" t="str">
        <f ca="1">IF($S55="","",IF(INDEX('Master Tracker'!$AC$6:$AC$400,$S55)="","",INDEX('Master Tracker'!$AC$6:$AC$400,$S55)))</f>
        <v>External req.</v>
      </c>
      <c r="S55">
        <f>IFERROR(MATCH("Phase 6|"&amp;A55,'Master Tracker'!$Z$6:$Z$400,0),"")</f>
        <v>108</v>
      </c>
    </row>
    <row r="56" spans="1:19" ht="48" customHeight="1" x14ac:dyDescent="0.3">
      <c r="A56" s="7">
        <v>20</v>
      </c>
      <c r="B56" s="51" t="str">
        <f>IF($S56="","",IF(INDEX('Master Tracker'!$A$6:$A$400,$S56)="","",INDEX('Master Tracker'!$A$6:$A$400,$S56)))</f>
        <v>P6-20</v>
      </c>
      <c r="C56" s="52" t="str">
        <f>IF($S56="","",IF(INDEX('Master Tracker'!$C$6:$C$400,$S56)="","",INDEX('Master Tracker'!$C$6:$C$400,$S56)))</f>
        <v>Backup</v>
      </c>
      <c r="D56" s="52" t="str">
        <f>IF($S56="","",IF(INDEX('Master Tracker'!$D$6:$D$400,$S56)="","",INDEX('Master Tracker'!$D$6:$D$400,$S56)))</f>
        <v>Fresh pre-cutover production backup</v>
      </c>
      <c r="E56" s="7" t="str">
        <f>IF($S56="","",IF(INDEX('Master Tracker'!$F$6:$F$400,$S56)="","",INDEX('Master Tracker'!$F$6:$F$400,$S56)))</f>
        <v>P0</v>
      </c>
      <c r="F56" s="7" t="str">
        <f>IF($S56="","",IF(INDEX('Master Tracker'!$G$6:$G$400,$S56)="","",INDEX('Master Tracker'!$G$6:$G$400,$S56)))</f>
        <v>Not Started</v>
      </c>
      <c r="G56" s="19">
        <f>IF($S56="","",IF(INDEX('Master Tracker'!$H$6:$H$400,$S56)="","",INDEX('Master Tracker'!$H$6:$H$400,$S56)))</f>
        <v>46326</v>
      </c>
      <c r="H56" s="19">
        <f>IF($S56="","",IF(INDEX('Master Tracker'!$I$6:$I$400,$S56)="","",INDEX('Master Tracker'!$I$6:$I$400,$S56)))</f>
        <v>46326</v>
      </c>
      <c r="I56" s="53">
        <f>IF($S56="","",IF(INDEX('Master Tracker'!$U$6:$U$400,$S56)="","",INDEX('Master Tracker'!$U$6:$U$400,$S56)))</f>
        <v>0</v>
      </c>
      <c r="J56" s="52" t="str">
        <f>IF($S56="","",IF(INDEX('Master Tracker'!$K$6:$K$400,$S56)="","",INDEX('Master Tracker'!$K$6:$K$400,$S56)))</f>
        <v>P6-18</v>
      </c>
      <c r="K56" s="52" t="str">
        <f>IF($S56="","",IF(INDEX('Master Tracker'!$Y$6:$Y$400,$S56)="","",INDEX('Master Tracker'!$Y$6:$Y$400,$S56)))</f>
        <v>⏳ 1 open</v>
      </c>
      <c r="L56" s="52" t="str">
        <f>IF($S56="","",IF(INDEX('Master Tracker'!$M$6:$M$400,$S56)="","",INDEX('Master Tracker'!$M$6:$M$400,$S56)))</f>
        <v>backups/ (off-server)</v>
      </c>
      <c r="M56" s="52" t="str">
        <f>IF($S56="","",IF(INDEX('Master Tracker'!$O$6:$O$400,$S56)="","",INDEX('Master Tracker'!$O$6:$O$400,$S56)))</f>
        <v>Verified backup timestamped before cutover</v>
      </c>
      <c r="N56" s="52" t="str">
        <f>IF($S56="","",IF(INDEX('Master Tracker'!$N$6:$N$400,$S56)="","",INDEX('Master Tracker'!$N$6:$N$400,$S56)))</f>
        <v>Checksum + test import</v>
      </c>
      <c r="O56" s="7" t="str">
        <f>IF($S56="","",IF(INDEX('Master Tracker'!$T$6:$T$400,$S56)="","",INDEX('Master Tracker'!$T$6:$T$400,$S56)))</f>
        <v>Not Tested</v>
      </c>
      <c r="P56" s="7" t="str">
        <f ca="1">IF($S56="","",IF(INDEX('Master Tracker'!$AC$6:$AC$400,$S56)="","",INDEX('Master Tracker'!$AC$6:$AC$400,$S56)))</f>
        <v>External req.</v>
      </c>
      <c r="S56">
        <f>IFERROR(MATCH("Phase 6|"&amp;A56,'Master Tracker'!$Z$6:$Z$400,0),"")</f>
        <v>109</v>
      </c>
    </row>
    <row r="57" spans="1:19" ht="48" customHeight="1" x14ac:dyDescent="0.3">
      <c r="A57" s="7">
        <v>21</v>
      </c>
      <c r="B57" s="51" t="str">
        <f>IF($S57="","",IF(INDEX('Master Tracker'!$A$6:$A$400,$S57)="","",INDEX('Master Tracker'!$A$6:$A$400,$S57)))</f>
        <v>P6-21</v>
      </c>
      <c r="C57" s="52" t="str">
        <f>IF($S57="","",IF(INDEX('Master Tracker'!$C$6:$C$400,$S57)="","",INDEX('Master Tracker'!$C$6:$C$400,$S57)))</f>
        <v>Cutover</v>
      </c>
      <c r="D57" s="52" t="str">
        <f>IF($S57="","",IF(INDEX('Master Tracker'!$D$6:$D$400,$S57)="","",INDEX('Master Tracker'!$D$6:$D$400,$S57)))</f>
        <v>Production cutover</v>
      </c>
      <c r="E57" s="7" t="str">
        <f>IF($S57="","",IF(INDEX('Master Tracker'!$F$6:$F$400,$S57)="","",INDEX('Master Tracker'!$F$6:$F$400,$S57)))</f>
        <v>P0</v>
      </c>
      <c r="F57" s="7" t="str">
        <f>IF($S57="","",IF(INDEX('Master Tracker'!$G$6:$G$400,$S57)="","",INDEX('Master Tracker'!$G$6:$G$400,$S57)))</f>
        <v>Not Started</v>
      </c>
      <c r="G57" s="19">
        <f>IF($S57="","",IF(INDEX('Master Tracker'!$H$6:$H$400,$S57)="","",INDEX('Master Tracker'!$H$6:$H$400,$S57)))</f>
        <v>46327</v>
      </c>
      <c r="H57" s="19">
        <f>IF($S57="","",IF(INDEX('Master Tracker'!$I$6:$I$400,$S57)="","",INDEX('Master Tracker'!$I$6:$I$400,$S57)))</f>
        <v>46327</v>
      </c>
      <c r="I57" s="53">
        <f>IF($S57="","",IF(INDEX('Master Tracker'!$U$6:$U$400,$S57)="","",INDEX('Master Tracker'!$U$6:$U$400,$S57)))</f>
        <v>0</v>
      </c>
      <c r="J57" s="52" t="str">
        <f>IF($S57="","",IF(INDEX('Master Tracker'!$K$6:$K$400,$S57)="","",INDEX('Master Tracker'!$K$6:$K$400,$S57)))</f>
        <v>P6-18, P6-19, P6-20</v>
      </c>
      <c r="K57" s="52" t="str">
        <f>IF($S57="","",IF(INDEX('Master Tracker'!$Y$6:$Y$400,$S57)="","",INDEX('Master Tracker'!$Y$6:$Y$400,$S57)))</f>
        <v>⏳ 3 open</v>
      </c>
      <c r="L57" s="52" t="str">
        <f>IF($S57="","",IF(INDEX('Master Tracker'!$M$6:$M$400,$S57)="","",INDEX('Master Tracker'!$M$6:$M$400,$S57)))</f>
        <v>theme package, settings exports</v>
      </c>
      <c r="M57" s="52" t="str">
        <f>IF($S57="","",IF(INDEX('Master Tracker'!$O$6:$O$400,$S57)="","",INDEX('Master Tracker'!$O$6:$O$400,$S57)))</f>
        <v>New site live on production with no data loss</v>
      </c>
      <c r="N57" s="52" t="str">
        <f>IF($S57="","",IF(INDEX('Master Tracker'!$N$6:$N$400,$S57)="","",INDEX('Master Tracker'!$N$6:$N$400,$S57)))</f>
        <v>Follow Deployment sheet stages 5–7</v>
      </c>
      <c r="O57" s="7" t="str">
        <f>IF($S57="","",IF(INDEX('Master Tracker'!$T$6:$T$400,$S57)="","",INDEX('Master Tracker'!$T$6:$T$400,$S57)))</f>
        <v>Not Tested</v>
      </c>
      <c r="P57" s="7" t="str">
        <f ca="1">IF($S57="","",IF(INDEX('Master Tracker'!$AC$6:$AC$400,$S57)="","",INDEX('Master Tracker'!$AC$6:$AC$400,$S57)))</f>
        <v>External req.</v>
      </c>
      <c r="S57">
        <f>IFERROR(MATCH("Phase 6|"&amp;A57,'Master Tracker'!$Z$6:$Z$400,0),"")</f>
        <v>110</v>
      </c>
    </row>
    <row r="58" spans="1:19" ht="48" customHeight="1" x14ac:dyDescent="0.3">
      <c r="A58" s="7">
        <v>22</v>
      </c>
      <c r="B58" s="51" t="str">
        <f>IF($S58="","",IF(INDEX('Master Tracker'!$A$6:$A$400,$S58)="","",INDEX('Master Tracker'!$A$6:$A$400,$S58)))</f>
        <v>P6-22</v>
      </c>
      <c r="C58" s="52" t="str">
        <f>IF($S58="","",IF(INDEX('Master Tracker'!$C$6:$C$400,$S58)="","",INDEX('Master Tracker'!$C$6:$C$400,$S58)))</f>
        <v>Post-launch</v>
      </c>
      <c r="D58" s="52" t="str">
        <f>IF($S58="","",IF(INDEX('Master Tracker'!$D$6:$D$400,$S58)="","",INDEX('Master Tracker'!$D$6:$D$400,$S58)))</f>
        <v>Post-launch verification &amp; monitoring</v>
      </c>
      <c r="E58" s="7" t="str">
        <f>IF($S58="","",IF(INDEX('Master Tracker'!$F$6:$F$400,$S58)="","",INDEX('Master Tracker'!$F$6:$F$400,$S58)))</f>
        <v>P0</v>
      </c>
      <c r="F58" s="7" t="str">
        <f>IF($S58="","",IF(INDEX('Master Tracker'!$G$6:$G$400,$S58)="","",INDEX('Master Tracker'!$G$6:$G$400,$S58)))</f>
        <v>Not Started</v>
      </c>
      <c r="G58" s="19">
        <f>IF($S58="","",IF(INDEX('Master Tracker'!$H$6:$H$400,$S58)="","",INDEX('Master Tracker'!$H$6:$H$400,$S58)))</f>
        <v>46327</v>
      </c>
      <c r="H58" s="19">
        <f>IF($S58="","",IF(INDEX('Master Tracker'!$I$6:$I$400,$S58)="","",INDEX('Master Tracker'!$I$6:$I$400,$S58)))</f>
        <v>46327</v>
      </c>
      <c r="I58" s="53">
        <f>IF($S58="","",IF(INDEX('Master Tracker'!$U$6:$U$400,$S58)="","",INDEX('Master Tracker'!$U$6:$U$400,$S58)))</f>
        <v>0</v>
      </c>
      <c r="J58" s="52" t="str">
        <f>IF($S58="","",IF(INDEX('Master Tracker'!$K$6:$K$400,$S58)="","",INDEX('Master Tracker'!$K$6:$K$400,$S58)))</f>
        <v>P6-21</v>
      </c>
      <c r="K58" s="52" t="str">
        <f>IF($S58="","",IF(INDEX('Master Tracker'!$Y$6:$Y$400,$S58)="","",INDEX('Master Tracker'!$Y$6:$Y$400,$S58)))</f>
        <v>⏳ 1 open</v>
      </c>
      <c r="L58" s="52" t="str">
        <f>IF($S58="","",IF(INDEX('Master Tracker'!$M$6:$M$400,$S58)="","",INDEX('Master Tracker'!$M$6:$M$400,$S58)))</f>
        <v>debug.log, Search Console</v>
      </c>
      <c r="M58" s="52" t="str">
        <f>IF($S58="","",IF(INDEX('Master Tracker'!$O$6:$O$400,$S58)="","",INDEX('Master Tracker'!$O$6:$O$400,$S58)))</f>
        <v>No critical issues in first 48 h</v>
      </c>
      <c r="N58" s="52" t="str">
        <f>IF($S58="","",IF(INDEX('Master Tracker'!$N$6:$N$400,$S58)="","",INDEX('Master Tracker'!$N$6:$N$400,$S58)))</f>
        <v>Deployment sheet stage 8–9</v>
      </c>
      <c r="O58" s="7" t="str">
        <f>IF($S58="","",IF(INDEX('Master Tracker'!$T$6:$T$400,$S58)="","",INDEX('Master Tracker'!$T$6:$T$400,$S58)))</f>
        <v>Not Tested</v>
      </c>
      <c r="P58" s="7" t="str">
        <f ca="1">IF($S58="","",IF(INDEX('Master Tracker'!$AC$6:$AC$400,$S58)="","",INDEX('Master Tracker'!$AC$6:$AC$400,$S58)))</f>
        <v>On track</v>
      </c>
      <c r="S58">
        <f>IFERROR(MATCH("Phase 6|"&amp;A58,'Master Tracker'!$Z$6:$Z$400,0),"")</f>
        <v>111</v>
      </c>
    </row>
    <row r="59" spans="1:19" ht="15" customHeight="1" x14ac:dyDescent="0.3">
      <c r="A59" s="7">
        <v>23</v>
      </c>
      <c r="B59" s="51" t="str">
        <f>IF($S59="","",IF(INDEX('Master Tracker'!$A$6:$A$400,$S59)="","",INDEX('Master Tracker'!$A$6:$A$400,$S59)))</f>
        <v/>
      </c>
      <c r="C59" s="52" t="str">
        <f>IF($S59="","",IF(INDEX('Master Tracker'!$C$6:$C$400,$S59)="","",INDEX('Master Tracker'!$C$6:$C$400,$S59)))</f>
        <v/>
      </c>
      <c r="D59" s="52" t="str">
        <f>IF($S59="","",IF(INDEX('Master Tracker'!$D$6:$D$400,$S59)="","",INDEX('Master Tracker'!$D$6:$D$400,$S59)))</f>
        <v/>
      </c>
      <c r="E59" s="7" t="str">
        <f>IF($S59="","",IF(INDEX('Master Tracker'!$F$6:$F$400,$S59)="","",INDEX('Master Tracker'!$F$6:$F$400,$S59)))</f>
        <v/>
      </c>
      <c r="F59" s="7" t="str">
        <f>IF($S59="","",IF(INDEX('Master Tracker'!$G$6:$G$400,$S59)="","",INDEX('Master Tracker'!$G$6:$G$400,$S59)))</f>
        <v/>
      </c>
      <c r="G59" s="19" t="str">
        <f>IF($S59="","",IF(INDEX('Master Tracker'!$H$6:$H$400,$S59)="","",INDEX('Master Tracker'!$H$6:$H$400,$S59)))</f>
        <v/>
      </c>
      <c r="H59" s="19" t="str">
        <f>IF($S59="","",IF(INDEX('Master Tracker'!$I$6:$I$400,$S59)="","",INDEX('Master Tracker'!$I$6:$I$400,$S59)))</f>
        <v/>
      </c>
      <c r="I59" s="53" t="str">
        <f>IF($S59="","",IF(INDEX('Master Tracker'!$U$6:$U$400,$S59)="","",INDEX('Master Tracker'!$U$6:$U$400,$S59)))</f>
        <v/>
      </c>
      <c r="J59" s="52" t="str">
        <f>IF($S59="","",IF(INDEX('Master Tracker'!$K$6:$K$400,$S59)="","",INDEX('Master Tracker'!$K$6:$K$400,$S59)))</f>
        <v/>
      </c>
      <c r="K59" s="52" t="str">
        <f>IF($S59="","",IF(INDEX('Master Tracker'!$Y$6:$Y$400,$S59)="","",INDEX('Master Tracker'!$Y$6:$Y$400,$S59)))</f>
        <v/>
      </c>
      <c r="L59" s="52" t="str">
        <f>IF($S59="","",IF(INDEX('Master Tracker'!$M$6:$M$400,$S59)="","",INDEX('Master Tracker'!$M$6:$M$400,$S59)))</f>
        <v/>
      </c>
      <c r="M59" s="52" t="str">
        <f>IF($S59="","",IF(INDEX('Master Tracker'!$O$6:$O$400,$S59)="","",INDEX('Master Tracker'!$O$6:$O$400,$S59)))</f>
        <v/>
      </c>
      <c r="N59" s="52" t="str">
        <f>IF($S59="","",IF(INDEX('Master Tracker'!$N$6:$N$400,$S59)="","",INDEX('Master Tracker'!$N$6:$N$400,$S59)))</f>
        <v/>
      </c>
      <c r="O59" s="7" t="str">
        <f>IF($S59="","",IF(INDEX('Master Tracker'!$T$6:$T$400,$S59)="","",INDEX('Master Tracker'!$T$6:$T$400,$S59)))</f>
        <v/>
      </c>
      <c r="P59" s="7" t="str">
        <f>IF($S59="","",IF(INDEX('Master Tracker'!$AC$6:$AC$400,$S59)="","",INDEX('Master Tracker'!$AC$6:$AC$400,$S59)))</f>
        <v/>
      </c>
      <c r="S59" t="str">
        <f>IFERROR(MATCH("Phase 6|"&amp;A59,'Master Tracker'!$Z$6:$Z$400,0),"")</f>
        <v/>
      </c>
    </row>
    <row r="60" spans="1:19" ht="15" customHeight="1" x14ac:dyDescent="0.3">
      <c r="A60" s="7">
        <v>24</v>
      </c>
      <c r="B60" s="51" t="str">
        <f>IF($S60="","",IF(INDEX('Master Tracker'!$A$6:$A$400,$S60)="","",INDEX('Master Tracker'!$A$6:$A$400,$S60)))</f>
        <v/>
      </c>
      <c r="C60" s="52" t="str">
        <f>IF($S60="","",IF(INDEX('Master Tracker'!$C$6:$C$400,$S60)="","",INDEX('Master Tracker'!$C$6:$C$400,$S60)))</f>
        <v/>
      </c>
      <c r="D60" s="52" t="str">
        <f>IF($S60="","",IF(INDEX('Master Tracker'!$D$6:$D$400,$S60)="","",INDEX('Master Tracker'!$D$6:$D$400,$S60)))</f>
        <v/>
      </c>
      <c r="E60" s="7" t="str">
        <f>IF($S60="","",IF(INDEX('Master Tracker'!$F$6:$F$400,$S60)="","",INDEX('Master Tracker'!$F$6:$F$400,$S60)))</f>
        <v/>
      </c>
      <c r="F60" s="7" t="str">
        <f>IF($S60="","",IF(INDEX('Master Tracker'!$G$6:$G$400,$S60)="","",INDEX('Master Tracker'!$G$6:$G$400,$S60)))</f>
        <v/>
      </c>
      <c r="G60" s="19" t="str">
        <f>IF($S60="","",IF(INDEX('Master Tracker'!$H$6:$H$400,$S60)="","",INDEX('Master Tracker'!$H$6:$H$400,$S60)))</f>
        <v/>
      </c>
      <c r="H60" s="19" t="str">
        <f>IF($S60="","",IF(INDEX('Master Tracker'!$I$6:$I$400,$S60)="","",INDEX('Master Tracker'!$I$6:$I$400,$S60)))</f>
        <v/>
      </c>
      <c r="I60" s="53" t="str">
        <f>IF($S60="","",IF(INDEX('Master Tracker'!$U$6:$U$400,$S60)="","",INDEX('Master Tracker'!$U$6:$U$400,$S60)))</f>
        <v/>
      </c>
      <c r="J60" s="52" t="str">
        <f>IF($S60="","",IF(INDEX('Master Tracker'!$K$6:$K$400,$S60)="","",INDEX('Master Tracker'!$K$6:$K$400,$S60)))</f>
        <v/>
      </c>
      <c r="K60" s="52" t="str">
        <f>IF($S60="","",IF(INDEX('Master Tracker'!$Y$6:$Y$400,$S60)="","",INDEX('Master Tracker'!$Y$6:$Y$400,$S60)))</f>
        <v/>
      </c>
      <c r="L60" s="52" t="str">
        <f>IF($S60="","",IF(INDEX('Master Tracker'!$M$6:$M$400,$S60)="","",INDEX('Master Tracker'!$M$6:$M$400,$S60)))</f>
        <v/>
      </c>
      <c r="M60" s="52" t="str">
        <f>IF($S60="","",IF(INDEX('Master Tracker'!$O$6:$O$400,$S60)="","",INDEX('Master Tracker'!$O$6:$O$400,$S60)))</f>
        <v/>
      </c>
      <c r="N60" s="52" t="str">
        <f>IF($S60="","",IF(INDEX('Master Tracker'!$N$6:$N$400,$S60)="","",INDEX('Master Tracker'!$N$6:$N$400,$S60)))</f>
        <v/>
      </c>
      <c r="O60" s="7" t="str">
        <f>IF($S60="","",IF(INDEX('Master Tracker'!$T$6:$T$400,$S60)="","",INDEX('Master Tracker'!$T$6:$T$400,$S60)))</f>
        <v/>
      </c>
      <c r="P60" s="7" t="str">
        <f>IF($S60="","",IF(INDEX('Master Tracker'!$AC$6:$AC$400,$S60)="","",INDEX('Master Tracker'!$AC$6:$AC$400,$S60)))</f>
        <v/>
      </c>
      <c r="S60" t="str">
        <f>IFERROR(MATCH("Phase 6|"&amp;A60,'Master Tracker'!$Z$6:$Z$400,0),"")</f>
        <v/>
      </c>
    </row>
    <row r="61" spans="1:19" ht="15" customHeight="1" x14ac:dyDescent="0.3">
      <c r="A61" s="7">
        <v>25</v>
      </c>
      <c r="B61" s="51" t="str">
        <f>IF($S61="","",IF(INDEX('Master Tracker'!$A$6:$A$400,$S61)="","",INDEX('Master Tracker'!$A$6:$A$400,$S61)))</f>
        <v/>
      </c>
      <c r="C61" s="52" t="str">
        <f>IF($S61="","",IF(INDEX('Master Tracker'!$C$6:$C$400,$S61)="","",INDEX('Master Tracker'!$C$6:$C$400,$S61)))</f>
        <v/>
      </c>
      <c r="D61" s="52" t="str">
        <f>IF($S61="","",IF(INDEX('Master Tracker'!$D$6:$D$400,$S61)="","",INDEX('Master Tracker'!$D$6:$D$400,$S61)))</f>
        <v/>
      </c>
      <c r="E61" s="7" t="str">
        <f>IF($S61="","",IF(INDEX('Master Tracker'!$F$6:$F$400,$S61)="","",INDEX('Master Tracker'!$F$6:$F$400,$S61)))</f>
        <v/>
      </c>
      <c r="F61" s="7" t="str">
        <f>IF($S61="","",IF(INDEX('Master Tracker'!$G$6:$G$400,$S61)="","",INDEX('Master Tracker'!$G$6:$G$400,$S61)))</f>
        <v/>
      </c>
      <c r="G61" s="19" t="str">
        <f>IF($S61="","",IF(INDEX('Master Tracker'!$H$6:$H$400,$S61)="","",INDEX('Master Tracker'!$H$6:$H$400,$S61)))</f>
        <v/>
      </c>
      <c r="H61" s="19" t="str">
        <f>IF($S61="","",IF(INDEX('Master Tracker'!$I$6:$I$400,$S61)="","",INDEX('Master Tracker'!$I$6:$I$400,$S61)))</f>
        <v/>
      </c>
      <c r="I61" s="53" t="str">
        <f>IF($S61="","",IF(INDEX('Master Tracker'!$U$6:$U$400,$S61)="","",INDEX('Master Tracker'!$U$6:$U$400,$S61)))</f>
        <v/>
      </c>
      <c r="J61" s="52" t="str">
        <f>IF($S61="","",IF(INDEX('Master Tracker'!$K$6:$K$400,$S61)="","",INDEX('Master Tracker'!$K$6:$K$400,$S61)))</f>
        <v/>
      </c>
      <c r="K61" s="52" t="str">
        <f>IF($S61="","",IF(INDEX('Master Tracker'!$Y$6:$Y$400,$S61)="","",INDEX('Master Tracker'!$Y$6:$Y$400,$S61)))</f>
        <v/>
      </c>
      <c r="L61" s="52" t="str">
        <f>IF($S61="","",IF(INDEX('Master Tracker'!$M$6:$M$400,$S61)="","",INDEX('Master Tracker'!$M$6:$M$400,$S61)))</f>
        <v/>
      </c>
      <c r="M61" s="52" t="str">
        <f>IF($S61="","",IF(INDEX('Master Tracker'!$O$6:$O$400,$S61)="","",INDEX('Master Tracker'!$O$6:$O$400,$S61)))</f>
        <v/>
      </c>
      <c r="N61" s="52" t="str">
        <f>IF($S61="","",IF(INDEX('Master Tracker'!$N$6:$N$400,$S61)="","",INDEX('Master Tracker'!$N$6:$N$400,$S61)))</f>
        <v/>
      </c>
      <c r="O61" s="7" t="str">
        <f>IF($S61="","",IF(INDEX('Master Tracker'!$T$6:$T$400,$S61)="","",INDEX('Master Tracker'!$T$6:$T$400,$S61)))</f>
        <v/>
      </c>
      <c r="P61" s="7" t="str">
        <f>IF($S61="","",IF(INDEX('Master Tracker'!$AC$6:$AC$400,$S61)="","",INDEX('Master Tracker'!$AC$6:$AC$400,$S61)))</f>
        <v/>
      </c>
      <c r="S61" t="str">
        <f>IFERROR(MATCH("Phase 6|"&amp;A61,'Master Tracker'!$Z$6:$Z$400,0),"")</f>
        <v/>
      </c>
    </row>
    <row r="62" spans="1:19" ht="15" customHeight="1" x14ac:dyDescent="0.3">
      <c r="A62" s="7">
        <v>26</v>
      </c>
      <c r="B62" s="51" t="str">
        <f>IF($S62="","",IF(INDEX('Master Tracker'!$A$6:$A$400,$S62)="","",INDEX('Master Tracker'!$A$6:$A$400,$S62)))</f>
        <v/>
      </c>
      <c r="C62" s="52" t="str">
        <f>IF($S62="","",IF(INDEX('Master Tracker'!$C$6:$C$400,$S62)="","",INDEX('Master Tracker'!$C$6:$C$400,$S62)))</f>
        <v/>
      </c>
      <c r="D62" s="52" t="str">
        <f>IF($S62="","",IF(INDEX('Master Tracker'!$D$6:$D$400,$S62)="","",INDEX('Master Tracker'!$D$6:$D$400,$S62)))</f>
        <v/>
      </c>
      <c r="E62" s="7" t="str">
        <f>IF($S62="","",IF(INDEX('Master Tracker'!$F$6:$F$400,$S62)="","",INDEX('Master Tracker'!$F$6:$F$400,$S62)))</f>
        <v/>
      </c>
      <c r="F62" s="7" t="str">
        <f>IF($S62="","",IF(INDEX('Master Tracker'!$G$6:$G$400,$S62)="","",INDEX('Master Tracker'!$G$6:$G$400,$S62)))</f>
        <v/>
      </c>
      <c r="G62" s="19" t="str">
        <f>IF($S62="","",IF(INDEX('Master Tracker'!$H$6:$H$400,$S62)="","",INDEX('Master Tracker'!$H$6:$H$400,$S62)))</f>
        <v/>
      </c>
      <c r="H62" s="19" t="str">
        <f>IF($S62="","",IF(INDEX('Master Tracker'!$I$6:$I$400,$S62)="","",INDEX('Master Tracker'!$I$6:$I$400,$S62)))</f>
        <v/>
      </c>
      <c r="I62" s="53" t="str">
        <f>IF($S62="","",IF(INDEX('Master Tracker'!$U$6:$U$400,$S62)="","",INDEX('Master Tracker'!$U$6:$U$400,$S62)))</f>
        <v/>
      </c>
      <c r="J62" s="52" t="str">
        <f>IF($S62="","",IF(INDEX('Master Tracker'!$K$6:$K$400,$S62)="","",INDEX('Master Tracker'!$K$6:$K$400,$S62)))</f>
        <v/>
      </c>
      <c r="K62" s="52" t="str">
        <f>IF($S62="","",IF(INDEX('Master Tracker'!$Y$6:$Y$400,$S62)="","",INDEX('Master Tracker'!$Y$6:$Y$400,$S62)))</f>
        <v/>
      </c>
      <c r="L62" s="52" t="str">
        <f>IF($S62="","",IF(INDEX('Master Tracker'!$M$6:$M$400,$S62)="","",INDEX('Master Tracker'!$M$6:$M$400,$S62)))</f>
        <v/>
      </c>
      <c r="M62" s="52" t="str">
        <f>IF($S62="","",IF(INDEX('Master Tracker'!$O$6:$O$400,$S62)="","",INDEX('Master Tracker'!$O$6:$O$400,$S62)))</f>
        <v/>
      </c>
      <c r="N62" s="52" t="str">
        <f>IF($S62="","",IF(INDEX('Master Tracker'!$N$6:$N$400,$S62)="","",INDEX('Master Tracker'!$N$6:$N$400,$S62)))</f>
        <v/>
      </c>
      <c r="O62" s="7" t="str">
        <f>IF($S62="","",IF(INDEX('Master Tracker'!$T$6:$T$400,$S62)="","",INDEX('Master Tracker'!$T$6:$T$400,$S62)))</f>
        <v/>
      </c>
      <c r="P62" s="7" t="str">
        <f>IF($S62="","",IF(INDEX('Master Tracker'!$AC$6:$AC$400,$S62)="","",INDEX('Master Tracker'!$AC$6:$AC$400,$S62)))</f>
        <v/>
      </c>
      <c r="S62" t="str">
        <f>IFERROR(MATCH("Phase 6|"&amp;A62,'Master Tracker'!$Z$6:$Z$400,0),"")</f>
        <v/>
      </c>
    </row>
    <row r="63" spans="1:19" ht="15" customHeight="1" x14ac:dyDescent="0.3">
      <c r="A63" s="7">
        <v>27</v>
      </c>
      <c r="B63" s="51" t="str">
        <f>IF($S63="","",IF(INDEX('Master Tracker'!$A$6:$A$400,$S63)="","",INDEX('Master Tracker'!$A$6:$A$400,$S63)))</f>
        <v/>
      </c>
      <c r="C63" s="52" t="str">
        <f>IF($S63="","",IF(INDEX('Master Tracker'!$C$6:$C$400,$S63)="","",INDEX('Master Tracker'!$C$6:$C$400,$S63)))</f>
        <v/>
      </c>
      <c r="D63" s="52" t="str">
        <f>IF($S63="","",IF(INDEX('Master Tracker'!$D$6:$D$400,$S63)="","",INDEX('Master Tracker'!$D$6:$D$400,$S63)))</f>
        <v/>
      </c>
      <c r="E63" s="7" t="str">
        <f>IF($S63="","",IF(INDEX('Master Tracker'!$F$6:$F$400,$S63)="","",INDEX('Master Tracker'!$F$6:$F$400,$S63)))</f>
        <v/>
      </c>
      <c r="F63" s="7" t="str">
        <f>IF($S63="","",IF(INDEX('Master Tracker'!$G$6:$G$400,$S63)="","",INDEX('Master Tracker'!$G$6:$G$400,$S63)))</f>
        <v/>
      </c>
      <c r="G63" s="19" t="str">
        <f>IF($S63="","",IF(INDEX('Master Tracker'!$H$6:$H$400,$S63)="","",INDEX('Master Tracker'!$H$6:$H$400,$S63)))</f>
        <v/>
      </c>
      <c r="H63" s="19" t="str">
        <f>IF($S63="","",IF(INDEX('Master Tracker'!$I$6:$I$400,$S63)="","",INDEX('Master Tracker'!$I$6:$I$400,$S63)))</f>
        <v/>
      </c>
      <c r="I63" s="53" t="str">
        <f>IF($S63="","",IF(INDEX('Master Tracker'!$U$6:$U$400,$S63)="","",INDEX('Master Tracker'!$U$6:$U$400,$S63)))</f>
        <v/>
      </c>
      <c r="J63" s="52" t="str">
        <f>IF($S63="","",IF(INDEX('Master Tracker'!$K$6:$K$400,$S63)="","",INDEX('Master Tracker'!$K$6:$K$400,$S63)))</f>
        <v/>
      </c>
      <c r="K63" s="52" t="str">
        <f>IF($S63="","",IF(INDEX('Master Tracker'!$Y$6:$Y$400,$S63)="","",INDEX('Master Tracker'!$Y$6:$Y$400,$S63)))</f>
        <v/>
      </c>
      <c r="L63" s="52" t="str">
        <f>IF($S63="","",IF(INDEX('Master Tracker'!$M$6:$M$400,$S63)="","",INDEX('Master Tracker'!$M$6:$M$400,$S63)))</f>
        <v/>
      </c>
      <c r="M63" s="52" t="str">
        <f>IF($S63="","",IF(INDEX('Master Tracker'!$O$6:$O$400,$S63)="","",INDEX('Master Tracker'!$O$6:$O$400,$S63)))</f>
        <v/>
      </c>
      <c r="N63" s="52" t="str">
        <f>IF($S63="","",IF(INDEX('Master Tracker'!$N$6:$N$400,$S63)="","",INDEX('Master Tracker'!$N$6:$N$400,$S63)))</f>
        <v/>
      </c>
      <c r="O63" s="7" t="str">
        <f>IF($S63="","",IF(INDEX('Master Tracker'!$T$6:$T$400,$S63)="","",INDEX('Master Tracker'!$T$6:$T$400,$S63)))</f>
        <v/>
      </c>
      <c r="P63" s="7" t="str">
        <f>IF($S63="","",IF(INDEX('Master Tracker'!$AC$6:$AC$400,$S63)="","",INDEX('Master Tracker'!$AC$6:$AC$400,$S63)))</f>
        <v/>
      </c>
      <c r="S63" t="str">
        <f>IFERROR(MATCH("Phase 6|"&amp;A63,'Master Tracker'!$Z$6:$Z$400,0),"")</f>
        <v/>
      </c>
    </row>
    <row r="64" spans="1:19" ht="15" customHeight="1" x14ac:dyDescent="0.3">
      <c r="A64" s="7">
        <v>28</v>
      </c>
      <c r="B64" s="51" t="str">
        <f>IF($S64="","",IF(INDEX('Master Tracker'!$A$6:$A$400,$S64)="","",INDEX('Master Tracker'!$A$6:$A$400,$S64)))</f>
        <v/>
      </c>
      <c r="C64" s="52" t="str">
        <f>IF($S64="","",IF(INDEX('Master Tracker'!$C$6:$C$400,$S64)="","",INDEX('Master Tracker'!$C$6:$C$400,$S64)))</f>
        <v/>
      </c>
      <c r="D64" s="52" t="str">
        <f>IF($S64="","",IF(INDEX('Master Tracker'!$D$6:$D$400,$S64)="","",INDEX('Master Tracker'!$D$6:$D$400,$S64)))</f>
        <v/>
      </c>
      <c r="E64" s="7" t="str">
        <f>IF($S64="","",IF(INDEX('Master Tracker'!$F$6:$F$400,$S64)="","",INDEX('Master Tracker'!$F$6:$F$400,$S64)))</f>
        <v/>
      </c>
      <c r="F64" s="7" t="str">
        <f>IF($S64="","",IF(INDEX('Master Tracker'!$G$6:$G$400,$S64)="","",INDEX('Master Tracker'!$G$6:$G$400,$S64)))</f>
        <v/>
      </c>
      <c r="G64" s="19" t="str">
        <f>IF($S64="","",IF(INDEX('Master Tracker'!$H$6:$H$400,$S64)="","",INDEX('Master Tracker'!$H$6:$H$400,$S64)))</f>
        <v/>
      </c>
      <c r="H64" s="19" t="str">
        <f>IF($S64="","",IF(INDEX('Master Tracker'!$I$6:$I$400,$S64)="","",INDEX('Master Tracker'!$I$6:$I$400,$S64)))</f>
        <v/>
      </c>
      <c r="I64" s="53" t="str">
        <f>IF($S64="","",IF(INDEX('Master Tracker'!$U$6:$U$400,$S64)="","",INDEX('Master Tracker'!$U$6:$U$400,$S64)))</f>
        <v/>
      </c>
      <c r="J64" s="52" t="str">
        <f>IF($S64="","",IF(INDEX('Master Tracker'!$K$6:$K$400,$S64)="","",INDEX('Master Tracker'!$K$6:$K$400,$S64)))</f>
        <v/>
      </c>
      <c r="K64" s="52" t="str">
        <f>IF($S64="","",IF(INDEX('Master Tracker'!$Y$6:$Y$400,$S64)="","",INDEX('Master Tracker'!$Y$6:$Y$400,$S64)))</f>
        <v/>
      </c>
      <c r="L64" s="52" t="str">
        <f>IF($S64="","",IF(INDEX('Master Tracker'!$M$6:$M$400,$S64)="","",INDEX('Master Tracker'!$M$6:$M$400,$S64)))</f>
        <v/>
      </c>
      <c r="M64" s="52" t="str">
        <f>IF($S64="","",IF(INDEX('Master Tracker'!$O$6:$O$400,$S64)="","",INDEX('Master Tracker'!$O$6:$O$400,$S64)))</f>
        <v/>
      </c>
      <c r="N64" s="52" t="str">
        <f>IF($S64="","",IF(INDEX('Master Tracker'!$N$6:$N$400,$S64)="","",INDEX('Master Tracker'!$N$6:$N$400,$S64)))</f>
        <v/>
      </c>
      <c r="O64" s="7" t="str">
        <f>IF($S64="","",IF(INDEX('Master Tracker'!$T$6:$T$400,$S64)="","",INDEX('Master Tracker'!$T$6:$T$400,$S64)))</f>
        <v/>
      </c>
      <c r="P64" s="7" t="str">
        <f>IF($S64="","",IF(INDEX('Master Tracker'!$AC$6:$AC$400,$S64)="","",INDEX('Master Tracker'!$AC$6:$AC$400,$S64)))</f>
        <v/>
      </c>
      <c r="S64" t="str">
        <f>IFERROR(MATCH("Phase 6|"&amp;A64,'Master Tracker'!$Z$6:$Z$400,0),"")</f>
        <v/>
      </c>
    </row>
    <row r="65" spans="1:19" ht="15" customHeight="1" x14ac:dyDescent="0.3">
      <c r="A65" s="7">
        <v>29</v>
      </c>
      <c r="B65" s="51" t="str">
        <f>IF($S65="","",IF(INDEX('Master Tracker'!$A$6:$A$400,$S65)="","",INDEX('Master Tracker'!$A$6:$A$400,$S65)))</f>
        <v/>
      </c>
      <c r="C65" s="52" t="str">
        <f>IF($S65="","",IF(INDEX('Master Tracker'!$C$6:$C$400,$S65)="","",INDEX('Master Tracker'!$C$6:$C$400,$S65)))</f>
        <v/>
      </c>
      <c r="D65" s="52" t="str">
        <f>IF($S65="","",IF(INDEX('Master Tracker'!$D$6:$D$400,$S65)="","",INDEX('Master Tracker'!$D$6:$D$400,$S65)))</f>
        <v/>
      </c>
      <c r="E65" s="7" t="str">
        <f>IF($S65="","",IF(INDEX('Master Tracker'!$F$6:$F$400,$S65)="","",INDEX('Master Tracker'!$F$6:$F$400,$S65)))</f>
        <v/>
      </c>
      <c r="F65" s="7" t="str">
        <f>IF($S65="","",IF(INDEX('Master Tracker'!$G$6:$G$400,$S65)="","",INDEX('Master Tracker'!$G$6:$G$400,$S65)))</f>
        <v/>
      </c>
      <c r="G65" s="19" t="str">
        <f>IF($S65="","",IF(INDEX('Master Tracker'!$H$6:$H$400,$S65)="","",INDEX('Master Tracker'!$H$6:$H$400,$S65)))</f>
        <v/>
      </c>
      <c r="H65" s="19" t="str">
        <f>IF($S65="","",IF(INDEX('Master Tracker'!$I$6:$I$400,$S65)="","",INDEX('Master Tracker'!$I$6:$I$400,$S65)))</f>
        <v/>
      </c>
      <c r="I65" s="53" t="str">
        <f>IF($S65="","",IF(INDEX('Master Tracker'!$U$6:$U$400,$S65)="","",INDEX('Master Tracker'!$U$6:$U$400,$S65)))</f>
        <v/>
      </c>
      <c r="J65" s="52" t="str">
        <f>IF($S65="","",IF(INDEX('Master Tracker'!$K$6:$K$400,$S65)="","",INDEX('Master Tracker'!$K$6:$K$400,$S65)))</f>
        <v/>
      </c>
      <c r="K65" s="52" t="str">
        <f>IF($S65="","",IF(INDEX('Master Tracker'!$Y$6:$Y$400,$S65)="","",INDEX('Master Tracker'!$Y$6:$Y$400,$S65)))</f>
        <v/>
      </c>
      <c r="L65" s="52" t="str">
        <f>IF($S65="","",IF(INDEX('Master Tracker'!$M$6:$M$400,$S65)="","",INDEX('Master Tracker'!$M$6:$M$400,$S65)))</f>
        <v/>
      </c>
      <c r="M65" s="52" t="str">
        <f>IF($S65="","",IF(INDEX('Master Tracker'!$O$6:$O$400,$S65)="","",INDEX('Master Tracker'!$O$6:$O$400,$S65)))</f>
        <v/>
      </c>
      <c r="N65" s="52" t="str">
        <f>IF($S65="","",IF(INDEX('Master Tracker'!$N$6:$N$400,$S65)="","",INDEX('Master Tracker'!$N$6:$N$400,$S65)))</f>
        <v/>
      </c>
      <c r="O65" s="7" t="str">
        <f>IF($S65="","",IF(INDEX('Master Tracker'!$T$6:$T$400,$S65)="","",INDEX('Master Tracker'!$T$6:$T$400,$S65)))</f>
        <v/>
      </c>
      <c r="P65" s="7" t="str">
        <f>IF($S65="","",IF(INDEX('Master Tracker'!$AC$6:$AC$400,$S65)="","",INDEX('Master Tracker'!$AC$6:$AC$400,$S65)))</f>
        <v/>
      </c>
      <c r="S65" t="str">
        <f>IFERROR(MATCH("Phase 6|"&amp;A65,'Master Tracker'!$Z$6:$Z$400,0),"")</f>
        <v/>
      </c>
    </row>
    <row r="66" spans="1:19" ht="15" customHeight="1" x14ac:dyDescent="0.3">
      <c r="A66" s="7">
        <v>30</v>
      </c>
      <c r="B66" s="51" t="str">
        <f>IF($S66="","",IF(INDEX('Master Tracker'!$A$6:$A$400,$S66)="","",INDEX('Master Tracker'!$A$6:$A$400,$S66)))</f>
        <v/>
      </c>
      <c r="C66" s="52" t="str">
        <f>IF($S66="","",IF(INDEX('Master Tracker'!$C$6:$C$400,$S66)="","",INDEX('Master Tracker'!$C$6:$C$400,$S66)))</f>
        <v/>
      </c>
      <c r="D66" s="52" t="str">
        <f>IF($S66="","",IF(INDEX('Master Tracker'!$D$6:$D$400,$S66)="","",INDEX('Master Tracker'!$D$6:$D$400,$S66)))</f>
        <v/>
      </c>
      <c r="E66" s="7" t="str">
        <f>IF($S66="","",IF(INDEX('Master Tracker'!$F$6:$F$400,$S66)="","",INDEX('Master Tracker'!$F$6:$F$400,$S66)))</f>
        <v/>
      </c>
      <c r="F66" s="7" t="str">
        <f>IF($S66="","",IF(INDEX('Master Tracker'!$G$6:$G$400,$S66)="","",INDEX('Master Tracker'!$G$6:$G$400,$S66)))</f>
        <v/>
      </c>
      <c r="G66" s="19" t="str">
        <f>IF($S66="","",IF(INDEX('Master Tracker'!$H$6:$H$400,$S66)="","",INDEX('Master Tracker'!$H$6:$H$400,$S66)))</f>
        <v/>
      </c>
      <c r="H66" s="19" t="str">
        <f>IF($S66="","",IF(INDEX('Master Tracker'!$I$6:$I$400,$S66)="","",INDEX('Master Tracker'!$I$6:$I$400,$S66)))</f>
        <v/>
      </c>
      <c r="I66" s="53" t="str">
        <f>IF($S66="","",IF(INDEX('Master Tracker'!$U$6:$U$400,$S66)="","",INDEX('Master Tracker'!$U$6:$U$400,$S66)))</f>
        <v/>
      </c>
      <c r="J66" s="52" t="str">
        <f>IF($S66="","",IF(INDEX('Master Tracker'!$K$6:$K$400,$S66)="","",INDEX('Master Tracker'!$K$6:$K$400,$S66)))</f>
        <v/>
      </c>
      <c r="K66" s="52" t="str">
        <f>IF($S66="","",IF(INDEX('Master Tracker'!$Y$6:$Y$400,$S66)="","",INDEX('Master Tracker'!$Y$6:$Y$400,$S66)))</f>
        <v/>
      </c>
      <c r="L66" s="52" t="str">
        <f>IF($S66="","",IF(INDEX('Master Tracker'!$M$6:$M$400,$S66)="","",INDEX('Master Tracker'!$M$6:$M$400,$S66)))</f>
        <v/>
      </c>
      <c r="M66" s="52" t="str">
        <f>IF($S66="","",IF(INDEX('Master Tracker'!$O$6:$O$400,$S66)="","",INDEX('Master Tracker'!$O$6:$O$400,$S66)))</f>
        <v/>
      </c>
      <c r="N66" s="52" t="str">
        <f>IF($S66="","",IF(INDEX('Master Tracker'!$N$6:$N$400,$S66)="","",INDEX('Master Tracker'!$N$6:$N$400,$S66)))</f>
        <v/>
      </c>
      <c r="O66" s="7" t="str">
        <f>IF($S66="","",IF(INDEX('Master Tracker'!$T$6:$T$400,$S66)="","",INDEX('Master Tracker'!$T$6:$T$400,$S66)))</f>
        <v/>
      </c>
      <c r="P66" s="7" t="str">
        <f>IF($S66="","",IF(INDEX('Master Tracker'!$AC$6:$AC$400,$S66)="","",INDEX('Master Tracker'!$AC$6:$AC$400,$S66)))</f>
        <v/>
      </c>
      <c r="S66" t="str">
        <f>IFERROR(MATCH("Phase 6|"&amp;A66,'Master Tracker'!$Z$6:$Z$400,0),"")</f>
        <v/>
      </c>
    </row>
  </sheetData>
  <mergeCells count="48">
    <mergeCell ref="A1:R1"/>
    <mergeCell ref="J13:R13"/>
    <mergeCell ref="A19:H19"/>
    <mergeCell ref="B33:R33"/>
    <mergeCell ref="P6:R6"/>
    <mergeCell ref="A2:R2"/>
    <mergeCell ref="A16:H16"/>
    <mergeCell ref="A23:R23"/>
    <mergeCell ref="J21:R21"/>
    <mergeCell ref="A35:R35"/>
    <mergeCell ref="A12:H12"/>
    <mergeCell ref="J12:R12"/>
    <mergeCell ref="A18:H18"/>
    <mergeCell ref="E6:F6"/>
    <mergeCell ref="A21:H21"/>
    <mergeCell ref="P5:R5"/>
    <mergeCell ref="J18:R18"/>
    <mergeCell ref="B29:R29"/>
    <mergeCell ref="A10:R10"/>
    <mergeCell ref="A14:H14"/>
    <mergeCell ref="B28:R28"/>
    <mergeCell ref="A3:C3"/>
    <mergeCell ref="B25:R25"/>
    <mergeCell ref="B31:R31"/>
    <mergeCell ref="J20:R20"/>
    <mergeCell ref="J16:R16"/>
    <mergeCell ref="H6:I6"/>
    <mergeCell ref="B27:R27"/>
    <mergeCell ref="A5:C5"/>
    <mergeCell ref="J6:K6"/>
    <mergeCell ref="A9:R9"/>
    <mergeCell ref="J17:R17"/>
    <mergeCell ref="A17:H17"/>
    <mergeCell ref="J14:R14"/>
    <mergeCell ref="B30:R30"/>
    <mergeCell ref="A20:H20"/>
    <mergeCell ref="J19:R19"/>
    <mergeCell ref="B32:R32"/>
    <mergeCell ref="B26:R26"/>
    <mergeCell ref="A7:R7"/>
    <mergeCell ref="A15:H15"/>
    <mergeCell ref="J5:K5"/>
    <mergeCell ref="J15:R15"/>
    <mergeCell ref="E5:F5"/>
    <mergeCell ref="A6:C6"/>
    <mergeCell ref="B24:R24"/>
    <mergeCell ref="H5:I5"/>
    <mergeCell ref="A13:H13"/>
  </mergeCells>
  <conditionalFormatting sqref="F37:F66">
    <cfRule type="expression" dxfId="48" priority="5">
      <formula>$F37="Completed"</formula>
    </cfRule>
    <cfRule type="expression" dxfId="47" priority="6">
      <formula>$F37="In Progress"</formula>
    </cfRule>
    <cfRule type="expression" dxfId="46" priority="7">
      <formula>$F37="Testing"</formula>
    </cfRule>
    <cfRule type="expression" dxfId="45" priority="8">
      <formula>$F37="In Review"</formula>
    </cfRule>
    <cfRule type="expression" dxfId="44" priority="9">
      <formula>$F37="Blocked"</formula>
    </cfRule>
    <cfRule type="expression" dxfId="43" priority="10">
      <formula>$F37="Not Started"</formula>
    </cfRule>
  </conditionalFormatting>
  <conditionalFormatting sqref="I37:I66">
    <cfRule type="dataBar" priority="11">
      <dataBar>
        <cfvo type="num" val="0"/>
        <cfvo type="num" val="1"/>
        <color rgb="FF10B981"/>
      </dataBar>
    </cfRule>
  </conditionalFormatting>
  <conditionalFormatting sqref="O37:O66">
    <cfRule type="expression" dxfId="42" priority="19">
      <formula>$O37="Pass"</formula>
    </cfRule>
    <cfRule type="expression" dxfId="41" priority="20">
      <formula>$O37="Fail"</formula>
    </cfRule>
    <cfRule type="expression" dxfId="40" priority="21">
      <formula>$O37="Partial"</formula>
    </cfRule>
  </conditionalFormatting>
  <conditionalFormatting sqref="P6">
    <cfRule type="expression" dxfId="39" priority="1">
      <formula>$P$6="Complete"</formula>
    </cfRule>
    <cfRule type="expression" dxfId="38" priority="2">
      <formula>$P$6="On Track"</formula>
    </cfRule>
    <cfRule type="expression" dxfId="37" priority="3">
      <formula>$P$6="Behind"</formula>
    </cfRule>
    <cfRule type="expression" dxfId="36" priority="4">
      <formula>$P$6="Blocked"</formula>
    </cfRule>
  </conditionalFormatting>
  <conditionalFormatting sqref="P37:P66">
    <cfRule type="expression" dxfId="35" priority="12">
      <formula>$P37="Overdue"</formula>
    </cfRule>
    <cfRule type="expression" dxfId="34" priority="13">
      <formula>$P37="Blocked"</formula>
    </cfRule>
    <cfRule type="expression" dxfId="33" priority="14">
      <formula>$P37="Due soon"</formula>
    </cfRule>
    <cfRule type="expression" dxfId="32" priority="15">
      <formula>$P37="Done"</formula>
    </cfRule>
    <cfRule type="expression" dxfId="31" priority="16">
      <formula>$P37="Dependency open"</formula>
    </cfRule>
    <cfRule type="expression" dxfId="30" priority="17">
      <formula>$P37="External req."</formula>
    </cfRule>
    <cfRule type="expression" dxfId="29" priority="18">
      <formula>$P37="On track"</formula>
    </cfRule>
  </conditionalFormatting>
  <hyperlinks>
    <hyperlink ref="A3" location="'Executive Dashboard'!A1" display="← Dashboard" xr:uid="{00000000-0004-0000-0700-000000000000}"/>
    <hyperlink ref="D3" location="'Master Tracker'!A1" display="Open Master Tracker →" xr:uid="{00000000-0004-0000-0700-000001000000}"/>
    <hyperlink ref="F3" r:id="rId1" xr:uid="{00000000-0004-0000-0700-000002000000}"/>
  </hyperlinks>
  <pageMargins left="0.75" right="0.75" top="1" bottom="1" header="0.5" footer="0.5"/>
  <pageSetup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64748B"/>
    <pageSetUpPr fitToPage="1"/>
  </sheetPr>
  <dimension ref="A1:K141"/>
  <sheetViews>
    <sheetView showGridLines="0" zoomScale="90" workbookViewId="0">
      <pane xSplit="3" ySplit="31" topLeftCell="D32" activePane="bottomRight" state="frozen"/>
      <selection pane="topRight"/>
      <selection pane="bottomLeft"/>
      <selection pane="bottomRight"/>
    </sheetView>
  </sheetViews>
  <sheetFormatPr defaultRowHeight="14.4" x14ac:dyDescent="0.3"/>
  <cols>
    <col min="1" max="1" width="8" customWidth="1"/>
    <col min="2" max="2" width="26" customWidth="1"/>
    <col min="3" max="3" width="34" customWidth="1"/>
    <col min="4" max="4" width="44" customWidth="1"/>
    <col min="5" max="6" width="20" customWidth="1"/>
    <col min="7" max="7" width="8" customWidth="1"/>
    <col min="8" max="9" width="10" customWidth="1"/>
    <col min="10" max="10" width="11" customWidth="1"/>
    <col min="11" max="11" width="34" customWidth="1"/>
  </cols>
  <sheetData>
    <row r="1" spans="1:11" ht="34.049999999999997" customHeight="1" x14ac:dyDescent="0.3">
      <c r="A1" s="111" t="s">
        <v>1105</v>
      </c>
      <c r="B1" s="112"/>
      <c r="C1" s="112"/>
      <c r="D1" s="112"/>
      <c r="E1" s="112"/>
      <c r="F1" s="112"/>
      <c r="G1" s="112"/>
      <c r="H1" s="112"/>
      <c r="I1" s="112"/>
      <c r="J1" s="112"/>
      <c r="K1" s="112"/>
    </row>
    <row r="2" spans="1:11" ht="19.95" customHeight="1" x14ac:dyDescent="0.3">
      <c r="A2" s="79" t="s">
        <v>1106</v>
      </c>
      <c r="B2" s="80"/>
      <c r="C2" s="80"/>
      <c r="D2" s="80"/>
      <c r="E2" s="80"/>
      <c r="F2" s="80"/>
      <c r="G2" s="80"/>
      <c r="H2" s="80"/>
      <c r="I2" s="80"/>
      <c r="J2" s="80"/>
      <c r="K2" s="80"/>
    </row>
    <row r="3" spans="1:11" x14ac:dyDescent="0.3">
      <c r="A3" s="33" t="s">
        <v>109</v>
      </c>
      <c r="C3" s="3" t="s">
        <v>110</v>
      </c>
    </row>
    <row r="5" spans="1:11" x14ac:dyDescent="0.3">
      <c r="B5" s="5" t="s">
        <v>1107</v>
      </c>
      <c r="C5" s="5" t="s">
        <v>1108</v>
      </c>
      <c r="D5" s="5" t="s">
        <v>1109</v>
      </c>
      <c r="E5" s="5" t="s">
        <v>1110</v>
      </c>
      <c r="F5" s="5" t="s">
        <v>48</v>
      </c>
      <c r="G5" s="5" t="s">
        <v>1111</v>
      </c>
      <c r="H5" s="5" t="s">
        <v>1112</v>
      </c>
    </row>
    <row r="6" spans="1:11" x14ac:dyDescent="0.3">
      <c r="B6" s="27" t="s">
        <v>1113</v>
      </c>
      <c r="C6" s="10">
        <f t="shared" ref="C6:C27" si="0">COUNTIF($B$32:$B$141,B6)</f>
        <v>3</v>
      </c>
      <c r="D6" s="10">
        <f t="shared" ref="D6:D27" si="1">COUNTIFS($B$32:$B$141,B6,$I$32:$I$141,"Pass")</f>
        <v>0</v>
      </c>
      <c r="E6" s="10">
        <f t="shared" ref="E6:E27" si="2">COUNTIFS($B$32:$B$141,B6,$I$32:$I$141,"Fail")</f>
        <v>0</v>
      </c>
      <c r="F6" s="10">
        <f t="shared" ref="F6:F27" si="3">COUNTIFS($B$32:$B$141,B6,$I$32:$I$141,"Blocked")</f>
        <v>0</v>
      </c>
      <c r="G6" s="10">
        <f t="shared" ref="G6:G27" si="4">COUNTIFS($B$32:$B$141,B6,$I$32:$I$141,"Not Run")</f>
        <v>3</v>
      </c>
      <c r="H6" s="11">
        <f t="shared" ref="H6:H27" si="5">IFERROR(D6/(C6-COUNTIFS($B$32:$B$141,B6,$I$32:$I$141,"N/A")),0)</f>
        <v>0</v>
      </c>
    </row>
    <row r="7" spans="1:11" x14ac:dyDescent="0.3">
      <c r="B7" s="26" t="s">
        <v>1114</v>
      </c>
      <c r="C7" s="7">
        <f t="shared" si="0"/>
        <v>3</v>
      </c>
      <c r="D7" s="7">
        <f t="shared" si="1"/>
        <v>0</v>
      </c>
      <c r="E7" s="7">
        <f t="shared" si="2"/>
        <v>0</v>
      </c>
      <c r="F7" s="7">
        <f t="shared" si="3"/>
        <v>0</v>
      </c>
      <c r="G7" s="7">
        <f t="shared" si="4"/>
        <v>3</v>
      </c>
      <c r="H7" s="8">
        <f t="shared" si="5"/>
        <v>0</v>
      </c>
    </row>
    <row r="8" spans="1:11" x14ac:dyDescent="0.3">
      <c r="B8" s="27" t="s">
        <v>1115</v>
      </c>
      <c r="C8" s="10">
        <f t="shared" si="0"/>
        <v>3</v>
      </c>
      <c r="D8" s="10">
        <f t="shared" si="1"/>
        <v>0</v>
      </c>
      <c r="E8" s="10">
        <f t="shared" si="2"/>
        <v>0</v>
      </c>
      <c r="F8" s="10">
        <f t="shared" si="3"/>
        <v>0</v>
      </c>
      <c r="G8" s="10">
        <f t="shared" si="4"/>
        <v>3</v>
      </c>
      <c r="H8" s="11">
        <f t="shared" si="5"/>
        <v>0</v>
      </c>
    </row>
    <row r="9" spans="1:11" x14ac:dyDescent="0.3">
      <c r="B9" s="26" t="s">
        <v>1116</v>
      </c>
      <c r="C9" s="7">
        <f t="shared" si="0"/>
        <v>3</v>
      </c>
      <c r="D9" s="7">
        <f t="shared" si="1"/>
        <v>0</v>
      </c>
      <c r="E9" s="7">
        <f t="shared" si="2"/>
        <v>0</v>
      </c>
      <c r="F9" s="7">
        <f t="shared" si="3"/>
        <v>0</v>
      </c>
      <c r="G9" s="7">
        <f t="shared" si="4"/>
        <v>3</v>
      </c>
      <c r="H9" s="8">
        <f t="shared" si="5"/>
        <v>0</v>
      </c>
    </row>
    <row r="10" spans="1:11" x14ac:dyDescent="0.3">
      <c r="B10" s="27" t="s">
        <v>1117</v>
      </c>
      <c r="C10" s="10">
        <f t="shared" si="0"/>
        <v>3</v>
      </c>
      <c r="D10" s="10">
        <f t="shared" si="1"/>
        <v>0</v>
      </c>
      <c r="E10" s="10">
        <f t="shared" si="2"/>
        <v>0</v>
      </c>
      <c r="F10" s="10">
        <f t="shared" si="3"/>
        <v>0</v>
      </c>
      <c r="G10" s="10">
        <f t="shared" si="4"/>
        <v>3</v>
      </c>
      <c r="H10" s="11">
        <f t="shared" si="5"/>
        <v>0</v>
      </c>
    </row>
    <row r="11" spans="1:11" x14ac:dyDescent="0.3">
      <c r="B11" s="26" t="s">
        <v>1118</v>
      </c>
      <c r="C11" s="7">
        <f t="shared" si="0"/>
        <v>3</v>
      </c>
      <c r="D11" s="7">
        <f t="shared" si="1"/>
        <v>0</v>
      </c>
      <c r="E11" s="7">
        <f t="shared" si="2"/>
        <v>0</v>
      </c>
      <c r="F11" s="7">
        <f t="shared" si="3"/>
        <v>0</v>
      </c>
      <c r="G11" s="7">
        <f t="shared" si="4"/>
        <v>3</v>
      </c>
      <c r="H11" s="8">
        <f t="shared" si="5"/>
        <v>0</v>
      </c>
    </row>
    <row r="12" spans="1:11" x14ac:dyDescent="0.3">
      <c r="B12" s="27" t="s">
        <v>1119</v>
      </c>
      <c r="C12" s="10">
        <f t="shared" si="0"/>
        <v>3</v>
      </c>
      <c r="D12" s="10">
        <f t="shared" si="1"/>
        <v>0</v>
      </c>
      <c r="E12" s="10">
        <f t="shared" si="2"/>
        <v>0</v>
      </c>
      <c r="F12" s="10">
        <f t="shared" si="3"/>
        <v>0</v>
      </c>
      <c r="G12" s="10">
        <f t="shared" si="4"/>
        <v>3</v>
      </c>
      <c r="H12" s="11">
        <f t="shared" si="5"/>
        <v>0</v>
      </c>
    </row>
    <row r="13" spans="1:11" x14ac:dyDescent="0.3">
      <c r="B13" s="26" t="s">
        <v>1120</v>
      </c>
      <c r="C13" s="7">
        <f t="shared" si="0"/>
        <v>3</v>
      </c>
      <c r="D13" s="7">
        <f t="shared" si="1"/>
        <v>0</v>
      </c>
      <c r="E13" s="7">
        <f t="shared" si="2"/>
        <v>0</v>
      </c>
      <c r="F13" s="7">
        <f t="shared" si="3"/>
        <v>0</v>
      </c>
      <c r="G13" s="7">
        <f t="shared" si="4"/>
        <v>3</v>
      </c>
      <c r="H13" s="8">
        <f t="shared" si="5"/>
        <v>0</v>
      </c>
    </row>
    <row r="14" spans="1:11" x14ac:dyDescent="0.3">
      <c r="B14" s="27" t="s">
        <v>1121</v>
      </c>
      <c r="C14" s="10">
        <f t="shared" si="0"/>
        <v>3</v>
      </c>
      <c r="D14" s="10">
        <f t="shared" si="1"/>
        <v>0</v>
      </c>
      <c r="E14" s="10">
        <f t="shared" si="2"/>
        <v>0</v>
      </c>
      <c r="F14" s="10">
        <f t="shared" si="3"/>
        <v>0</v>
      </c>
      <c r="G14" s="10">
        <f t="shared" si="4"/>
        <v>3</v>
      </c>
      <c r="H14" s="11">
        <f t="shared" si="5"/>
        <v>0</v>
      </c>
    </row>
    <row r="15" spans="1:11" x14ac:dyDescent="0.3">
      <c r="B15" s="26" t="s">
        <v>1122</v>
      </c>
      <c r="C15" s="7">
        <f t="shared" si="0"/>
        <v>8</v>
      </c>
      <c r="D15" s="7">
        <f t="shared" si="1"/>
        <v>0</v>
      </c>
      <c r="E15" s="7">
        <f t="shared" si="2"/>
        <v>0</v>
      </c>
      <c r="F15" s="7">
        <f t="shared" si="3"/>
        <v>0</v>
      </c>
      <c r="G15" s="7">
        <f t="shared" si="4"/>
        <v>8</v>
      </c>
      <c r="H15" s="8">
        <f t="shared" si="5"/>
        <v>0</v>
      </c>
    </row>
    <row r="16" spans="1:11" x14ac:dyDescent="0.3">
      <c r="B16" s="27" t="s">
        <v>1123</v>
      </c>
      <c r="C16" s="10">
        <f t="shared" si="0"/>
        <v>5</v>
      </c>
      <c r="D16" s="10">
        <f t="shared" si="1"/>
        <v>0</v>
      </c>
      <c r="E16" s="10">
        <f t="shared" si="2"/>
        <v>0</v>
      </c>
      <c r="F16" s="10">
        <f t="shared" si="3"/>
        <v>0</v>
      </c>
      <c r="G16" s="10">
        <f t="shared" si="4"/>
        <v>5</v>
      </c>
      <c r="H16" s="11">
        <f t="shared" si="5"/>
        <v>0</v>
      </c>
    </row>
    <row r="17" spans="1:11" x14ac:dyDescent="0.3">
      <c r="B17" s="26" t="s">
        <v>1124</v>
      </c>
      <c r="C17" s="7">
        <f t="shared" si="0"/>
        <v>6</v>
      </c>
      <c r="D17" s="7">
        <f t="shared" si="1"/>
        <v>0</v>
      </c>
      <c r="E17" s="7">
        <f t="shared" si="2"/>
        <v>0</v>
      </c>
      <c r="F17" s="7">
        <f t="shared" si="3"/>
        <v>0</v>
      </c>
      <c r="G17" s="7">
        <f t="shared" si="4"/>
        <v>6</v>
      </c>
      <c r="H17" s="8">
        <f t="shared" si="5"/>
        <v>0</v>
      </c>
    </row>
    <row r="18" spans="1:11" x14ac:dyDescent="0.3">
      <c r="B18" s="27" t="s">
        <v>626</v>
      </c>
      <c r="C18" s="10">
        <f t="shared" si="0"/>
        <v>8</v>
      </c>
      <c r="D18" s="10">
        <f t="shared" si="1"/>
        <v>0</v>
      </c>
      <c r="E18" s="10">
        <f t="shared" si="2"/>
        <v>0</v>
      </c>
      <c r="F18" s="10">
        <f t="shared" si="3"/>
        <v>0</v>
      </c>
      <c r="G18" s="10">
        <f t="shared" si="4"/>
        <v>8</v>
      </c>
      <c r="H18" s="11">
        <f t="shared" si="5"/>
        <v>0</v>
      </c>
    </row>
    <row r="19" spans="1:11" x14ac:dyDescent="0.3">
      <c r="B19" s="26" t="s">
        <v>1125</v>
      </c>
      <c r="C19" s="7">
        <f t="shared" si="0"/>
        <v>5</v>
      </c>
      <c r="D19" s="7">
        <f t="shared" si="1"/>
        <v>0</v>
      </c>
      <c r="E19" s="7">
        <f t="shared" si="2"/>
        <v>0</v>
      </c>
      <c r="F19" s="7">
        <f t="shared" si="3"/>
        <v>0</v>
      </c>
      <c r="G19" s="7">
        <f t="shared" si="4"/>
        <v>5</v>
      </c>
      <c r="H19" s="8">
        <f t="shared" si="5"/>
        <v>0</v>
      </c>
    </row>
    <row r="20" spans="1:11" x14ac:dyDescent="0.3">
      <c r="B20" s="27" t="s">
        <v>1126</v>
      </c>
      <c r="C20" s="10">
        <f t="shared" si="0"/>
        <v>7</v>
      </c>
      <c r="D20" s="10">
        <f t="shared" si="1"/>
        <v>0</v>
      </c>
      <c r="E20" s="10">
        <f t="shared" si="2"/>
        <v>0</v>
      </c>
      <c r="F20" s="10">
        <f t="shared" si="3"/>
        <v>0</v>
      </c>
      <c r="G20" s="10">
        <f t="shared" si="4"/>
        <v>7</v>
      </c>
      <c r="H20" s="11">
        <f t="shared" si="5"/>
        <v>0</v>
      </c>
    </row>
    <row r="21" spans="1:11" x14ac:dyDescent="0.3">
      <c r="B21" s="26" t="s">
        <v>1127</v>
      </c>
      <c r="C21" s="7">
        <f t="shared" si="0"/>
        <v>8</v>
      </c>
      <c r="D21" s="7">
        <f t="shared" si="1"/>
        <v>0</v>
      </c>
      <c r="E21" s="7">
        <f t="shared" si="2"/>
        <v>0</v>
      </c>
      <c r="F21" s="7">
        <f t="shared" si="3"/>
        <v>0</v>
      </c>
      <c r="G21" s="7">
        <f t="shared" si="4"/>
        <v>8</v>
      </c>
      <c r="H21" s="8">
        <f t="shared" si="5"/>
        <v>0</v>
      </c>
    </row>
    <row r="22" spans="1:11" x14ac:dyDescent="0.3">
      <c r="B22" s="27" t="s">
        <v>1128</v>
      </c>
      <c r="C22" s="10">
        <f t="shared" si="0"/>
        <v>5</v>
      </c>
      <c r="D22" s="10">
        <f t="shared" si="1"/>
        <v>0</v>
      </c>
      <c r="E22" s="10">
        <f t="shared" si="2"/>
        <v>0</v>
      </c>
      <c r="F22" s="10">
        <f t="shared" si="3"/>
        <v>0</v>
      </c>
      <c r="G22" s="10">
        <f t="shared" si="4"/>
        <v>5</v>
      </c>
      <c r="H22" s="11">
        <f t="shared" si="5"/>
        <v>0</v>
      </c>
    </row>
    <row r="23" spans="1:11" x14ac:dyDescent="0.3">
      <c r="B23" s="26" t="s">
        <v>811</v>
      </c>
      <c r="C23" s="7">
        <f t="shared" si="0"/>
        <v>6</v>
      </c>
      <c r="D23" s="7">
        <f t="shared" si="1"/>
        <v>0</v>
      </c>
      <c r="E23" s="7">
        <f t="shared" si="2"/>
        <v>0</v>
      </c>
      <c r="F23" s="7">
        <f t="shared" si="3"/>
        <v>0</v>
      </c>
      <c r="G23" s="7">
        <f t="shared" si="4"/>
        <v>6</v>
      </c>
      <c r="H23" s="8">
        <f t="shared" si="5"/>
        <v>0</v>
      </c>
    </row>
    <row r="24" spans="1:11" x14ac:dyDescent="0.3">
      <c r="B24" s="27" t="s">
        <v>682</v>
      </c>
      <c r="C24" s="10">
        <f t="shared" si="0"/>
        <v>8</v>
      </c>
      <c r="D24" s="10">
        <f t="shared" si="1"/>
        <v>0</v>
      </c>
      <c r="E24" s="10">
        <f t="shared" si="2"/>
        <v>0</v>
      </c>
      <c r="F24" s="10">
        <f t="shared" si="3"/>
        <v>0</v>
      </c>
      <c r="G24" s="10">
        <f t="shared" si="4"/>
        <v>8</v>
      </c>
      <c r="H24" s="11">
        <f t="shared" si="5"/>
        <v>0</v>
      </c>
    </row>
    <row r="25" spans="1:11" x14ac:dyDescent="0.3">
      <c r="B25" s="26" t="s">
        <v>1129</v>
      </c>
      <c r="C25" s="7">
        <f t="shared" si="0"/>
        <v>5</v>
      </c>
      <c r="D25" s="7">
        <f t="shared" si="1"/>
        <v>0</v>
      </c>
      <c r="E25" s="7">
        <f t="shared" si="2"/>
        <v>0</v>
      </c>
      <c r="F25" s="7">
        <f t="shared" si="3"/>
        <v>0</v>
      </c>
      <c r="G25" s="7">
        <f t="shared" si="4"/>
        <v>5</v>
      </c>
      <c r="H25" s="8">
        <f t="shared" si="5"/>
        <v>0</v>
      </c>
    </row>
    <row r="26" spans="1:11" x14ac:dyDescent="0.3">
      <c r="B26" s="27" t="s">
        <v>1130</v>
      </c>
      <c r="C26" s="10">
        <f t="shared" si="0"/>
        <v>6</v>
      </c>
      <c r="D26" s="10">
        <f t="shared" si="1"/>
        <v>0</v>
      </c>
      <c r="E26" s="10">
        <f t="shared" si="2"/>
        <v>0</v>
      </c>
      <c r="F26" s="10">
        <f t="shared" si="3"/>
        <v>0</v>
      </c>
      <c r="G26" s="10">
        <f t="shared" si="4"/>
        <v>6</v>
      </c>
      <c r="H26" s="11">
        <f t="shared" si="5"/>
        <v>0</v>
      </c>
    </row>
    <row r="27" spans="1:11" x14ac:dyDescent="0.3">
      <c r="B27" s="26" t="s">
        <v>1131</v>
      </c>
      <c r="C27" s="7">
        <f t="shared" si="0"/>
        <v>6</v>
      </c>
      <c r="D27" s="7">
        <f t="shared" si="1"/>
        <v>0</v>
      </c>
      <c r="E27" s="7">
        <f t="shared" si="2"/>
        <v>0</v>
      </c>
      <c r="F27" s="7">
        <f t="shared" si="3"/>
        <v>0</v>
      </c>
      <c r="G27" s="7">
        <f t="shared" si="4"/>
        <v>6</v>
      </c>
      <c r="H27" s="8">
        <f t="shared" si="5"/>
        <v>0</v>
      </c>
    </row>
    <row r="28" spans="1:11" x14ac:dyDescent="0.3">
      <c r="B28" s="12" t="s">
        <v>62</v>
      </c>
      <c r="C28" s="12">
        <f>SUM(C6:C27)</f>
        <v>110</v>
      </c>
      <c r="D28" s="12">
        <f>SUM(D6:D27)</f>
        <v>0</v>
      </c>
      <c r="E28" s="12">
        <f>SUM(E6:E27)</f>
        <v>0</v>
      </c>
      <c r="F28" s="12">
        <f>SUM(F6:F27)</f>
        <v>0</v>
      </c>
      <c r="G28" s="12">
        <f>SUM(G6:G27)</f>
        <v>110</v>
      </c>
      <c r="H28" s="13">
        <f>IFERROR(D28/(C28-COUNTIF($I$32:$I$141,"N/A")),0)</f>
        <v>0</v>
      </c>
    </row>
    <row r="31" spans="1:11" ht="24" x14ac:dyDescent="0.3">
      <c r="A31" s="12" t="s">
        <v>1132</v>
      </c>
      <c r="B31" s="12" t="s">
        <v>1107</v>
      </c>
      <c r="C31" s="12" t="s">
        <v>1133</v>
      </c>
      <c r="D31" s="12" t="s">
        <v>1134</v>
      </c>
      <c r="E31" s="12" t="s">
        <v>1135</v>
      </c>
      <c r="F31" s="12" t="s">
        <v>1136</v>
      </c>
      <c r="G31" s="12" t="s">
        <v>66</v>
      </c>
      <c r="H31" s="12" t="s">
        <v>1137</v>
      </c>
      <c r="I31" s="12" t="s">
        <v>1138</v>
      </c>
      <c r="J31" s="12" t="s">
        <v>1139</v>
      </c>
      <c r="K31" s="12" t="s">
        <v>1140</v>
      </c>
    </row>
    <row r="32" spans="1:11" ht="31.95" customHeight="1" x14ac:dyDescent="0.3">
      <c r="A32" s="52" t="s">
        <v>1141</v>
      </c>
      <c r="B32" s="52" t="s">
        <v>1113</v>
      </c>
      <c r="C32" s="52" t="s">
        <v>1142</v>
      </c>
      <c r="D32" s="52" t="s">
        <v>1143</v>
      </c>
      <c r="E32" s="52" t="s">
        <v>1144</v>
      </c>
      <c r="F32" s="52" t="s">
        <v>1145</v>
      </c>
      <c r="G32" s="52" t="s">
        <v>146</v>
      </c>
      <c r="H32" s="54" t="s">
        <v>402</v>
      </c>
      <c r="I32" s="41" t="s">
        <v>1111</v>
      </c>
      <c r="J32" s="55"/>
      <c r="K32" s="41"/>
    </row>
    <row r="33" spans="1:11" ht="31.95" customHeight="1" x14ac:dyDescent="0.3">
      <c r="A33" s="52" t="s">
        <v>1146</v>
      </c>
      <c r="B33" s="52" t="s">
        <v>1113</v>
      </c>
      <c r="C33" s="52" t="s">
        <v>1147</v>
      </c>
      <c r="D33" s="52" t="s">
        <v>1148</v>
      </c>
      <c r="E33" s="52" t="s">
        <v>1144</v>
      </c>
      <c r="F33" s="52" t="s">
        <v>1145</v>
      </c>
      <c r="G33" s="52" t="s">
        <v>146</v>
      </c>
      <c r="H33" s="54" t="s">
        <v>402</v>
      </c>
      <c r="I33" s="41" t="s">
        <v>1111</v>
      </c>
      <c r="J33" s="55"/>
      <c r="K33" s="41"/>
    </row>
    <row r="34" spans="1:11" ht="31.95" customHeight="1" x14ac:dyDescent="0.3">
      <c r="A34" s="52" t="s">
        <v>1149</v>
      </c>
      <c r="B34" s="52" t="s">
        <v>1113</v>
      </c>
      <c r="C34" s="52" t="s">
        <v>1150</v>
      </c>
      <c r="D34" s="52" t="s">
        <v>1151</v>
      </c>
      <c r="E34" s="52" t="s">
        <v>1144</v>
      </c>
      <c r="F34" s="52" t="s">
        <v>1152</v>
      </c>
      <c r="G34" s="52" t="s">
        <v>146</v>
      </c>
      <c r="H34" s="54" t="s">
        <v>402</v>
      </c>
      <c r="I34" s="41" t="s">
        <v>1111</v>
      </c>
      <c r="J34" s="55"/>
      <c r="K34" s="41"/>
    </row>
    <row r="35" spans="1:11" ht="31.95" customHeight="1" x14ac:dyDescent="0.3">
      <c r="A35" s="52" t="s">
        <v>1153</v>
      </c>
      <c r="B35" s="52" t="s">
        <v>1114</v>
      </c>
      <c r="C35" s="52" t="s">
        <v>1154</v>
      </c>
      <c r="D35" s="52" t="s">
        <v>1143</v>
      </c>
      <c r="E35" s="52" t="s">
        <v>1155</v>
      </c>
      <c r="F35" s="52" t="s">
        <v>1145</v>
      </c>
      <c r="G35" s="52" t="s">
        <v>146</v>
      </c>
      <c r="H35" s="54" t="s">
        <v>409</v>
      </c>
      <c r="I35" s="41" t="s">
        <v>1111</v>
      </c>
      <c r="J35" s="55"/>
      <c r="K35" s="41"/>
    </row>
    <row r="36" spans="1:11" ht="31.95" customHeight="1" x14ac:dyDescent="0.3">
      <c r="A36" s="52" t="s">
        <v>1156</v>
      </c>
      <c r="B36" s="52" t="s">
        <v>1114</v>
      </c>
      <c r="C36" s="52" t="s">
        <v>1157</v>
      </c>
      <c r="D36" s="52" t="s">
        <v>1148</v>
      </c>
      <c r="E36" s="52" t="s">
        <v>1155</v>
      </c>
      <c r="F36" s="52" t="s">
        <v>1145</v>
      </c>
      <c r="G36" s="52" t="s">
        <v>146</v>
      </c>
      <c r="H36" s="54" t="s">
        <v>409</v>
      </c>
      <c r="I36" s="41" t="s">
        <v>1111</v>
      </c>
      <c r="J36" s="55"/>
      <c r="K36" s="41"/>
    </row>
    <row r="37" spans="1:11" ht="31.95" customHeight="1" x14ac:dyDescent="0.3">
      <c r="A37" s="52" t="s">
        <v>1158</v>
      </c>
      <c r="B37" s="52" t="s">
        <v>1114</v>
      </c>
      <c r="C37" s="52" t="s">
        <v>1159</v>
      </c>
      <c r="D37" s="52" t="s">
        <v>1151</v>
      </c>
      <c r="E37" s="52" t="s">
        <v>1155</v>
      </c>
      <c r="F37" s="52" t="s">
        <v>1152</v>
      </c>
      <c r="G37" s="52" t="s">
        <v>146</v>
      </c>
      <c r="H37" s="54" t="s">
        <v>409</v>
      </c>
      <c r="I37" s="41" t="s">
        <v>1111</v>
      </c>
      <c r="J37" s="55"/>
      <c r="K37" s="41"/>
    </row>
    <row r="38" spans="1:11" ht="31.95" customHeight="1" x14ac:dyDescent="0.3">
      <c r="A38" s="52" t="s">
        <v>1160</v>
      </c>
      <c r="B38" s="52" t="s">
        <v>1115</v>
      </c>
      <c r="C38" s="52" t="s">
        <v>1161</v>
      </c>
      <c r="D38" s="52" t="s">
        <v>1143</v>
      </c>
      <c r="E38" s="52" t="s">
        <v>1162</v>
      </c>
      <c r="F38" s="52" t="s">
        <v>1145</v>
      </c>
      <c r="G38" s="52" t="s">
        <v>146</v>
      </c>
      <c r="H38" s="54" t="s">
        <v>467</v>
      </c>
      <c r="I38" s="41" t="s">
        <v>1111</v>
      </c>
      <c r="J38" s="55"/>
      <c r="K38" s="41"/>
    </row>
    <row r="39" spans="1:11" ht="31.95" customHeight="1" x14ac:dyDescent="0.3">
      <c r="A39" s="52" t="s">
        <v>1163</v>
      </c>
      <c r="B39" s="52" t="s">
        <v>1115</v>
      </c>
      <c r="C39" s="52" t="s">
        <v>1164</v>
      </c>
      <c r="D39" s="52" t="s">
        <v>1148</v>
      </c>
      <c r="E39" s="52" t="s">
        <v>1162</v>
      </c>
      <c r="F39" s="52" t="s">
        <v>1145</v>
      </c>
      <c r="G39" s="52" t="s">
        <v>146</v>
      </c>
      <c r="H39" s="54" t="s">
        <v>467</v>
      </c>
      <c r="I39" s="41" t="s">
        <v>1111</v>
      </c>
      <c r="J39" s="55"/>
      <c r="K39" s="41"/>
    </row>
    <row r="40" spans="1:11" ht="31.95" customHeight="1" x14ac:dyDescent="0.3">
      <c r="A40" s="52" t="s">
        <v>1165</v>
      </c>
      <c r="B40" s="52" t="s">
        <v>1115</v>
      </c>
      <c r="C40" s="52" t="s">
        <v>1166</v>
      </c>
      <c r="D40" s="52" t="s">
        <v>1151</v>
      </c>
      <c r="E40" s="52" t="s">
        <v>1162</v>
      </c>
      <c r="F40" s="52" t="s">
        <v>1152</v>
      </c>
      <c r="G40" s="52" t="s">
        <v>146</v>
      </c>
      <c r="H40" s="54" t="s">
        <v>467</v>
      </c>
      <c r="I40" s="41" t="s">
        <v>1111</v>
      </c>
      <c r="J40" s="55"/>
      <c r="K40" s="41"/>
    </row>
    <row r="41" spans="1:11" ht="31.95" customHeight="1" x14ac:dyDescent="0.3">
      <c r="A41" s="52" t="s">
        <v>1167</v>
      </c>
      <c r="B41" s="52" t="s">
        <v>1116</v>
      </c>
      <c r="C41" s="52" t="s">
        <v>1168</v>
      </c>
      <c r="D41" s="52" t="s">
        <v>1143</v>
      </c>
      <c r="E41" s="52" t="s">
        <v>1169</v>
      </c>
      <c r="F41" s="52" t="s">
        <v>1145</v>
      </c>
      <c r="G41" s="52" t="s">
        <v>146</v>
      </c>
      <c r="H41" s="54" t="s">
        <v>460</v>
      </c>
      <c r="I41" s="41" t="s">
        <v>1111</v>
      </c>
      <c r="J41" s="55"/>
      <c r="K41" s="41"/>
    </row>
    <row r="42" spans="1:11" ht="31.95" customHeight="1" x14ac:dyDescent="0.3">
      <c r="A42" s="52" t="s">
        <v>1170</v>
      </c>
      <c r="B42" s="52" t="s">
        <v>1116</v>
      </c>
      <c r="C42" s="52" t="s">
        <v>1171</v>
      </c>
      <c r="D42" s="52" t="s">
        <v>1148</v>
      </c>
      <c r="E42" s="52" t="s">
        <v>1169</v>
      </c>
      <c r="F42" s="52" t="s">
        <v>1145</v>
      </c>
      <c r="G42" s="52" t="s">
        <v>146</v>
      </c>
      <c r="H42" s="54" t="s">
        <v>460</v>
      </c>
      <c r="I42" s="41" t="s">
        <v>1111</v>
      </c>
      <c r="J42" s="55"/>
      <c r="K42" s="41"/>
    </row>
    <row r="43" spans="1:11" ht="31.95" customHeight="1" x14ac:dyDescent="0.3">
      <c r="A43" s="52" t="s">
        <v>1172</v>
      </c>
      <c r="B43" s="52" t="s">
        <v>1116</v>
      </c>
      <c r="C43" s="52" t="s">
        <v>1173</v>
      </c>
      <c r="D43" s="52" t="s">
        <v>1151</v>
      </c>
      <c r="E43" s="52" t="s">
        <v>1169</v>
      </c>
      <c r="F43" s="52" t="s">
        <v>1152</v>
      </c>
      <c r="G43" s="52" t="s">
        <v>146</v>
      </c>
      <c r="H43" s="54" t="s">
        <v>460</v>
      </c>
      <c r="I43" s="41" t="s">
        <v>1111</v>
      </c>
      <c r="J43" s="55"/>
      <c r="K43" s="41"/>
    </row>
    <row r="44" spans="1:11" ht="31.95" customHeight="1" x14ac:dyDescent="0.3">
      <c r="A44" s="52" t="s">
        <v>1174</v>
      </c>
      <c r="B44" s="52" t="s">
        <v>1117</v>
      </c>
      <c r="C44" s="52" t="s">
        <v>1175</v>
      </c>
      <c r="D44" s="52" t="s">
        <v>1143</v>
      </c>
      <c r="E44" s="52" t="s">
        <v>1176</v>
      </c>
      <c r="F44" s="52" t="s">
        <v>1145</v>
      </c>
      <c r="G44" s="52" t="s">
        <v>146</v>
      </c>
      <c r="H44" s="54" t="s">
        <v>559</v>
      </c>
      <c r="I44" s="41" t="s">
        <v>1111</v>
      </c>
      <c r="J44" s="55"/>
      <c r="K44" s="41"/>
    </row>
    <row r="45" spans="1:11" ht="31.95" customHeight="1" x14ac:dyDescent="0.3">
      <c r="A45" s="52" t="s">
        <v>1177</v>
      </c>
      <c r="B45" s="52" t="s">
        <v>1117</v>
      </c>
      <c r="C45" s="52" t="s">
        <v>1178</v>
      </c>
      <c r="D45" s="52" t="s">
        <v>1148</v>
      </c>
      <c r="E45" s="52" t="s">
        <v>1176</v>
      </c>
      <c r="F45" s="52" t="s">
        <v>1145</v>
      </c>
      <c r="G45" s="52" t="s">
        <v>146</v>
      </c>
      <c r="H45" s="54" t="s">
        <v>559</v>
      </c>
      <c r="I45" s="41" t="s">
        <v>1111</v>
      </c>
      <c r="J45" s="55"/>
      <c r="K45" s="41"/>
    </row>
    <row r="46" spans="1:11" ht="31.95" customHeight="1" x14ac:dyDescent="0.3">
      <c r="A46" s="52" t="s">
        <v>1179</v>
      </c>
      <c r="B46" s="52" t="s">
        <v>1117</v>
      </c>
      <c r="C46" s="52" t="s">
        <v>1180</v>
      </c>
      <c r="D46" s="52" t="s">
        <v>1151</v>
      </c>
      <c r="E46" s="52" t="s">
        <v>1176</v>
      </c>
      <c r="F46" s="52" t="s">
        <v>1152</v>
      </c>
      <c r="G46" s="52" t="s">
        <v>146</v>
      </c>
      <c r="H46" s="54" t="s">
        <v>559</v>
      </c>
      <c r="I46" s="41" t="s">
        <v>1111</v>
      </c>
      <c r="J46" s="55"/>
      <c r="K46" s="41"/>
    </row>
    <row r="47" spans="1:11" ht="31.95" customHeight="1" x14ac:dyDescent="0.3">
      <c r="A47" s="52" t="s">
        <v>1181</v>
      </c>
      <c r="B47" s="52" t="s">
        <v>1118</v>
      </c>
      <c r="C47" s="52" t="s">
        <v>1182</v>
      </c>
      <c r="D47" s="52" t="s">
        <v>1143</v>
      </c>
      <c r="E47" s="52" t="s">
        <v>1183</v>
      </c>
      <c r="F47" s="52" t="s">
        <v>1145</v>
      </c>
      <c r="G47" s="52" t="s">
        <v>146</v>
      </c>
      <c r="H47" s="54" t="s">
        <v>572</v>
      </c>
      <c r="I47" s="41" t="s">
        <v>1111</v>
      </c>
      <c r="J47" s="55"/>
      <c r="K47" s="41"/>
    </row>
    <row r="48" spans="1:11" ht="31.95" customHeight="1" x14ac:dyDescent="0.3">
      <c r="A48" s="52" t="s">
        <v>1184</v>
      </c>
      <c r="B48" s="52" t="s">
        <v>1118</v>
      </c>
      <c r="C48" s="52" t="s">
        <v>1185</v>
      </c>
      <c r="D48" s="52" t="s">
        <v>1148</v>
      </c>
      <c r="E48" s="52" t="s">
        <v>1183</v>
      </c>
      <c r="F48" s="52" t="s">
        <v>1145</v>
      </c>
      <c r="G48" s="52" t="s">
        <v>146</v>
      </c>
      <c r="H48" s="54" t="s">
        <v>572</v>
      </c>
      <c r="I48" s="41" t="s">
        <v>1111</v>
      </c>
      <c r="J48" s="55"/>
      <c r="K48" s="41"/>
    </row>
    <row r="49" spans="1:11" ht="31.95" customHeight="1" x14ac:dyDescent="0.3">
      <c r="A49" s="52" t="s">
        <v>1186</v>
      </c>
      <c r="B49" s="52" t="s">
        <v>1118</v>
      </c>
      <c r="C49" s="52" t="s">
        <v>1187</v>
      </c>
      <c r="D49" s="52" t="s">
        <v>1151</v>
      </c>
      <c r="E49" s="52" t="s">
        <v>1183</v>
      </c>
      <c r="F49" s="52" t="s">
        <v>1152</v>
      </c>
      <c r="G49" s="52" t="s">
        <v>146</v>
      </c>
      <c r="H49" s="54" t="s">
        <v>572</v>
      </c>
      <c r="I49" s="41" t="s">
        <v>1111</v>
      </c>
      <c r="J49" s="55"/>
      <c r="K49" s="41"/>
    </row>
    <row r="50" spans="1:11" ht="31.95" customHeight="1" x14ac:dyDescent="0.3">
      <c r="A50" s="52" t="s">
        <v>1188</v>
      </c>
      <c r="B50" s="52" t="s">
        <v>1119</v>
      </c>
      <c r="C50" s="52" t="s">
        <v>1189</v>
      </c>
      <c r="D50" s="52" t="s">
        <v>1143</v>
      </c>
      <c r="E50" s="52" t="s">
        <v>1190</v>
      </c>
      <c r="F50" s="52" t="s">
        <v>1145</v>
      </c>
      <c r="G50" s="52" t="s">
        <v>146</v>
      </c>
      <c r="H50" s="54" t="s">
        <v>695</v>
      </c>
      <c r="I50" s="41" t="s">
        <v>1111</v>
      </c>
      <c r="J50" s="55"/>
      <c r="K50" s="41"/>
    </row>
    <row r="51" spans="1:11" ht="31.95" customHeight="1" x14ac:dyDescent="0.3">
      <c r="A51" s="52" t="s">
        <v>1191</v>
      </c>
      <c r="B51" s="52" t="s">
        <v>1119</v>
      </c>
      <c r="C51" s="52" t="s">
        <v>1192</v>
      </c>
      <c r="D51" s="52" t="s">
        <v>1148</v>
      </c>
      <c r="E51" s="52" t="s">
        <v>1190</v>
      </c>
      <c r="F51" s="52" t="s">
        <v>1145</v>
      </c>
      <c r="G51" s="52" t="s">
        <v>146</v>
      </c>
      <c r="H51" s="54" t="s">
        <v>695</v>
      </c>
      <c r="I51" s="41" t="s">
        <v>1111</v>
      </c>
      <c r="J51" s="55"/>
      <c r="K51" s="41"/>
    </row>
    <row r="52" spans="1:11" ht="31.95" customHeight="1" x14ac:dyDescent="0.3">
      <c r="A52" s="52" t="s">
        <v>1193</v>
      </c>
      <c r="B52" s="52" t="s">
        <v>1119</v>
      </c>
      <c r="C52" s="52" t="s">
        <v>1194</v>
      </c>
      <c r="D52" s="52" t="s">
        <v>1151</v>
      </c>
      <c r="E52" s="52" t="s">
        <v>1190</v>
      </c>
      <c r="F52" s="52" t="s">
        <v>1152</v>
      </c>
      <c r="G52" s="52" t="s">
        <v>146</v>
      </c>
      <c r="H52" s="54" t="s">
        <v>695</v>
      </c>
      <c r="I52" s="41" t="s">
        <v>1111</v>
      </c>
      <c r="J52" s="55"/>
      <c r="K52" s="41"/>
    </row>
    <row r="53" spans="1:11" ht="31.95" customHeight="1" x14ac:dyDescent="0.3">
      <c r="A53" s="52" t="s">
        <v>1195</v>
      </c>
      <c r="B53" s="52" t="s">
        <v>1120</v>
      </c>
      <c r="C53" s="52" t="s">
        <v>1196</v>
      </c>
      <c r="D53" s="52" t="s">
        <v>1143</v>
      </c>
      <c r="E53" s="52" t="s">
        <v>1197</v>
      </c>
      <c r="F53" s="52" t="s">
        <v>1145</v>
      </c>
      <c r="G53" s="52" t="s">
        <v>146</v>
      </c>
      <c r="H53" s="54" t="s">
        <v>721</v>
      </c>
      <c r="I53" s="41" t="s">
        <v>1111</v>
      </c>
      <c r="J53" s="55"/>
      <c r="K53" s="41"/>
    </row>
    <row r="54" spans="1:11" ht="31.95" customHeight="1" x14ac:dyDescent="0.3">
      <c r="A54" s="52" t="s">
        <v>1198</v>
      </c>
      <c r="B54" s="52" t="s">
        <v>1120</v>
      </c>
      <c r="C54" s="52" t="s">
        <v>1199</v>
      </c>
      <c r="D54" s="52" t="s">
        <v>1148</v>
      </c>
      <c r="E54" s="52" t="s">
        <v>1197</v>
      </c>
      <c r="F54" s="52" t="s">
        <v>1145</v>
      </c>
      <c r="G54" s="52" t="s">
        <v>146</v>
      </c>
      <c r="H54" s="54" t="s">
        <v>721</v>
      </c>
      <c r="I54" s="41" t="s">
        <v>1111</v>
      </c>
      <c r="J54" s="55"/>
      <c r="K54" s="41"/>
    </row>
    <row r="55" spans="1:11" ht="31.95" customHeight="1" x14ac:dyDescent="0.3">
      <c r="A55" s="52" t="s">
        <v>1200</v>
      </c>
      <c r="B55" s="52" t="s">
        <v>1120</v>
      </c>
      <c r="C55" s="52" t="s">
        <v>1201</v>
      </c>
      <c r="D55" s="52" t="s">
        <v>1151</v>
      </c>
      <c r="E55" s="52" t="s">
        <v>1197</v>
      </c>
      <c r="F55" s="52" t="s">
        <v>1152</v>
      </c>
      <c r="G55" s="52" t="s">
        <v>146</v>
      </c>
      <c r="H55" s="54" t="s">
        <v>721</v>
      </c>
      <c r="I55" s="41" t="s">
        <v>1111</v>
      </c>
      <c r="J55" s="55"/>
      <c r="K55" s="41"/>
    </row>
    <row r="56" spans="1:11" ht="31.95" customHeight="1" x14ac:dyDescent="0.3">
      <c r="A56" s="52" t="s">
        <v>1202</v>
      </c>
      <c r="B56" s="52" t="s">
        <v>1121</v>
      </c>
      <c r="C56" s="52" t="s">
        <v>1203</v>
      </c>
      <c r="D56" s="52" t="s">
        <v>1143</v>
      </c>
      <c r="E56" s="52" t="s">
        <v>1204</v>
      </c>
      <c r="F56" s="52" t="s">
        <v>1145</v>
      </c>
      <c r="G56" s="52" t="s">
        <v>146</v>
      </c>
      <c r="H56" s="54" t="s">
        <v>728</v>
      </c>
      <c r="I56" s="41" t="s">
        <v>1111</v>
      </c>
      <c r="J56" s="55"/>
      <c r="K56" s="41"/>
    </row>
    <row r="57" spans="1:11" ht="31.95" customHeight="1" x14ac:dyDescent="0.3">
      <c r="A57" s="52" t="s">
        <v>1205</v>
      </c>
      <c r="B57" s="52" t="s">
        <v>1121</v>
      </c>
      <c r="C57" s="52" t="s">
        <v>1206</v>
      </c>
      <c r="D57" s="52" t="s">
        <v>1148</v>
      </c>
      <c r="E57" s="52" t="s">
        <v>1204</v>
      </c>
      <c r="F57" s="52" t="s">
        <v>1145</v>
      </c>
      <c r="G57" s="52" t="s">
        <v>146</v>
      </c>
      <c r="H57" s="54" t="s">
        <v>728</v>
      </c>
      <c r="I57" s="41" t="s">
        <v>1111</v>
      </c>
      <c r="J57" s="55"/>
      <c r="K57" s="41"/>
    </row>
    <row r="58" spans="1:11" ht="31.95" customHeight="1" x14ac:dyDescent="0.3">
      <c r="A58" s="52" t="s">
        <v>1207</v>
      </c>
      <c r="B58" s="52" t="s">
        <v>1121</v>
      </c>
      <c r="C58" s="52" t="s">
        <v>1208</v>
      </c>
      <c r="D58" s="52" t="s">
        <v>1151</v>
      </c>
      <c r="E58" s="52" t="s">
        <v>1204</v>
      </c>
      <c r="F58" s="52" t="s">
        <v>1152</v>
      </c>
      <c r="G58" s="52" t="s">
        <v>146</v>
      </c>
      <c r="H58" s="54" t="s">
        <v>728</v>
      </c>
      <c r="I58" s="41" t="s">
        <v>1111</v>
      </c>
      <c r="J58" s="55"/>
      <c r="K58" s="41"/>
    </row>
    <row r="59" spans="1:11" ht="31.95" customHeight="1" x14ac:dyDescent="0.3">
      <c r="A59" s="52" t="s">
        <v>1209</v>
      </c>
      <c r="B59" s="52" t="s">
        <v>1122</v>
      </c>
      <c r="C59" s="52" t="s">
        <v>1210</v>
      </c>
      <c r="D59" s="52" t="s">
        <v>1211</v>
      </c>
      <c r="E59" s="52" t="s">
        <v>1144</v>
      </c>
      <c r="F59" s="52" t="s">
        <v>1145</v>
      </c>
      <c r="G59" s="52" t="s">
        <v>146</v>
      </c>
      <c r="H59" s="54" t="s">
        <v>284</v>
      </c>
      <c r="I59" s="41" t="s">
        <v>1111</v>
      </c>
      <c r="J59" s="55"/>
      <c r="K59" s="41"/>
    </row>
    <row r="60" spans="1:11" ht="31.95" customHeight="1" x14ac:dyDescent="0.3">
      <c r="A60" s="52" t="s">
        <v>1212</v>
      </c>
      <c r="B60" s="52" t="s">
        <v>1122</v>
      </c>
      <c r="C60" s="52" t="s">
        <v>1213</v>
      </c>
      <c r="D60" s="52" t="s">
        <v>1214</v>
      </c>
      <c r="E60" s="52" t="s">
        <v>1144</v>
      </c>
      <c r="F60" s="52" t="s">
        <v>1145</v>
      </c>
      <c r="G60" s="52" t="s">
        <v>146</v>
      </c>
      <c r="H60" s="54" t="s">
        <v>291</v>
      </c>
      <c r="I60" s="41" t="s">
        <v>1111</v>
      </c>
      <c r="J60" s="55"/>
      <c r="K60" s="41"/>
    </row>
    <row r="61" spans="1:11" ht="31.95" customHeight="1" x14ac:dyDescent="0.3">
      <c r="A61" s="52" t="s">
        <v>1215</v>
      </c>
      <c r="B61" s="52" t="s">
        <v>1122</v>
      </c>
      <c r="C61" s="52" t="s">
        <v>1216</v>
      </c>
      <c r="D61" s="52" t="s">
        <v>1217</v>
      </c>
      <c r="E61" s="52" t="s">
        <v>1144</v>
      </c>
      <c r="F61" s="52" t="s">
        <v>1145</v>
      </c>
      <c r="G61" s="52" t="s">
        <v>146</v>
      </c>
      <c r="H61" s="54" t="s">
        <v>297</v>
      </c>
      <c r="I61" s="41" t="s">
        <v>1111</v>
      </c>
      <c r="J61" s="55"/>
      <c r="K61" s="41"/>
    </row>
    <row r="62" spans="1:11" ht="31.95" customHeight="1" x14ac:dyDescent="0.3">
      <c r="A62" s="52" t="s">
        <v>1218</v>
      </c>
      <c r="B62" s="52" t="s">
        <v>1122</v>
      </c>
      <c r="C62" s="52" t="s">
        <v>1219</v>
      </c>
      <c r="D62" s="52" t="s">
        <v>1220</v>
      </c>
      <c r="E62" s="52" t="s">
        <v>1144</v>
      </c>
      <c r="F62" s="52" t="s">
        <v>1145</v>
      </c>
      <c r="G62" s="52" t="s">
        <v>146</v>
      </c>
      <c r="H62" s="54" t="s">
        <v>303</v>
      </c>
      <c r="I62" s="41" t="s">
        <v>1111</v>
      </c>
      <c r="J62" s="55"/>
      <c r="K62" s="41"/>
    </row>
    <row r="63" spans="1:11" ht="31.95" customHeight="1" x14ac:dyDescent="0.3">
      <c r="A63" s="52" t="s">
        <v>1221</v>
      </c>
      <c r="B63" s="52" t="s">
        <v>1122</v>
      </c>
      <c r="C63" s="52" t="s">
        <v>1222</v>
      </c>
      <c r="D63" s="52" t="s">
        <v>1223</v>
      </c>
      <c r="E63" s="52" t="s">
        <v>1144</v>
      </c>
      <c r="F63" s="52" t="s">
        <v>1145</v>
      </c>
      <c r="G63" s="52" t="s">
        <v>146</v>
      </c>
      <c r="H63" s="54" t="s">
        <v>309</v>
      </c>
      <c r="I63" s="41" t="s">
        <v>1111</v>
      </c>
      <c r="J63" s="55"/>
      <c r="K63" s="41"/>
    </row>
    <row r="64" spans="1:11" ht="31.95" customHeight="1" x14ac:dyDescent="0.3">
      <c r="A64" s="52" t="s">
        <v>1224</v>
      </c>
      <c r="B64" s="52" t="s">
        <v>1122</v>
      </c>
      <c r="C64" s="52" t="s">
        <v>1225</v>
      </c>
      <c r="D64" s="52" t="s">
        <v>1226</v>
      </c>
      <c r="E64" s="52" t="s">
        <v>1144</v>
      </c>
      <c r="F64" s="52" t="s">
        <v>1145</v>
      </c>
      <c r="G64" s="52" t="s">
        <v>146</v>
      </c>
      <c r="H64" s="54" t="s">
        <v>315</v>
      </c>
      <c r="I64" s="41" t="s">
        <v>1111</v>
      </c>
      <c r="J64" s="55"/>
      <c r="K64" s="41"/>
    </row>
    <row r="65" spans="1:11" ht="31.95" customHeight="1" x14ac:dyDescent="0.3">
      <c r="A65" s="52" t="s">
        <v>1227</v>
      </c>
      <c r="B65" s="52" t="s">
        <v>1122</v>
      </c>
      <c r="C65" s="52" t="s">
        <v>1228</v>
      </c>
      <c r="D65" s="52" t="s">
        <v>1229</v>
      </c>
      <c r="E65" s="52" t="s">
        <v>1144</v>
      </c>
      <c r="F65" s="52" t="s">
        <v>1145</v>
      </c>
      <c r="G65" s="52" t="s">
        <v>146</v>
      </c>
      <c r="H65" s="54" t="s">
        <v>330</v>
      </c>
      <c r="I65" s="41" t="s">
        <v>1111</v>
      </c>
      <c r="J65" s="55"/>
      <c r="K65" s="41"/>
    </row>
    <row r="66" spans="1:11" ht="31.95" customHeight="1" x14ac:dyDescent="0.3">
      <c r="A66" s="52" t="s">
        <v>1230</v>
      </c>
      <c r="B66" s="52" t="s">
        <v>1122</v>
      </c>
      <c r="C66" s="52" t="s">
        <v>1231</v>
      </c>
      <c r="D66" s="52" t="s">
        <v>1232</v>
      </c>
      <c r="E66" s="52" t="s">
        <v>1144</v>
      </c>
      <c r="F66" s="52" t="s">
        <v>1145</v>
      </c>
      <c r="G66" s="52" t="s">
        <v>146</v>
      </c>
      <c r="H66" s="54" t="s">
        <v>387</v>
      </c>
      <c r="I66" s="41" t="s">
        <v>1111</v>
      </c>
      <c r="J66" s="55"/>
      <c r="K66" s="41"/>
    </row>
    <row r="67" spans="1:11" ht="31.95" customHeight="1" x14ac:dyDescent="0.3">
      <c r="A67" s="52" t="s">
        <v>1233</v>
      </c>
      <c r="B67" s="52" t="s">
        <v>1123</v>
      </c>
      <c r="C67" s="52" t="s">
        <v>1234</v>
      </c>
      <c r="D67" s="52" t="s">
        <v>1235</v>
      </c>
      <c r="E67" s="52" t="s">
        <v>1236</v>
      </c>
      <c r="F67" s="52" t="s">
        <v>1237</v>
      </c>
      <c r="G67" s="52" t="s">
        <v>146</v>
      </c>
      <c r="H67" s="54" t="s">
        <v>203</v>
      </c>
      <c r="I67" s="41" t="s">
        <v>1111</v>
      </c>
      <c r="J67" s="55"/>
      <c r="K67" s="41"/>
    </row>
    <row r="68" spans="1:11" ht="31.95" customHeight="1" x14ac:dyDescent="0.3">
      <c r="A68" s="52" t="s">
        <v>1238</v>
      </c>
      <c r="B68" s="52" t="s">
        <v>1123</v>
      </c>
      <c r="C68" s="52" t="s">
        <v>1239</v>
      </c>
      <c r="D68" s="52" t="s">
        <v>1240</v>
      </c>
      <c r="E68" s="52" t="s">
        <v>1236</v>
      </c>
      <c r="F68" s="52" t="s">
        <v>1237</v>
      </c>
      <c r="G68" s="52" t="s">
        <v>146</v>
      </c>
      <c r="H68" s="54" t="s">
        <v>203</v>
      </c>
      <c r="I68" s="41" t="s">
        <v>1111</v>
      </c>
      <c r="J68" s="55"/>
      <c r="K68" s="41"/>
    </row>
    <row r="69" spans="1:11" ht="31.95" customHeight="1" x14ac:dyDescent="0.3">
      <c r="A69" s="52" t="s">
        <v>1241</v>
      </c>
      <c r="B69" s="52" t="s">
        <v>1123</v>
      </c>
      <c r="C69" s="52" t="s">
        <v>1242</v>
      </c>
      <c r="D69" s="52" t="s">
        <v>1243</v>
      </c>
      <c r="E69" s="52" t="s">
        <v>1236</v>
      </c>
      <c r="F69" s="52" t="s">
        <v>1237</v>
      </c>
      <c r="G69" s="52" t="s">
        <v>146</v>
      </c>
      <c r="H69" s="54" t="s">
        <v>203</v>
      </c>
      <c r="I69" s="41" t="s">
        <v>1111</v>
      </c>
      <c r="J69" s="55"/>
      <c r="K69" s="41"/>
    </row>
    <row r="70" spans="1:11" ht="31.95" customHeight="1" x14ac:dyDescent="0.3">
      <c r="A70" s="52" t="s">
        <v>1244</v>
      </c>
      <c r="B70" s="52" t="s">
        <v>1123</v>
      </c>
      <c r="C70" s="52" t="s">
        <v>1245</v>
      </c>
      <c r="D70" s="52" t="s">
        <v>1246</v>
      </c>
      <c r="E70" s="52" t="s">
        <v>1236</v>
      </c>
      <c r="F70" s="52" t="s">
        <v>1237</v>
      </c>
      <c r="G70" s="52" t="s">
        <v>146</v>
      </c>
      <c r="H70" s="54" t="s">
        <v>203</v>
      </c>
      <c r="I70" s="41" t="s">
        <v>1111</v>
      </c>
      <c r="J70" s="55"/>
      <c r="K70" s="41"/>
    </row>
    <row r="71" spans="1:11" ht="31.95" customHeight="1" x14ac:dyDescent="0.3">
      <c r="A71" s="52" t="s">
        <v>1247</v>
      </c>
      <c r="B71" s="52" t="s">
        <v>1123</v>
      </c>
      <c r="C71" s="52" t="s">
        <v>1248</v>
      </c>
      <c r="D71" s="52" t="s">
        <v>1249</v>
      </c>
      <c r="E71" s="52" t="s">
        <v>1236</v>
      </c>
      <c r="F71" s="52" t="s">
        <v>1237</v>
      </c>
      <c r="G71" s="52" t="s">
        <v>146</v>
      </c>
      <c r="H71" s="54" t="s">
        <v>203</v>
      </c>
      <c r="I71" s="41" t="s">
        <v>1111</v>
      </c>
      <c r="J71" s="55"/>
      <c r="K71" s="41"/>
    </row>
    <row r="72" spans="1:11" ht="31.95" customHeight="1" x14ac:dyDescent="0.3">
      <c r="A72" s="52" t="s">
        <v>1250</v>
      </c>
      <c r="B72" s="52" t="s">
        <v>1124</v>
      </c>
      <c r="C72" s="52" t="s">
        <v>1251</v>
      </c>
      <c r="D72" s="52" t="s">
        <v>1252</v>
      </c>
      <c r="E72" s="52" t="s">
        <v>1236</v>
      </c>
      <c r="F72" s="52" t="s">
        <v>1253</v>
      </c>
      <c r="G72" s="52" t="s">
        <v>146</v>
      </c>
      <c r="H72" s="54" t="s">
        <v>826</v>
      </c>
      <c r="I72" s="41" t="s">
        <v>1111</v>
      </c>
      <c r="J72" s="55"/>
      <c r="K72" s="41"/>
    </row>
    <row r="73" spans="1:11" ht="31.95" customHeight="1" x14ac:dyDescent="0.3">
      <c r="A73" s="52" t="s">
        <v>1254</v>
      </c>
      <c r="B73" s="52" t="s">
        <v>1124</v>
      </c>
      <c r="C73" s="52" t="s">
        <v>1255</v>
      </c>
      <c r="D73" s="52" t="s">
        <v>1256</v>
      </c>
      <c r="E73" s="52" t="s">
        <v>1236</v>
      </c>
      <c r="F73" s="52" t="s">
        <v>1253</v>
      </c>
      <c r="G73" s="52" t="s">
        <v>146</v>
      </c>
      <c r="H73" s="54" t="s">
        <v>826</v>
      </c>
      <c r="I73" s="41" t="s">
        <v>1111</v>
      </c>
      <c r="J73" s="55"/>
      <c r="K73" s="41"/>
    </row>
    <row r="74" spans="1:11" ht="31.95" customHeight="1" x14ac:dyDescent="0.3">
      <c r="A74" s="52" t="s">
        <v>1257</v>
      </c>
      <c r="B74" s="52" t="s">
        <v>1124</v>
      </c>
      <c r="C74" s="52" t="s">
        <v>1258</v>
      </c>
      <c r="D74" s="52" t="s">
        <v>1259</v>
      </c>
      <c r="E74" s="52" t="s">
        <v>1236</v>
      </c>
      <c r="F74" s="52" t="s">
        <v>1253</v>
      </c>
      <c r="G74" s="52" t="s">
        <v>146</v>
      </c>
      <c r="H74" s="54" t="s">
        <v>826</v>
      </c>
      <c r="I74" s="41" t="s">
        <v>1111</v>
      </c>
      <c r="J74" s="55"/>
      <c r="K74" s="41"/>
    </row>
    <row r="75" spans="1:11" ht="31.95" customHeight="1" x14ac:dyDescent="0.3">
      <c r="A75" s="52" t="s">
        <v>1260</v>
      </c>
      <c r="B75" s="52" t="s">
        <v>1124</v>
      </c>
      <c r="C75" s="52" t="s">
        <v>1261</v>
      </c>
      <c r="D75" s="52" t="s">
        <v>1262</v>
      </c>
      <c r="E75" s="52" t="s">
        <v>1236</v>
      </c>
      <c r="F75" s="52" t="s">
        <v>1253</v>
      </c>
      <c r="G75" s="52" t="s">
        <v>146</v>
      </c>
      <c r="H75" s="54" t="s">
        <v>826</v>
      </c>
      <c r="I75" s="41" t="s">
        <v>1111</v>
      </c>
      <c r="J75" s="55"/>
      <c r="K75" s="41"/>
    </row>
    <row r="76" spans="1:11" ht="31.95" customHeight="1" x14ac:dyDescent="0.3">
      <c r="A76" s="52" t="s">
        <v>1263</v>
      </c>
      <c r="B76" s="52" t="s">
        <v>1124</v>
      </c>
      <c r="C76" s="52" t="s">
        <v>1264</v>
      </c>
      <c r="D76" s="52" t="s">
        <v>1265</v>
      </c>
      <c r="E76" s="52" t="s">
        <v>1236</v>
      </c>
      <c r="F76" s="52" t="s">
        <v>1253</v>
      </c>
      <c r="G76" s="52" t="s">
        <v>146</v>
      </c>
      <c r="H76" s="54" t="s">
        <v>826</v>
      </c>
      <c r="I76" s="41" t="s">
        <v>1111</v>
      </c>
      <c r="J76" s="55"/>
      <c r="K76" s="41"/>
    </row>
    <row r="77" spans="1:11" ht="31.95" customHeight="1" x14ac:dyDescent="0.3">
      <c r="A77" s="52" t="s">
        <v>1266</v>
      </c>
      <c r="B77" s="52" t="s">
        <v>1124</v>
      </c>
      <c r="C77" s="52" t="s">
        <v>1267</v>
      </c>
      <c r="D77" s="52" t="s">
        <v>1268</v>
      </c>
      <c r="E77" s="52" t="s">
        <v>1236</v>
      </c>
      <c r="F77" s="52" t="s">
        <v>1253</v>
      </c>
      <c r="G77" s="52" t="s">
        <v>146</v>
      </c>
      <c r="H77" s="54" t="s">
        <v>826</v>
      </c>
      <c r="I77" s="41" t="s">
        <v>1111</v>
      </c>
      <c r="J77" s="55"/>
      <c r="K77" s="41"/>
    </row>
    <row r="78" spans="1:11" ht="31.95" customHeight="1" x14ac:dyDescent="0.3">
      <c r="A78" s="52" t="s">
        <v>1269</v>
      </c>
      <c r="B78" s="52" t="s">
        <v>626</v>
      </c>
      <c r="C78" s="52" t="s">
        <v>1270</v>
      </c>
      <c r="D78" s="52" t="s">
        <v>1271</v>
      </c>
      <c r="E78" s="52" t="s">
        <v>1272</v>
      </c>
      <c r="F78" s="52" t="s">
        <v>1237</v>
      </c>
      <c r="G78" s="52" t="s">
        <v>146</v>
      </c>
      <c r="H78" s="54" t="s">
        <v>625</v>
      </c>
      <c r="I78" s="41" t="s">
        <v>1111</v>
      </c>
      <c r="J78" s="55"/>
      <c r="K78" s="41"/>
    </row>
    <row r="79" spans="1:11" ht="31.95" customHeight="1" x14ac:dyDescent="0.3">
      <c r="A79" s="52" t="s">
        <v>1273</v>
      </c>
      <c r="B79" s="52" t="s">
        <v>626</v>
      </c>
      <c r="C79" s="52" t="s">
        <v>1274</v>
      </c>
      <c r="D79" s="52" t="s">
        <v>1275</v>
      </c>
      <c r="E79" s="52" t="s">
        <v>1272</v>
      </c>
      <c r="F79" s="52" t="s">
        <v>1237</v>
      </c>
      <c r="G79" s="52" t="s">
        <v>146</v>
      </c>
      <c r="H79" s="54" t="s">
        <v>625</v>
      </c>
      <c r="I79" s="41" t="s">
        <v>1111</v>
      </c>
      <c r="J79" s="55"/>
      <c r="K79" s="41"/>
    </row>
    <row r="80" spans="1:11" ht="31.95" customHeight="1" x14ac:dyDescent="0.3">
      <c r="A80" s="52" t="s">
        <v>1276</v>
      </c>
      <c r="B80" s="52" t="s">
        <v>626</v>
      </c>
      <c r="C80" s="52" t="s">
        <v>1277</v>
      </c>
      <c r="D80" s="52" t="s">
        <v>1278</v>
      </c>
      <c r="E80" s="52" t="s">
        <v>1272</v>
      </c>
      <c r="F80" s="52" t="s">
        <v>1237</v>
      </c>
      <c r="G80" s="52" t="s">
        <v>146</v>
      </c>
      <c r="H80" s="54" t="s">
        <v>625</v>
      </c>
      <c r="I80" s="41" t="s">
        <v>1111</v>
      </c>
      <c r="J80" s="55"/>
      <c r="K80" s="41"/>
    </row>
    <row r="81" spans="1:11" ht="31.95" customHeight="1" x14ac:dyDescent="0.3">
      <c r="A81" s="52" t="s">
        <v>1279</v>
      </c>
      <c r="B81" s="52" t="s">
        <v>626</v>
      </c>
      <c r="C81" s="52" t="s">
        <v>633</v>
      </c>
      <c r="D81" s="52" t="s">
        <v>1280</v>
      </c>
      <c r="E81" s="52" t="s">
        <v>1272</v>
      </c>
      <c r="F81" s="52" t="s">
        <v>1237</v>
      </c>
      <c r="G81" s="52" t="s">
        <v>146</v>
      </c>
      <c r="H81" s="54" t="s">
        <v>632</v>
      </c>
      <c r="I81" s="41" t="s">
        <v>1111</v>
      </c>
      <c r="J81" s="55"/>
      <c r="K81" s="41"/>
    </row>
    <row r="82" spans="1:11" ht="31.95" customHeight="1" x14ac:dyDescent="0.3">
      <c r="A82" s="52" t="s">
        <v>1281</v>
      </c>
      <c r="B82" s="52" t="s">
        <v>626</v>
      </c>
      <c r="C82" s="52" t="s">
        <v>1282</v>
      </c>
      <c r="D82" s="52" t="s">
        <v>1283</v>
      </c>
      <c r="E82" s="52" t="s">
        <v>1272</v>
      </c>
      <c r="F82" s="52" t="s">
        <v>1237</v>
      </c>
      <c r="G82" s="52" t="s">
        <v>146</v>
      </c>
      <c r="H82" s="54" t="s">
        <v>639</v>
      </c>
      <c r="I82" s="41" t="s">
        <v>1111</v>
      </c>
      <c r="J82" s="55"/>
      <c r="K82" s="41"/>
    </row>
    <row r="83" spans="1:11" ht="31.95" customHeight="1" x14ac:dyDescent="0.3">
      <c r="A83" s="52" t="s">
        <v>1284</v>
      </c>
      <c r="B83" s="52" t="s">
        <v>626</v>
      </c>
      <c r="C83" s="52" t="s">
        <v>1285</v>
      </c>
      <c r="D83" s="52" t="s">
        <v>1286</v>
      </c>
      <c r="E83" s="52" t="s">
        <v>1272</v>
      </c>
      <c r="F83" s="52" t="s">
        <v>1237</v>
      </c>
      <c r="G83" s="52" t="s">
        <v>146</v>
      </c>
      <c r="H83" s="54" t="s">
        <v>681</v>
      </c>
      <c r="I83" s="41" t="s">
        <v>1111</v>
      </c>
      <c r="J83" s="55"/>
      <c r="K83" s="41"/>
    </row>
    <row r="84" spans="1:11" ht="31.95" customHeight="1" x14ac:dyDescent="0.3">
      <c r="A84" s="52" t="s">
        <v>1287</v>
      </c>
      <c r="B84" s="52" t="s">
        <v>626</v>
      </c>
      <c r="C84" s="52" t="s">
        <v>1288</v>
      </c>
      <c r="D84" s="52" t="s">
        <v>1289</v>
      </c>
      <c r="E84" s="52" t="s">
        <v>1272</v>
      </c>
      <c r="F84" s="52" t="s">
        <v>1237</v>
      </c>
      <c r="G84" s="52" t="s">
        <v>146</v>
      </c>
      <c r="H84" s="54" t="s">
        <v>681</v>
      </c>
      <c r="I84" s="41" t="s">
        <v>1111</v>
      </c>
      <c r="J84" s="55"/>
      <c r="K84" s="41"/>
    </row>
    <row r="85" spans="1:11" ht="31.95" customHeight="1" x14ac:dyDescent="0.3">
      <c r="A85" s="52" t="s">
        <v>1290</v>
      </c>
      <c r="B85" s="52" t="s">
        <v>626</v>
      </c>
      <c r="C85" s="52" t="s">
        <v>675</v>
      </c>
      <c r="D85" s="52" t="s">
        <v>1291</v>
      </c>
      <c r="E85" s="52" t="s">
        <v>1272</v>
      </c>
      <c r="F85" s="52" t="s">
        <v>1237</v>
      </c>
      <c r="G85" s="52" t="s">
        <v>146</v>
      </c>
      <c r="H85" s="54" t="s">
        <v>673</v>
      </c>
      <c r="I85" s="41" t="s">
        <v>1111</v>
      </c>
      <c r="J85" s="55"/>
      <c r="K85" s="41"/>
    </row>
    <row r="86" spans="1:11" ht="31.95" customHeight="1" x14ac:dyDescent="0.3">
      <c r="A86" s="52" t="s">
        <v>1292</v>
      </c>
      <c r="B86" s="52" t="s">
        <v>1125</v>
      </c>
      <c r="C86" s="52" t="s">
        <v>1293</v>
      </c>
      <c r="D86" s="52" t="s">
        <v>1294</v>
      </c>
      <c r="E86" s="52" t="s">
        <v>1295</v>
      </c>
      <c r="F86" s="52" t="s">
        <v>1296</v>
      </c>
      <c r="G86" s="52" t="s">
        <v>146</v>
      </c>
      <c r="H86" s="54" t="s">
        <v>646</v>
      </c>
      <c r="I86" s="41" t="s">
        <v>1111</v>
      </c>
      <c r="J86" s="55"/>
      <c r="K86" s="41"/>
    </row>
    <row r="87" spans="1:11" ht="31.95" customHeight="1" x14ac:dyDescent="0.3">
      <c r="A87" s="52" t="s">
        <v>1297</v>
      </c>
      <c r="B87" s="52" t="s">
        <v>1125</v>
      </c>
      <c r="C87" s="52" t="s">
        <v>1298</v>
      </c>
      <c r="D87" s="52" t="s">
        <v>1299</v>
      </c>
      <c r="E87" s="52" t="s">
        <v>1295</v>
      </c>
      <c r="F87" s="52" t="s">
        <v>1296</v>
      </c>
      <c r="G87" s="52" t="s">
        <v>146</v>
      </c>
      <c r="H87" s="54" t="s">
        <v>646</v>
      </c>
      <c r="I87" s="41" t="s">
        <v>1111</v>
      </c>
      <c r="J87" s="55"/>
      <c r="K87" s="41"/>
    </row>
    <row r="88" spans="1:11" ht="31.95" customHeight="1" x14ac:dyDescent="0.3">
      <c r="A88" s="52" t="s">
        <v>1300</v>
      </c>
      <c r="B88" s="52" t="s">
        <v>1125</v>
      </c>
      <c r="C88" s="52" t="s">
        <v>1301</v>
      </c>
      <c r="D88" s="52" t="s">
        <v>1302</v>
      </c>
      <c r="E88" s="52" t="s">
        <v>1295</v>
      </c>
      <c r="F88" s="52" t="s">
        <v>1296</v>
      </c>
      <c r="G88" s="52" t="s">
        <v>146</v>
      </c>
      <c r="H88" s="54" t="s">
        <v>646</v>
      </c>
      <c r="I88" s="41" t="s">
        <v>1111</v>
      </c>
      <c r="J88" s="55"/>
      <c r="K88" s="41"/>
    </row>
    <row r="89" spans="1:11" ht="31.95" customHeight="1" x14ac:dyDescent="0.3">
      <c r="A89" s="52" t="s">
        <v>1303</v>
      </c>
      <c r="B89" s="52" t="s">
        <v>1125</v>
      </c>
      <c r="C89" s="52" t="s">
        <v>1304</v>
      </c>
      <c r="D89" s="52" t="s">
        <v>1305</v>
      </c>
      <c r="E89" s="52" t="s">
        <v>1295</v>
      </c>
      <c r="F89" s="52" t="s">
        <v>1296</v>
      </c>
      <c r="G89" s="52" t="s">
        <v>146</v>
      </c>
      <c r="H89" s="54" t="s">
        <v>646</v>
      </c>
      <c r="I89" s="41" t="s">
        <v>1111</v>
      </c>
      <c r="J89" s="55"/>
      <c r="K89" s="41"/>
    </row>
    <row r="90" spans="1:11" ht="31.95" customHeight="1" x14ac:dyDescent="0.3">
      <c r="A90" s="52" t="s">
        <v>1306</v>
      </c>
      <c r="B90" s="52" t="s">
        <v>1125</v>
      </c>
      <c r="C90" s="52" t="s">
        <v>1307</v>
      </c>
      <c r="D90" s="52" t="s">
        <v>1308</v>
      </c>
      <c r="E90" s="52" t="s">
        <v>1295</v>
      </c>
      <c r="F90" s="52" t="s">
        <v>1296</v>
      </c>
      <c r="G90" s="52" t="s">
        <v>146</v>
      </c>
      <c r="H90" s="54" t="s">
        <v>646</v>
      </c>
      <c r="I90" s="41" t="s">
        <v>1111</v>
      </c>
      <c r="J90" s="55"/>
      <c r="K90" s="41"/>
    </row>
    <row r="91" spans="1:11" ht="31.95" customHeight="1" x14ac:dyDescent="0.3">
      <c r="A91" s="52" t="s">
        <v>1309</v>
      </c>
      <c r="B91" s="52" t="s">
        <v>1126</v>
      </c>
      <c r="C91" s="52" t="s">
        <v>1310</v>
      </c>
      <c r="D91" s="52" t="s">
        <v>1311</v>
      </c>
      <c r="E91" s="52" t="s">
        <v>1312</v>
      </c>
      <c r="F91" s="52" t="s">
        <v>1296</v>
      </c>
      <c r="G91" s="52" t="s">
        <v>146</v>
      </c>
      <c r="H91" s="54" t="s">
        <v>660</v>
      </c>
      <c r="I91" s="41" t="s">
        <v>1111</v>
      </c>
      <c r="J91" s="55"/>
      <c r="K91" s="41"/>
    </row>
    <row r="92" spans="1:11" ht="31.95" customHeight="1" x14ac:dyDescent="0.3">
      <c r="A92" s="52" t="s">
        <v>1313</v>
      </c>
      <c r="B92" s="52" t="s">
        <v>1126</v>
      </c>
      <c r="C92" s="52" t="s">
        <v>1314</v>
      </c>
      <c r="D92" s="52" t="s">
        <v>1315</v>
      </c>
      <c r="E92" s="52" t="s">
        <v>1312</v>
      </c>
      <c r="F92" s="52" t="s">
        <v>1296</v>
      </c>
      <c r="G92" s="52" t="s">
        <v>146</v>
      </c>
      <c r="H92" s="54" t="s">
        <v>660</v>
      </c>
      <c r="I92" s="41" t="s">
        <v>1111</v>
      </c>
      <c r="J92" s="55"/>
      <c r="K92" s="41"/>
    </row>
    <row r="93" spans="1:11" ht="31.95" customHeight="1" x14ac:dyDescent="0.3">
      <c r="A93" s="52" t="s">
        <v>1316</v>
      </c>
      <c r="B93" s="52" t="s">
        <v>1126</v>
      </c>
      <c r="C93" s="52" t="s">
        <v>1317</v>
      </c>
      <c r="D93" s="52" t="s">
        <v>1318</v>
      </c>
      <c r="E93" s="52" t="s">
        <v>1312</v>
      </c>
      <c r="F93" s="52" t="s">
        <v>1296</v>
      </c>
      <c r="G93" s="52" t="s">
        <v>146</v>
      </c>
      <c r="H93" s="54" t="s">
        <v>660</v>
      </c>
      <c r="I93" s="41" t="s">
        <v>1111</v>
      </c>
      <c r="J93" s="55"/>
      <c r="K93" s="41"/>
    </row>
    <row r="94" spans="1:11" ht="31.95" customHeight="1" x14ac:dyDescent="0.3">
      <c r="A94" s="52" t="s">
        <v>1319</v>
      </c>
      <c r="B94" s="52" t="s">
        <v>1126</v>
      </c>
      <c r="C94" s="52" t="s">
        <v>1320</v>
      </c>
      <c r="D94" s="52" t="s">
        <v>1321</v>
      </c>
      <c r="E94" s="52" t="s">
        <v>1312</v>
      </c>
      <c r="F94" s="52" t="s">
        <v>1296</v>
      </c>
      <c r="G94" s="52" t="s">
        <v>146</v>
      </c>
      <c r="H94" s="54" t="s">
        <v>660</v>
      </c>
      <c r="I94" s="41" t="s">
        <v>1111</v>
      </c>
      <c r="J94" s="55"/>
      <c r="K94" s="41"/>
    </row>
    <row r="95" spans="1:11" ht="31.95" customHeight="1" x14ac:dyDescent="0.3">
      <c r="A95" s="52" t="s">
        <v>1322</v>
      </c>
      <c r="B95" s="52" t="s">
        <v>1126</v>
      </c>
      <c r="C95" s="52" t="s">
        <v>1323</v>
      </c>
      <c r="D95" s="52" t="s">
        <v>1324</v>
      </c>
      <c r="E95" s="52" t="s">
        <v>1312</v>
      </c>
      <c r="F95" s="52" t="s">
        <v>1296</v>
      </c>
      <c r="G95" s="52" t="s">
        <v>146</v>
      </c>
      <c r="H95" s="54" t="s">
        <v>660</v>
      </c>
      <c r="I95" s="41" t="s">
        <v>1111</v>
      </c>
      <c r="J95" s="55"/>
      <c r="K95" s="41"/>
    </row>
    <row r="96" spans="1:11" ht="31.95" customHeight="1" x14ac:dyDescent="0.3">
      <c r="A96" s="52" t="s">
        <v>1325</v>
      </c>
      <c r="B96" s="52" t="s">
        <v>1126</v>
      </c>
      <c r="C96" s="52" t="s">
        <v>1326</v>
      </c>
      <c r="D96" s="52" t="s">
        <v>1327</v>
      </c>
      <c r="E96" s="52" t="s">
        <v>1312</v>
      </c>
      <c r="F96" s="52" t="s">
        <v>1296</v>
      </c>
      <c r="G96" s="52" t="s">
        <v>146</v>
      </c>
      <c r="H96" s="54" t="s">
        <v>660</v>
      </c>
      <c r="I96" s="41" t="s">
        <v>1111</v>
      </c>
      <c r="J96" s="55"/>
      <c r="K96" s="41"/>
    </row>
    <row r="97" spans="1:11" ht="31.95" customHeight="1" x14ac:dyDescent="0.3">
      <c r="A97" s="52" t="s">
        <v>1328</v>
      </c>
      <c r="B97" s="52" t="s">
        <v>1126</v>
      </c>
      <c r="C97" s="52" t="s">
        <v>1329</v>
      </c>
      <c r="D97" s="52" t="s">
        <v>1330</v>
      </c>
      <c r="E97" s="52" t="s">
        <v>1312</v>
      </c>
      <c r="F97" s="52" t="s">
        <v>1296</v>
      </c>
      <c r="G97" s="52" t="s">
        <v>146</v>
      </c>
      <c r="H97" s="54" t="s">
        <v>660</v>
      </c>
      <c r="I97" s="41" t="s">
        <v>1111</v>
      </c>
      <c r="J97" s="55"/>
      <c r="K97" s="41"/>
    </row>
    <row r="98" spans="1:11" ht="31.95" customHeight="1" x14ac:dyDescent="0.3">
      <c r="A98" s="52" t="s">
        <v>1331</v>
      </c>
      <c r="B98" s="52" t="s">
        <v>1127</v>
      </c>
      <c r="C98" s="52" t="s">
        <v>1332</v>
      </c>
      <c r="D98" s="52" t="s">
        <v>1333</v>
      </c>
      <c r="E98" s="52" t="s">
        <v>1236</v>
      </c>
      <c r="F98" s="52" t="s">
        <v>1334</v>
      </c>
      <c r="G98" s="52" t="s">
        <v>146</v>
      </c>
      <c r="H98" s="54" t="s">
        <v>798</v>
      </c>
      <c r="I98" s="41" t="s">
        <v>1111</v>
      </c>
      <c r="J98" s="55"/>
      <c r="K98" s="41"/>
    </row>
    <row r="99" spans="1:11" ht="31.95" customHeight="1" x14ac:dyDescent="0.3">
      <c r="A99" s="52" t="s">
        <v>1335</v>
      </c>
      <c r="B99" s="52" t="s">
        <v>1127</v>
      </c>
      <c r="C99" s="52" t="s">
        <v>1336</v>
      </c>
      <c r="D99" s="52" t="s">
        <v>1337</v>
      </c>
      <c r="E99" s="52" t="s">
        <v>1236</v>
      </c>
      <c r="F99" s="52" t="s">
        <v>1334</v>
      </c>
      <c r="G99" s="52" t="s">
        <v>146</v>
      </c>
      <c r="H99" s="54" t="s">
        <v>798</v>
      </c>
      <c r="I99" s="41" t="s">
        <v>1111</v>
      </c>
      <c r="J99" s="55"/>
      <c r="K99" s="41"/>
    </row>
    <row r="100" spans="1:11" ht="31.95" customHeight="1" x14ac:dyDescent="0.3">
      <c r="A100" s="52" t="s">
        <v>1338</v>
      </c>
      <c r="B100" s="52" t="s">
        <v>1127</v>
      </c>
      <c r="C100" s="52" t="s">
        <v>1339</v>
      </c>
      <c r="D100" s="52" t="s">
        <v>1340</v>
      </c>
      <c r="E100" s="52" t="s">
        <v>1236</v>
      </c>
      <c r="F100" s="52" t="s">
        <v>1334</v>
      </c>
      <c r="G100" s="52" t="s">
        <v>146</v>
      </c>
      <c r="H100" s="54" t="s">
        <v>798</v>
      </c>
      <c r="I100" s="41" t="s">
        <v>1111</v>
      </c>
      <c r="J100" s="55"/>
      <c r="K100" s="41"/>
    </row>
    <row r="101" spans="1:11" ht="31.95" customHeight="1" x14ac:dyDescent="0.3">
      <c r="A101" s="52" t="s">
        <v>1341</v>
      </c>
      <c r="B101" s="52" t="s">
        <v>1127</v>
      </c>
      <c r="C101" s="52" t="s">
        <v>1342</v>
      </c>
      <c r="D101" s="52" t="s">
        <v>1343</v>
      </c>
      <c r="E101" s="52" t="s">
        <v>1236</v>
      </c>
      <c r="F101" s="52" t="s">
        <v>1334</v>
      </c>
      <c r="G101" s="52" t="s">
        <v>146</v>
      </c>
      <c r="H101" s="54" t="s">
        <v>798</v>
      </c>
      <c r="I101" s="41" t="s">
        <v>1111</v>
      </c>
      <c r="J101" s="55"/>
      <c r="K101" s="41"/>
    </row>
    <row r="102" spans="1:11" ht="31.95" customHeight="1" x14ac:dyDescent="0.3">
      <c r="A102" s="52" t="s">
        <v>1344</v>
      </c>
      <c r="B102" s="52" t="s">
        <v>1127</v>
      </c>
      <c r="C102" s="52" t="s">
        <v>1345</v>
      </c>
      <c r="D102" s="52" t="s">
        <v>1346</v>
      </c>
      <c r="E102" s="52" t="s">
        <v>1236</v>
      </c>
      <c r="F102" s="52" t="s">
        <v>1334</v>
      </c>
      <c r="G102" s="52" t="s">
        <v>146</v>
      </c>
      <c r="H102" s="54" t="s">
        <v>798</v>
      </c>
      <c r="I102" s="41" t="s">
        <v>1111</v>
      </c>
      <c r="J102" s="55"/>
      <c r="K102" s="41"/>
    </row>
    <row r="103" spans="1:11" ht="31.95" customHeight="1" x14ac:dyDescent="0.3">
      <c r="A103" s="52" t="s">
        <v>1347</v>
      </c>
      <c r="B103" s="52" t="s">
        <v>1127</v>
      </c>
      <c r="C103" s="52" t="s">
        <v>1348</v>
      </c>
      <c r="D103" s="52" t="s">
        <v>1349</v>
      </c>
      <c r="E103" s="52" t="s">
        <v>1236</v>
      </c>
      <c r="F103" s="52" t="s">
        <v>1334</v>
      </c>
      <c r="G103" s="52" t="s">
        <v>146</v>
      </c>
      <c r="H103" s="54" t="s">
        <v>798</v>
      </c>
      <c r="I103" s="41" t="s">
        <v>1111</v>
      </c>
      <c r="J103" s="55"/>
      <c r="K103" s="41"/>
    </row>
    <row r="104" spans="1:11" ht="31.95" customHeight="1" x14ac:dyDescent="0.3">
      <c r="A104" s="52" t="s">
        <v>1350</v>
      </c>
      <c r="B104" s="52" t="s">
        <v>1127</v>
      </c>
      <c r="C104" s="52" t="s">
        <v>1351</v>
      </c>
      <c r="D104" s="52" t="s">
        <v>1352</v>
      </c>
      <c r="E104" s="52" t="s">
        <v>1236</v>
      </c>
      <c r="F104" s="52" t="s">
        <v>1334</v>
      </c>
      <c r="G104" s="52" t="s">
        <v>146</v>
      </c>
      <c r="H104" s="54" t="s">
        <v>798</v>
      </c>
      <c r="I104" s="41" t="s">
        <v>1111</v>
      </c>
      <c r="J104" s="55"/>
      <c r="K104" s="41"/>
    </row>
    <row r="105" spans="1:11" ht="31.95" customHeight="1" x14ac:dyDescent="0.3">
      <c r="A105" s="52" t="s">
        <v>1353</v>
      </c>
      <c r="B105" s="52" t="s">
        <v>1127</v>
      </c>
      <c r="C105" s="52" t="s">
        <v>1354</v>
      </c>
      <c r="D105" s="52" t="s">
        <v>1355</v>
      </c>
      <c r="E105" s="52" t="s">
        <v>1236</v>
      </c>
      <c r="F105" s="52" t="s">
        <v>1334</v>
      </c>
      <c r="G105" s="52" t="s">
        <v>146</v>
      </c>
      <c r="H105" s="54" t="s">
        <v>798</v>
      </c>
      <c r="I105" s="41" t="s">
        <v>1111</v>
      </c>
      <c r="J105" s="55"/>
      <c r="K105" s="41"/>
    </row>
    <row r="106" spans="1:11" ht="31.95" customHeight="1" x14ac:dyDescent="0.3">
      <c r="A106" s="52" t="s">
        <v>1356</v>
      </c>
      <c r="B106" s="52" t="s">
        <v>1128</v>
      </c>
      <c r="C106" s="52" t="s">
        <v>1357</v>
      </c>
      <c r="D106" s="52" t="s">
        <v>1358</v>
      </c>
      <c r="E106" s="52" t="s">
        <v>773</v>
      </c>
      <c r="F106" s="52" t="s">
        <v>1334</v>
      </c>
      <c r="G106" s="52" t="s">
        <v>146</v>
      </c>
      <c r="H106" s="54" t="s">
        <v>791</v>
      </c>
      <c r="I106" s="41" t="s">
        <v>1111</v>
      </c>
      <c r="J106" s="55"/>
      <c r="K106" s="41"/>
    </row>
    <row r="107" spans="1:11" ht="31.95" customHeight="1" x14ac:dyDescent="0.3">
      <c r="A107" s="52" t="s">
        <v>1359</v>
      </c>
      <c r="B107" s="52" t="s">
        <v>1128</v>
      </c>
      <c r="C107" s="52" t="s">
        <v>1360</v>
      </c>
      <c r="D107" s="52" t="s">
        <v>1361</v>
      </c>
      <c r="E107" s="52" t="s">
        <v>773</v>
      </c>
      <c r="F107" s="52" t="s">
        <v>1334</v>
      </c>
      <c r="G107" s="52" t="s">
        <v>146</v>
      </c>
      <c r="H107" s="54" t="s">
        <v>791</v>
      </c>
      <c r="I107" s="41" t="s">
        <v>1111</v>
      </c>
      <c r="J107" s="55"/>
      <c r="K107" s="41"/>
    </row>
    <row r="108" spans="1:11" ht="31.95" customHeight="1" x14ac:dyDescent="0.3">
      <c r="A108" s="52" t="s">
        <v>1362</v>
      </c>
      <c r="B108" s="52" t="s">
        <v>1128</v>
      </c>
      <c r="C108" s="52" t="s">
        <v>1363</v>
      </c>
      <c r="D108" s="52" t="s">
        <v>1364</v>
      </c>
      <c r="E108" s="52" t="s">
        <v>773</v>
      </c>
      <c r="F108" s="52" t="s">
        <v>1334</v>
      </c>
      <c r="G108" s="52" t="s">
        <v>146</v>
      </c>
      <c r="H108" s="54" t="s">
        <v>791</v>
      </c>
      <c r="I108" s="41" t="s">
        <v>1111</v>
      </c>
      <c r="J108" s="55"/>
      <c r="K108" s="41"/>
    </row>
    <row r="109" spans="1:11" ht="31.95" customHeight="1" x14ac:dyDescent="0.3">
      <c r="A109" s="52" t="s">
        <v>1365</v>
      </c>
      <c r="B109" s="52" t="s">
        <v>1128</v>
      </c>
      <c r="C109" s="52" t="s">
        <v>1366</v>
      </c>
      <c r="D109" s="52" t="s">
        <v>1367</v>
      </c>
      <c r="E109" s="52" t="s">
        <v>773</v>
      </c>
      <c r="F109" s="52" t="s">
        <v>1334</v>
      </c>
      <c r="G109" s="52" t="s">
        <v>146</v>
      </c>
      <c r="H109" s="54" t="s">
        <v>791</v>
      </c>
      <c r="I109" s="41" t="s">
        <v>1111</v>
      </c>
      <c r="J109" s="55"/>
      <c r="K109" s="41"/>
    </row>
    <row r="110" spans="1:11" ht="31.95" customHeight="1" x14ac:dyDescent="0.3">
      <c r="A110" s="52" t="s">
        <v>1368</v>
      </c>
      <c r="B110" s="52" t="s">
        <v>1128</v>
      </c>
      <c r="C110" s="52" t="s">
        <v>1369</v>
      </c>
      <c r="D110" s="52" t="s">
        <v>1370</v>
      </c>
      <c r="E110" s="52" t="s">
        <v>773</v>
      </c>
      <c r="F110" s="52" t="s">
        <v>1334</v>
      </c>
      <c r="G110" s="52" t="s">
        <v>146</v>
      </c>
      <c r="H110" s="54" t="s">
        <v>791</v>
      </c>
      <c r="I110" s="41" t="s">
        <v>1111</v>
      </c>
      <c r="J110" s="55"/>
      <c r="K110" s="41"/>
    </row>
    <row r="111" spans="1:11" ht="31.95" customHeight="1" x14ac:dyDescent="0.3">
      <c r="A111" s="52" t="s">
        <v>1371</v>
      </c>
      <c r="B111" s="52" t="s">
        <v>811</v>
      </c>
      <c r="C111" s="52" t="s">
        <v>1372</v>
      </c>
      <c r="D111" s="52" t="s">
        <v>1373</v>
      </c>
      <c r="E111" s="52" t="s">
        <v>1374</v>
      </c>
      <c r="F111" s="52" t="s">
        <v>1375</v>
      </c>
      <c r="G111" s="52" t="s">
        <v>146</v>
      </c>
      <c r="H111" s="54" t="s">
        <v>810</v>
      </c>
      <c r="I111" s="41" t="s">
        <v>1111</v>
      </c>
      <c r="J111" s="55"/>
      <c r="K111" s="41"/>
    </row>
    <row r="112" spans="1:11" ht="31.95" customHeight="1" x14ac:dyDescent="0.3">
      <c r="A112" s="52" t="s">
        <v>1376</v>
      </c>
      <c r="B112" s="52" t="s">
        <v>811</v>
      </c>
      <c r="C112" s="52" t="s">
        <v>1377</v>
      </c>
      <c r="D112" s="52" t="s">
        <v>1373</v>
      </c>
      <c r="E112" s="52" t="s">
        <v>1374</v>
      </c>
      <c r="F112" s="52" t="s">
        <v>1375</v>
      </c>
      <c r="G112" s="52" t="s">
        <v>146</v>
      </c>
      <c r="H112" s="54" t="s">
        <v>810</v>
      </c>
      <c r="I112" s="41" t="s">
        <v>1111</v>
      </c>
      <c r="J112" s="55"/>
      <c r="K112" s="41"/>
    </row>
    <row r="113" spans="1:11" ht="31.95" customHeight="1" x14ac:dyDescent="0.3">
      <c r="A113" s="52" t="s">
        <v>1378</v>
      </c>
      <c r="B113" s="52" t="s">
        <v>811</v>
      </c>
      <c r="C113" s="52" t="s">
        <v>1379</v>
      </c>
      <c r="D113" s="52" t="s">
        <v>1380</v>
      </c>
      <c r="E113" s="52" t="s">
        <v>1374</v>
      </c>
      <c r="F113" s="52" t="s">
        <v>1375</v>
      </c>
      <c r="G113" s="52" t="s">
        <v>146</v>
      </c>
      <c r="H113" s="54" t="s">
        <v>810</v>
      </c>
      <c r="I113" s="41" t="s">
        <v>1111</v>
      </c>
      <c r="J113" s="55"/>
      <c r="K113" s="41"/>
    </row>
    <row r="114" spans="1:11" ht="31.95" customHeight="1" x14ac:dyDescent="0.3">
      <c r="A114" s="52" t="s">
        <v>1381</v>
      </c>
      <c r="B114" s="52" t="s">
        <v>811</v>
      </c>
      <c r="C114" s="52" t="s">
        <v>1382</v>
      </c>
      <c r="D114" s="52" t="s">
        <v>1383</v>
      </c>
      <c r="E114" s="52" t="s">
        <v>1374</v>
      </c>
      <c r="F114" s="52" t="s">
        <v>1375</v>
      </c>
      <c r="G114" s="52" t="s">
        <v>146</v>
      </c>
      <c r="H114" s="54" t="s">
        <v>810</v>
      </c>
      <c r="I114" s="41" t="s">
        <v>1111</v>
      </c>
      <c r="J114" s="55"/>
      <c r="K114" s="41"/>
    </row>
    <row r="115" spans="1:11" ht="31.95" customHeight="1" x14ac:dyDescent="0.3">
      <c r="A115" s="52" t="s">
        <v>1384</v>
      </c>
      <c r="B115" s="52" t="s">
        <v>811</v>
      </c>
      <c r="C115" s="52" t="s">
        <v>1385</v>
      </c>
      <c r="D115" s="52" t="s">
        <v>1386</v>
      </c>
      <c r="E115" s="52" t="s">
        <v>1374</v>
      </c>
      <c r="F115" s="52" t="s">
        <v>1375</v>
      </c>
      <c r="G115" s="52" t="s">
        <v>146</v>
      </c>
      <c r="H115" s="54" t="s">
        <v>810</v>
      </c>
      <c r="I115" s="41" t="s">
        <v>1111</v>
      </c>
      <c r="J115" s="55"/>
      <c r="K115" s="41"/>
    </row>
    <row r="116" spans="1:11" ht="31.95" customHeight="1" x14ac:dyDescent="0.3">
      <c r="A116" s="52" t="s">
        <v>1387</v>
      </c>
      <c r="B116" s="52" t="s">
        <v>811</v>
      </c>
      <c r="C116" s="52" t="s">
        <v>1388</v>
      </c>
      <c r="D116" s="52" t="s">
        <v>1389</v>
      </c>
      <c r="E116" s="52" t="s">
        <v>1374</v>
      </c>
      <c r="F116" s="52" t="s">
        <v>1375</v>
      </c>
      <c r="G116" s="52" t="s">
        <v>146</v>
      </c>
      <c r="H116" s="54" t="s">
        <v>810</v>
      </c>
      <c r="I116" s="41" t="s">
        <v>1111</v>
      </c>
      <c r="J116" s="55"/>
      <c r="K116" s="41"/>
    </row>
    <row r="117" spans="1:11" ht="31.95" customHeight="1" x14ac:dyDescent="0.3">
      <c r="A117" s="52" t="s">
        <v>1390</v>
      </c>
      <c r="B117" s="52" t="s">
        <v>682</v>
      </c>
      <c r="C117" s="52" t="s">
        <v>1391</v>
      </c>
      <c r="D117" s="52" t="s">
        <v>1392</v>
      </c>
      <c r="E117" s="52" t="s">
        <v>1236</v>
      </c>
      <c r="F117" s="52" t="s">
        <v>1296</v>
      </c>
      <c r="G117" s="52" t="s">
        <v>146</v>
      </c>
      <c r="H117" s="54" t="s">
        <v>836</v>
      </c>
      <c r="I117" s="41" t="s">
        <v>1111</v>
      </c>
      <c r="J117" s="55"/>
      <c r="K117" s="41"/>
    </row>
    <row r="118" spans="1:11" ht="31.95" customHeight="1" x14ac:dyDescent="0.3">
      <c r="A118" s="52" t="s">
        <v>1393</v>
      </c>
      <c r="B118" s="52" t="s">
        <v>682</v>
      </c>
      <c r="C118" s="52" t="s">
        <v>1394</v>
      </c>
      <c r="D118" s="52" t="s">
        <v>1395</v>
      </c>
      <c r="E118" s="52" t="s">
        <v>1236</v>
      </c>
      <c r="F118" s="52" t="s">
        <v>1296</v>
      </c>
      <c r="G118" s="52" t="s">
        <v>146</v>
      </c>
      <c r="H118" s="54" t="s">
        <v>836</v>
      </c>
      <c r="I118" s="41" t="s">
        <v>1111</v>
      </c>
      <c r="J118" s="55"/>
      <c r="K118" s="41"/>
    </row>
    <row r="119" spans="1:11" ht="31.95" customHeight="1" x14ac:dyDescent="0.3">
      <c r="A119" s="52" t="s">
        <v>1396</v>
      </c>
      <c r="B119" s="52" t="s">
        <v>682</v>
      </c>
      <c r="C119" s="52" t="s">
        <v>1397</v>
      </c>
      <c r="D119" s="52" t="s">
        <v>1398</v>
      </c>
      <c r="E119" s="52" t="s">
        <v>1236</v>
      </c>
      <c r="F119" s="52" t="s">
        <v>1296</v>
      </c>
      <c r="G119" s="52" t="s">
        <v>146</v>
      </c>
      <c r="H119" s="54" t="s">
        <v>836</v>
      </c>
      <c r="I119" s="41" t="s">
        <v>1111</v>
      </c>
      <c r="J119" s="55"/>
      <c r="K119" s="41"/>
    </row>
    <row r="120" spans="1:11" ht="31.95" customHeight="1" x14ac:dyDescent="0.3">
      <c r="A120" s="52" t="s">
        <v>1399</v>
      </c>
      <c r="B120" s="52" t="s">
        <v>682</v>
      </c>
      <c r="C120" s="52" t="s">
        <v>1400</v>
      </c>
      <c r="D120" s="52" t="s">
        <v>1401</v>
      </c>
      <c r="E120" s="52" t="s">
        <v>1236</v>
      </c>
      <c r="F120" s="52" t="s">
        <v>1296</v>
      </c>
      <c r="G120" s="52" t="s">
        <v>146</v>
      </c>
      <c r="H120" s="54" t="s">
        <v>836</v>
      </c>
      <c r="I120" s="41" t="s">
        <v>1111</v>
      </c>
      <c r="J120" s="55"/>
      <c r="K120" s="41"/>
    </row>
    <row r="121" spans="1:11" ht="31.95" customHeight="1" x14ac:dyDescent="0.3">
      <c r="A121" s="52" t="s">
        <v>1402</v>
      </c>
      <c r="B121" s="52" t="s">
        <v>682</v>
      </c>
      <c r="C121" s="52" t="s">
        <v>1403</v>
      </c>
      <c r="D121" s="52" t="s">
        <v>1404</v>
      </c>
      <c r="E121" s="52" t="s">
        <v>1236</v>
      </c>
      <c r="F121" s="52" t="s">
        <v>1296</v>
      </c>
      <c r="G121" s="52" t="s">
        <v>146</v>
      </c>
      <c r="H121" s="54" t="s">
        <v>836</v>
      </c>
      <c r="I121" s="41" t="s">
        <v>1111</v>
      </c>
      <c r="J121" s="55"/>
      <c r="K121" s="41"/>
    </row>
    <row r="122" spans="1:11" ht="31.95" customHeight="1" x14ac:dyDescent="0.3">
      <c r="A122" s="52" t="s">
        <v>1405</v>
      </c>
      <c r="B122" s="52" t="s">
        <v>682</v>
      </c>
      <c r="C122" s="52" t="s">
        <v>1406</v>
      </c>
      <c r="D122" s="52" t="s">
        <v>1407</v>
      </c>
      <c r="E122" s="52" t="s">
        <v>1236</v>
      </c>
      <c r="F122" s="52" t="s">
        <v>1296</v>
      </c>
      <c r="G122" s="52" t="s">
        <v>146</v>
      </c>
      <c r="H122" s="54" t="s">
        <v>836</v>
      </c>
      <c r="I122" s="41" t="s">
        <v>1111</v>
      </c>
      <c r="J122" s="55"/>
      <c r="K122" s="41"/>
    </row>
    <row r="123" spans="1:11" ht="31.95" customHeight="1" x14ac:dyDescent="0.3">
      <c r="A123" s="52" t="s">
        <v>1408</v>
      </c>
      <c r="B123" s="52" t="s">
        <v>682</v>
      </c>
      <c r="C123" s="52" t="s">
        <v>1409</v>
      </c>
      <c r="D123" s="52" t="s">
        <v>1410</v>
      </c>
      <c r="E123" s="52" t="s">
        <v>1236</v>
      </c>
      <c r="F123" s="52" t="s">
        <v>1296</v>
      </c>
      <c r="G123" s="52" t="s">
        <v>146</v>
      </c>
      <c r="H123" s="54" t="s">
        <v>836</v>
      </c>
      <c r="I123" s="41" t="s">
        <v>1111</v>
      </c>
      <c r="J123" s="55"/>
      <c r="K123" s="41"/>
    </row>
    <row r="124" spans="1:11" ht="31.95" customHeight="1" x14ac:dyDescent="0.3">
      <c r="A124" s="52" t="s">
        <v>1411</v>
      </c>
      <c r="B124" s="52" t="s">
        <v>682</v>
      </c>
      <c r="C124" s="52" t="s">
        <v>1412</v>
      </c>
      <c r="D124" s="52" t="s">
        <v>1413</v>
      </c>
      <c r="E124" s="52" t="s">
        <v>1236</v>
      </c>
      <c r="F124" s="52" t="s">
        <v>1296</v>
      </c>
      <c r="G124" s="52" t="s">
        <v>146</v>
      </c>
      <c r="H124" s="54" t="s">
        <v>836</v>
      </c>
      <c r="I124" s="41" t="s">
        <v>1111</v>
      </c>
      <c r="J124" s="55"/>
      <c r="K124" s="41"/>
    </row>
    <row r="125" spans="1:11" ht="31.95" customHeight="1" x14ac:dyDescent="0.3">
      <c r="A125" s="52" t="s">
        <v>1414</v>
      </c>
      <c r="B125" s="52" t="s">
        <v>1129</v>
      </c>
      <c r="C125" s="52" t="s">
        <v>1415</v>
      </c>
      <c r="D125" s="52" t="s">
        <v>1416</v>
      </c>
      <c r="E125" s="52" t="s">
        <v>1417</v>
      </c>
      <c r="F125" s="52" t="s">
        <v>1237</v>
      </c>
      <c r="G125" s="52" t="s">
        <v>146</v>
      </c>
      <c r="H125" s="54" t="s">
        <v>713</v>
      </c>
      <c r="I125" s="41" t="s">
        <v>1111</v>
      </c>
      <c r="J125" s="55"/>
      <c r="K125" s="41"/>
    </row>
    <row r="126" spans="1:11" ht="31.95" customHeight="1" x14ac:dyDescent="0.3">
      <c r="A126" s="52" t="s">
        <v>1418</v>
      </c>
      <c r="B126" s="52" t="s">
        <v>1129</v>
      </c>
      <c r="C126" s="52" t="s">
        <v>1419</v>
      </c>
      <c r="D126" s="52" t="s">
        <v>1420</v>
      </c>
      <c r="E126" s="52" t="s">
        <v>1417</v>
      </c>
      <c r="F126" s="52" t="s">
        <v>1237</v>
      </c>
      <c r="G126" s="52" t="s">
        <v>146</v>
      </c>
      <c r="H126" s="54" t="s">
        <v>713</v>
      </c>
      <c r="I126" s="41" t="s">
        <v>1111</v>
      </c>
      <c r="J126" s="55"/>
      <c r="K126" s="41"/>
    </row>
    <row r="127" spans="1:11" ht="31.95" customHeight="1" x14ac:dyDescent="0.3">
      <c r="A127" s="52" t="s">
        <v>1421</v>
      </c>
      <c r="B127" s="52" t="s">
        <v>1129</v>
      </c>
      <c r="C127" s="52" t="s">
        <v>1422</v>
      </c>
      <c r="D127" s="52" t="s">
        <v>1423</v>
      </c>
      <c r="E127" s="52" t="s">
        <v>1417</v>
      </c>
      <c r="F127" s="52" t="s">
        <v>1237</v>
      </c>
      <c r="G127" s="52" t="s">
        <v>146</v>
      </c>
      <c r="H127" s="54" t="s">
        <v>713</v>
      </c>
      <c r="I127" s="41" t="s">
        <v>1111</v>
      </c>
      <c r="J127" s="55"/>
      <c r="K127" s="41"/>
    </row>
    <row r="128" spans="1:11" ht="31.95" customHeight="1" x14ac:dyDescent="0.3">
      <c r="A128" s="52" t="s">
        <v>1424</v>
      </c>
      <c r="B128" s="52" t="s">
        <v>1129</v>
      </c>
      <c r="C128" s="52" t="s">
        <v>1425</v>
      </c>
      <c r="D128" s="52" t="s">
        <v>1426</v>
      </c>
      <c r="E128" s="52" t="s">
        <v>1417</v>
      </c>
      <c r="F128" s="52" t="s">
        <v>1237</v>
      </c>
      <c r="G128" s="52" t="s">
        <v>146</v>
      </c>
      <c r="H128" s="54" t="s">
        <v>713</v>
      </c>
      <c r="I128" s="41" t="s">
        <v>1111</v>
      </c>
      <c r="J128" s="55"/>
      <c r="K128" s="41"/>
    </row>
    <row r="129" spans="1:11" ht="31.95" customHeight="1" x14ac:dyDescent="0.3">
      <c r="A129" s="52" t="s">
        <v>1427</v>
      </c>
      <c r="B129" s="52" t="s">
        <v>1129</v>
      </c>
      <c r="C129" s="52" t="s">
        <v>1428</v>
      </c>
      <c r="D129" s="52" t="s">
        <v>1429</v>
      </c>
      <c r="E129" s="52" t="s">
        <v>1417</v>
      </c>
      <c r="F129" s="52" t="s">
        <v>1237</v>
      </c>
      <c r="G129" s="52" t="s">
        <v>146</v>
      </c>
      <c r="H129" s="54" t="s">
        <v>713</v>
      </c>
      <c r="I129" s="41" t="s">
        <v>1111</v>
      </c>
      <c r="J129" s="55"/>
      <c r="K129" s="41"/>
    </row>
    <row r="130" spans="1:11" ht="31.95" customHeight="1" x14ac:dyDescent="0.3">
      <c r="A130" s="52" t="s">
        <v>1430</v>
      </c>
      <c r="B130" s="52" t="s">
        <v>1130</v>
      </c>
      <c r="C130" s="52" t="s">
        <v>1431</v>
      </c>
      <c r="D130" s="52" t="s">
        <v>1432</v>
      </c>
      <c r="E130" s="52" t="s">
        <v>1176</v>
      </c>
      <c r="F130" s="52" t="s">
        <v>1237</v>
      </c>
      <c r="G130" s="52" t="s">
        <v>146</v>
      </c>
      <c r="H130" s="54" t="s">
        <v>601</v>
      </c>
      <c r="I130" s="41" t="s">
        <v>1111</v>
      </c>
      <c r="J130" s="55"/>
      <c r="K130" s="41"/>
    </row>
    <row r="131" spans="1:11" ht="31.95" customHeight="1" x14ac:dyDescent="0.3">
      <c r="A131" s="52" t="s">
        <v>1433</v>
      </c>
      <c r="B131" s="52" t="s">
        <v>1130</v>
      </c>
      <c r="C131" s="52" t="s">
        <v>1434</v>
      </c>
      <c r="D131" s="52" t="s">
        <v>1435</v>
      </c>
      <c r="E131" s="52" t="s">
        <v>1176</v>
      </c>
      <c r="F131" s="52" t="s">
        <v>1237</v>
      </c>
      <c r="G131" s="52" t="s">
        <v>146</v>
      </c>
      <c r="H131" s="54" t="s">
        <v>601</v>
      </c>
      <c r="I131" s="41" t="s">
        <v>1111</v>
      </c>
      <c r="J131" s="55"/>
      <c r="K131" s="41"/>
    </row>
    <row r="132" spans="1:11" ht="31.95" customHeight="1" x14ac:dyDescent="0.3">
      <c r="A132" s="52" t="s">
        <v>1436</v>
      </c>
      <c r="B132" s="52" t="s">
        <v>1130</v>
      </c>
      <c r="C132" s="52" t="s">
        <v>1437</v>
      </c>
      <c r="D132" s="52" t="s">
        <v>1438</v>
      </c>
      <c r="E132" s="52" t="s">
        <v>1176</v>
      </c>
      <c r="F132" s="52" t="s">
        <v>1237</v>
      </c>
      <c r="G132" s="52" t="s">
        <v>146</v>
      </c>
      <c r="H132" s="54" t="s">
        <v>601</v>
      </c>
      <c r="I132" s="41" t="s">
        <v>1111</v>
      </c>
      <c r="J132" s="55"/>
      <c r="K132" s="41"/>
    </row>
    <row r="133" spans="1:11" ht="31.95" customHeight="1" x14ac:dyDescent="0.3">
      <c r="A133" s="52" t="s">
        <v>1439</v>
      </c>
      <c r="B133" s="52" t="s">
        <v>1130</v>
      </c>
      <c r="C133" s="52" t="s">
        <v>1440</v>
      </c>
      <c r="D133" s="52" t="s">
        <v>1441</v>
      </c>
      <c r="E133" s="52" t="s">
        <v>1176</v>
      </c>
      <c r="F133" s="52" t="s">
        <v>1237</v>
      </c>
      <c r="G133" s="52" t="s">
        <v>146</v>
      </c>
      <c r="H133" s="54" t="s">
        <v>601</v>
      </c>
      <c r="I133" s="41" t="s">
        <v>1111</v>
      </c>
      <c r="J133" s="55"/>
      <c r="K133" s="41"/>
    </row>
    <row r="134" spans="1:11" ht="31.95" customHeight="1" x14ac:dyDescent="0.3">
      <c r="A134" s="52" t="s">
        <v>1442</v>
      </c>
      <c r="B134" s="52" t="s">
        <v>1130</v>
      </c>
      <c r="C134" s="52" t="s">
        <v>1443</v>
      </c>
      <c r="D134" s="52" t="s">
        <v>1444</v>
      </c>
      <c r="E134" s="52" t="s">
        <v>1176</v>
      </c>
      <c r="F134" s="52" t="s">
        <v>1237</v>
      </c>
      <c r="G134" s="52" t="s">
        <v>146</v>
      </c>
      <c r="H134" s="54" t="s">
        <v>601</v>
      </c>
      <c r="I134" s="41" t="s">
        <v>1111</v>
      </c>
      <c r="J134" s="55"/>
      <c r="K134" s="41"/>
    </row>
    <row r="135" spans="1:11" ht="31.95" customHeight="1" x14ac:dyDescent="0.3">
      <c r="A135" s="52" t="s">
        <v>1445</v>
      </c>
      <c r="B135" s="52" t="s">
        <v>1130</v>
      </c>
      <c r="C135" s="52" t="s">
        <v>1446</v>
      </c>
      <c r="D135" s="52" t="s">
        <v>1447</v>
      </c>
      <c r="E135" s="52" t="s">
        <v>1176</v>
      </c>
      <c r="F135" s="52" t="s">
        <v>1237</v>
      </c>
      <c r="G135" s="52" t="s">
        <v>146</v>
      </c>
      <c r="H135" s="54" t="s">
        <v>601</v>
      </c>
      <c r="I135" s="41" t="s">
        <v>1111</v>
      </c>
      <c r="J135" s="55"/>
      <c r="K135" s="41"/>
    </row>
    <row r="136" spans="1:11" ht="31.95" customHeight="1" x14ac:dyDescent="0.3">
      <c r="A136" s="52" t="s">
        <v>1448</v>
      </c>
      <c r="B136" s="52" t="s">
        <v>1131</v>
      </c>
      <c r="C136" s="52" t="s">
        <v>1449</v>
      </c>
      <c r="D136" s="52" t="s">
        <v>1450</v>
      </c>
      <c r="E136" s="52" t="s">
        <v>1236</v>
      </c>
      <c r="F136" s="52" t="s">
        <v>1451</v>
      </c>
      <c r="G136" s="52" t="s">
        <v>146</v>
      </c>
      <c r="H136" s="54" t="s">
        <v>831</v>
      </c>
      <c r="I136" s="41" t="s">
        <v>1111</v>
      </c>
      <c r="J136" s="55"/>
      <c r="K136" s="41"/>
    </row>
    <row r="137" spans="1:11" ht="31.95" customHeight="1" x14ac:dyDescent="0.3">
      <c r="A137" s="52" t="s">
        <v>1452</v>
      </c>
      <c r="B137" s="52" t="s">
        <v>1131</v>
      </c>
      <c r="C137" s="52" t="s">
        <v>1453</v>
      </c>
      <c r="D137" s="52" t="s">
        <v>1450</v>
      </c>
      <c r="E137" s="52" t="s">
        <v>1236</v>
      </c>
      <c r="F137" s="52" t="s">
        <v>1454</v>
      </c>
      <c r="G137" s="52" t="s">
        <v>146</v>
      </c>
      <c r="H137" s="54" t="s">
        <v>831</v>
      </c>
      <c r="I137" s="41" t="s">
        <v>1111</v>
      </c>
      <c r="J137" s="55"/>
      <c r="K137" s="41"/>
    </row>
    <row r="138" spans="1:11" ht="31.95" customHeight="1" x14ac:dyDescent="0.3">
      <c r="A138" s="52" t="s">
        <v>1455</v>
      </c>
      <c r="B138" s="52" t="s">
        <v>1131</v>
      </c>
      <c r="C138" s="52" t="s">
        <v>1456</v>
      </c>
      <c r="D138" s="52" t="s">
        <v>1450</v>
      </c>
      <c r="E138" s="52" t="s">
        <v>1236</v>
      </c>
      <c r="F138" s="52" t="s">
        <v>1457</v>
      </c>
      <c r="G138" s="52" t="s">
        <v>146</v>
      </c>
      <c r="H138" s="54" t="s">
        <v>831</v>
      </c>
      <c r="I138" s="41" t="s">
        <v>1111</v>
      </c>
      <c r="J138" s="55"/>
      <c r="K138" s="41"/>
    </row>
    <row r="139" spans="1:11" ht="31.95" customHeight="1" x14ac:dyDescent="0.3">
      <c r="A139" s="52" t="s">
        <v>1458</v>
      </c>
      <c r="B139" s="52" t="s">
        <v>1131</v>
      </c>
      <c r="C139" s="52" t="s">
        <v>1459</v>
      </c>
      <c r="D139" s="52" t="s">
        <v>1450</v>
      </c>
      <c r="E139" s="52" t="s">
        <v>1236</v>
      </c>
      <c r="F139" s="52" t="s">
        <v>1460</v>
      </c>
      <c r="G139" s="52" t="s">
        <v>146</v>
      </c>
      <c r="H139" s="54" t="s">
        <v>831</v>
      </c>
      <c r="I139" s="41" t="s">
        <v>1111</v>
      </c>
      <c r="J139" s="55"/>
      <c r="K139" s="41"/>
    </row>
    <row r="140" spans="1:11" ht="31.95" customHeight="1" x14ac:dyDescent="0.3">
      <c r="A140" s="52" t="s">
        <v>1461</v>
      </c>
      <c r="B140" s="52" t="s">
        <v>1131</v>
      </c>
      <c r="C140" s="52" t="s">
        <v>1462</v>
      </c>
      <c r="D140" s="52" t="s">
        <v>1450</v>
      </c>
      <c r="E140" s="52" t="s">
        <v>1236</v>
      </c>
      <c r="F140" s="52" t="s">
        <v>1463</v>
      </c>
      <c r="G140" s="52" t="s">
        <v>146</v>
      </c>
      <c r="H140" s="54" t="s">
        <v>831</v>
      </c>
      <c r="I140" s="41" t="s">
        <v>1111</v>
      </c>
      <c r="J140" s="55"/>
      <c r="K140" s="41"/>
    </row>
    <row r="141" spans="1:11" ht="31.95" customHeight="1" x14ac:dyDescent="0.3">
      <c r="A141" s="52" t="s">
        <v>1464</v>
      </c>
      <c r="B141" s="52" t="s">
        <v>1131</v>
      </c>
      <c r="C141" s="52" t="s">
        <v>1465</v>
      </c>
      <c r="D141" s="52" t="s">
        <v>1450</v>
      </c>
      <c r="E141" s="52" t="s">
        <v>1236</v>
      </c>
      <c r="F141" s="52" t="s">
        <v>1466</v>
      </c>
      <c r="G141" s="52" t="s">
        <v>146</v>
      </c>
      <c r="H141" s="54" t="s">
        <v>831</v>
      </c>
      <c r="I141" s="41" t="s">
        <v>1111</v>
      </c>
      <c r="J141" s="55"/>
      <c r="K141" s="41"/>
    </row>
  </sheetData>
  <mergeCells count="2">
    <mergeCell ref="A2:K2"/>
    <mergeCell ref="A1:K1"/>
  </mergeCells>
  <conditionalFormatting sqref="E6:E28">
    <cfRule type="expression" dxfId="28" priority="2">
      <formula>E6&gt;0</formula>
    </cfRule>
  </conditionalFormatting>
  <conditionalFormatting sqref="H6:H28">
    <cfRule type="dataBar" priority="1">
      <dataBar>
        <cfvo type="num" val="0"/>
        <cfvo type="num" val="1"/>
        <color rgb="FF10B981"/>
      </dataBar>
    </cfRule>
  </conditionalFormatting>
  <conditionalFormatting sqref="I32:I141">
    <cfRule type="expression" dxfId="27" priority="3">
      <formula>$I32="Pass"</formula>
    </cfRule>
    <cfRule type="expression" dxfId="26" priority="4">
      <formula>$I32="Fail"</formula>
    </cfRule>
    <cfRule type="expression" dxfId="25" priority="5">
      <formula>$I32="Blocked"</formula>
    </cfRule>
    <cfRule type="expression" dxfId="24" priority="6">
      <formula>$I32="Not Run"</formula>
    </cfRule>
  </conditionalFormatting>
  <hyperlinks>
    <hyperlink ref="A3" location="'Executive Dashboard'!A1" display="← Dashboard" xr:uid="{00000000-0004-0000-0800-000000000000}"/>
    <hyperlink ref="C3" r:id="rId1" xr:uid="{00000000-0004-0000-0800-000001000000}"/>
    <hyperlink ref="H32" location="'Master Tracker'!A46" display="P2-24" xr:uid="{00000000-0004-0000-0800-000002000000}"/>
    <hyperlink ref="H33" location="'Master Tracker'!A46" display="P2-24" xr:uid="{00000000-0004-0000-0800-000003000000}"/>
    <hyperlink ref="H34" location="'Master Tracker'!A46" display="P2-24" xr:uid="{00000000-0004-0000-0800-000004000000}"/>
    <hyperlink ref="H35" location="'Master Tracker'!A47" display="P3-01" xr:uid="{00000000-0004-0000-0800-000005000000}"/>
    <hyperlink ref="H36" location="'Master Tracker'!A47" display="P3-01" xr:uid="{00000000-0004-0000-0800-000006000000}"/>
    <hyperlink ref="H37" location="'Master Tracker'!A47" display="P3-01" xr:uid="{00000000-0004-0000-0800-000007000000}"/>
    <hyperlink ref="H38" location="'Master Tracker'!A55" display="P3-09" xr:uid="{00000000-0004-0000-0800-000008000000}"/>
    <hyperlink ref="H39" location="'Master Tracker'!A55" display="P3-09" xr:uid="{00000000-0004-0000-0800-000009000000}"/>
    <hyperlink ref="H40" location="'Master Tracker'!A55" display="P3-09" xr:uid="{00000000-0004-0000-0800-00000A000000}"/>
    <hyperlink ref="H41" location="'Master Tracker'!A54" display="P3-08" xr:uid="{00000000-0004-0000-0800-00000B000000}"/>
    <hyperlink ref="H42" location="'Master Tracker'!A54" display="P3-08" xr:uid="{00000000-0004-0000-0800-00000C000000}"/>
    <hyperlink ref="H43" location="'Master Tracker'!A54" display="P3-08" xr:uid="{00000000-0004-0000-0800-00000D000000}"/>
    <hyperlink ref="H44" location="'Master Tracker'!A68" display="P4-06" xr:uid="{00000000-0004-0000-0800-00000E000000}"/>
    <hyperlink ref="H45" location="'Master Tracker'!A68" display="P4-06" xr:uid="{00000000-0004-0000-0800-00000F000000}"/>
    <hyperlink ref="H46" location="'Master Tracker'!A68" display="P4-06" xr:uid="{00000000-0004-0000-0800-000010000000}"/>
    <hyperlink ref="H47" location="'Master Tracker'!A70" display="P4-08" xr:uid="{00000000-0004-0000-0800-000011000000}"/>
    <hyperlink ref="H48" location="'Master Tracker'!A70" display="P4-08" xr:uid="{00000000-0004-0000-0800-000012000000}"/>
    <hyperlink ref="H49" location="'Master Tracker'!A70" display="P4-08" xr:uid="{00000000-0004-0000-0800-000013000000}"/>
    <hyperlink ref="H50" location="'Master Tracker'!A88" display="P5-14" xr:uid="{00000000-0004-0000-0800-000014000000}"/>
    <hyperlink ref="H51" location="'Master Tracker'!A88" display="P5-14" xr:uid="{00000000-0004-0000-0800-000015000000}"/>
    <hyperlink ref="H52" location="'Master Tracker'!A88" display="P5-14" xr:uid="{00000000-0004-0000-0800-000016000000}"/>
    <hyperlink ref="H53" location="'Master Tracker'!A92" display="P5-18" xr:uid="{00000000-0004-0000-0800-000017000000}"/>
    <hyperlink ref="H54" location="'Master Tracker'!A92" display="P5-18" xr:uid="{00000000-0004-0000-0800-000018000000}"/>
    <hyperlink ref="H55" location="'Master Tracker'!A92" display="P5-18" xr:uid="{00000000-0004-0000-0800-000019000000}"/>
    <hyperlink ref="H56" location="'Master Tracker'!A93" display="P5-19" xr:uid="{00000000-0004-0000-0800-00001A000000}"/>
    <hyperlink ref="H57" location="'Master Tracker'!A93" display="P5-19" xr:uid="{00000000-0004-0000-0800-00001B000000}"/>
    <hyperlink ref="H58" location="'Master Tracker'!A93" display="P5-19" xr:uid="{00000000-0004-0000-0800-00001C000000}"/>
    <hyperlink ref="H59" location="'Master Tracker'!A25" display="P2-03" xr:uid="{00000000-0004-0000-0800-00001D000000}"/>
    <hyperlink ref="H60" location="'Master Tracker'!A26" display="P2-04" xr:uid="{00000000-0004-0000-0800-00001E000000}"/>
    <hyperlink ref="H61" location="'Master Tracker'!A27" display="P2-05" xr:uid="{00000000-0004-0000-0800-00001F000000}"/>
    <hyperlink ref="H62" location="'Master Tracker'!A28" display="P2-06" xr:uid="{00000000-0004-0000-0800-000020000000}"/>
    <hyperlink ref="H63" location="'Master Tracker'!A29" display="P2-07" xr:uid="{00000000-0004-0000-0800-000021000000}"/>
    <hyperlink ref="H64" location="'Master Tracker'!A30" display="P2-08" xr:uid="{00000000-0004-0000-0800-000022000000}"/>
    <hyperlink ref="H65" location="'Master Tracker'!A32" display="P2-10" xr:uid="{00000000-0004-0000-0800-000023000000}"/>
    <hyperlink ref="H66" location="'Master Tracker'!A44" display="P2-22" xr:uid="{00000000-0004-0000-0800-000024000000}"/>
    <hyperlink ref="H67" location="'Master Tracker'!A14" display="P1-09" xr:uid="{00000000-0004-0000-0800-000025000000}"/>
    <hyperlink ref="H68" location="'Master Tracker'!A14" display="P1-09" xr:uid="{00000000-0004-0000-0800-000026000000}"/>
    <hyperlink ref="H69" location="'Master Tracker'!A14" display="P1-09" xr:uid="{00000000-0004-0000-0800-000027000000}"/>
    <hyperlink ref="H70" location="'Master Tracker'!A14" display="P1-09" xr:uid="{00000000-0004-0000-0800-000028000000}"/>
    <hyperlink ref="H71" location="'Master Tracker'!A14" display="P1-09" xr:uid="{00000000-0004-0000-0800-000029000000}"/>
    <hyperlink ref="H72" location="'Master Tracker'!A107" display="P6-13" xr:uid="{00000000-0004-0000-0800-00002A000000}"/>
    <hyperlink ref="H73" location="'Master Tracker'!A107" display="P6-13" xr:uid="{00000000-0004-0000-0800-00002B000000}"/>
    <hyperlink ref="H74" location="'Master Tracker'!A107" display="P6-13" xr:uid="{00000000-0004-0000-0800-00002C000000}"/>
    <hyperlink ref="H75" location="'Master Tracker'!A107" display="P6-13" xr:uid="{00000000-0004-0000-0800-00002D000000}"/>
    <hyperlink ref="H76" location="'Master Tracker'!A107" display="P6-13" xr:uid="{00000000-0004-0000-0800-00002E000000}"/>
    <hyperlink ref="H77" location="'Master Tracker'!A107" display="P6-13" xr:uid="{00000000-0004-0000-0800-00002F000000}"/>
    <hyperlink ref="H78" location="'Master Tracker'!A78" display="P5-04" xr:uid="{00000000-0004-0000-0800-000030000000}"/>
    <hyperlink ref="H79" location="'Master Tracker'!A78" display="P5-04" xr:uid="{00000000-0004-0000-0800-000031000000}"/>
    <hyperlink ref="H80" location="'Master Tracker'!A78" display="P5-04" xr:uid="{00000000-0004-0000-0800-000032000000}"/>
    <hyperlink ref="H81" location="'Master Tracker'!A79" display="P5-05" xr:uid="{00000000-0004-0000-0800-000033000000}"/>
    <hyperlink ref="H82" location="'Master Tracker'!A80" display="P5-06" xr:uid="{00000000-0004-0000-0800-000034000000}"/>
    <hyperlink ref="H83" location="'Master Tracker'!A86" display="P5-12" xr:uid="{00000000-0004-0000-0800-000035000000}"/>
    <hyperlink ref="H84" location="'Master Tracker'!A86" display="P5-12" xr:uid="{00000000-0004-0000-0800-000036000000}"/>
    <hyperlink ref="H85" location="'Master Tracker'!A85" display="P5-11" xr:uid="{00000000-0004-0000-0800-000037000000}"/>
    <hyperlink ref="H86" location="'Master Tracker'!A81" display="P5-07" xr:uid="{00000000-0004-0000-0800-000038000000}"/>
    <hyperlink ref="H87" location="'Master Tracker'!A81" display="P5-07" xr:uid="{00000000-0004-0000-0800-000039000000}"/>
    <hyperlink ref="H88" location="'Master Tracker'!A81" display="P5-07" xr:uid="{00000000-0004-0000-0800-00003A000000}"/>
    <hyperlink ref="H89" location="'Master Tracker'!A81" display="P5-07" xr:uid="{00000000-0004-0000-0800-00003B000000}"/>
    <hyperlink ref="H90" location="'Master Tracker'!A81" display="P5-07" xr:uid="{00000000-0004-0000-0800-00003C000000}"/>
    <hyperlink ref="H91" location="'Master Tracker'!A83" display="P5-09" xr:uid="{00000000-0004-0000-0800-00003D000000}"/>
    <hyperlink ref="H92" location="'Master Tracker'!A83" display="P5-09" xr:uid="{00000000-0004-0000-0800-00003E000000}"/>
    <hyperlink ref="H93" location="'Master Tracker'!A83" display="P5-09" xr:uid="{00000000-0004-0000-0800-00003F000000}"/>
    <hyperlink ref="H94" location="'Master Tracker'!A83" display="P5-09" xr:uid="{00000000-0004-0000-0800-000040000000}"/>
    <hyperlink ref="H95" location="'Master Tracker'!A83" display="P5-09" xr:uid="{00000000-0004-0000-0800-000041000000}"/>
    <hyperlink ref="H96" location="'Master Tracker'!A83" display="P5-09" xr:uid="{00000000-0004-0000-0800-000042000000}"/>
    <hyperlink ref="H97" location="'Master Tracker'!A83" display="P5-09" xr:uid="{00000000-0004-0000-0800-000043000000}"/>
    <hyperlink ref="H98" location="'Master Tracker'!A103" display="P6-09" xr:uid="{00000000-0004-0000-0800-000044000000}"/>
    <hyperlink ref="H99" location="'Master Tracker'!A103" display="P6-09" xr:uid="{00000000-0004-0000-0800-000045000000}"/>
    <hyperlink ref="H100" location="'Master Tracker'!A103" display="P6-09" xr:uid="{00000000-0004-0000-0800-000046000000}"/>
    <hyperlink ref="H101" location="'Master Tracker'!A103" display="P6-09" xr:uid="{00000000-0004-0000-0800-000047000000}"/>
    <hyperlink ref="H102" location="'Master Tracker'!A103" display="P6-09" xr:uid="{00000000-0004-0000-0800-000048000000}"/>
    <hyperlink ref="H103" location="'Master Tracker'!A103" display="P6-09" xr:uid="{00000000-0004-0000-0800-000049000000}"/>
    <hyperlink ref="H104" location="'Master Tracker'!A103" display="P6-09" xr:uid="{00000000-0004-0000-0800-00004A000000}"/>
    <hyperlink ref="H105" location="'Master Tracker'!A103" display="P6-09" xr:uid="{00000000-0004-0000-0800-00004B000000}"/>
    <hyperlink ref="H106" location="'Master Tracker'!A102" display="P6-08" xr:uid="{00000000-0004-0000-0800-00004C000000}"/>
    <hyperlink ref="H107" location="'Master Tracker'!A102" display="P6-08" xr:uid="{00000000-0004-0000-0800-00004D000000}"/>
    <hyperlink ref="H108" location="'Master Tracker'!A102" display="P6-08" xr:uid="{00000000-0004-0000-0800-00004E000000}"/>
    <hyperlink ref="H109" location="'Master Tracker'!A102" display="P6-08" xr:uid="{00000000-0004-0000-0800-00004F000000}"/>
    <hyperlink ref="H110" location="'Master Tracker'!A102" display="P6-08" xr:uid="{00000000-0004-0000-0800-000050000000}"/>
    <hyperlink ref="H111" location="'Master Tracker'!A105" display="P6-11" xr:uid="{00000000-0004-0000-0800-000051000000}"/>
    <hyperlink ref="H112" location="'Master Tracker'!A105" display="P6-11" xr:uid="{00000000-0004-0000-0800-000052000000}"/>
    <hyperlink ref="H113" location="'Master Tracker'!A105" display="P6-11" xr:uid="{00000000-0004-0000-0800-000053000000}"/>
    <hyperlink ref="H114" location="'Master Tracker'!A105" display="P6-11" xr:uid="{00000000-0004-0000-0800-000054000000}"/>
    <hyperlink ref="H115" location="'Master Tracker'!A105" display="P6-11" xr:uid="{00000000-0004-0000-0800-000055000000}"/>
    <hyperlink ref="H116" location="'Master Tracker'!A105" display="P6-11" xr:uid="{00000000-0004-0000-0800-000056000000}"/>
    <hyperlink ref="H117" location="'Master Tracker'!A109" display="P6-15" xr:uid="{00000000-0004-0000-0800-000057000000}"/>
    <hyperlink ref="H118" location="'Master Tracker'!A109" display="P6-15" xr:uid="{00000000-0004-0000-0800-000058000000}"/>
    <hyperlink ref="H119" location="'Master Tracker'!A109" display="P6-15" xr:uid="{00000000-0004-0000-0800-000059000000}"/>
    <hyperlink ref="H120" location="'Master Tracker'!A109" display="P6-15" xr:uid="{00000000-0004-0000-0800-00005A000000}"/>
    <hyperlink ref="H121" location="'Master Tracker'!A109" display="P6-15" xr:uid="{00000000-0004-0000-0800-00005B000000}"/>
    <hyperlink ref="H122" location="'Master Tracker'!A109" display="P6-15" xr:uid="{00000000-0004-0000-0800-00005C000000}"/>
    <hyperlink ref="H123" location="'Master Tracker'!A109" display="P6-15" xr:uid="{00000000-0004-0000-0800-00005D000000}"/>
    <hyperlink ref="H124" location="'Master Tracker'!A109" display="P6-15" xr:uid="{00000000-0004-0000-0800-00005E000000}"/>
    <hyperlink ref="H125" location="'Master Tracker'!A91" display="P5-17" xr:uid="{00000000-0004-0000-0800-00005F000000}"/>
    <hyperlink ref="H126" location="'Master Tracker'!A91" display="P5-17" xr:uid="{00000000-0004-0000-0800-000060000000}"/>
    <hyperlink ref="H127" location="'Master Tracker'!A91" display="P5-17" xr:uid="{00000000-0004-0000-0800-000061000000}"/>
    <hyperlink ref="H128" location="'Master Tracker'!A91" display="P5-17" xr:uid="{00000000-0004-0000-0800-000062000000}"/>
    <hyperlink ref="H129" location="'Master Tracker'!A91" display="P5-17" xr:uid="{00000000-0004-0000-0800-000063000000}"/>
    <hyperlink ref="H130" location="'Master Tracker'!A74" display="P4-12" xr:uid="{00000000-0004-0000-0800-000064000000}"/>
    <hyperlink ref="H131" location="'Master Tracker'!A74" display="P4-12" xr:uid="{00000000-0004-0000-0800-000065000000}"/>
    <hyperlink ref="H132" location="'Master Tracker'!A74" display="P4-12" xr:uid="{00000000-0004-0000-0800-000066000000}"/>
    <hyperlink ref="H133" location="'Master Tracker'!A74" display="P4-12" xr:uid="{00000000-0004-0000-0800-000067000000}"/>
    <hyperlink ref="H134" location="'Master Tracker'!A74" display="P4-12" xr:uid="{00000000-0004-0000-0800-000068000000}"/>
    <hyperlink ref="H135" location="'Master Tracker'!A74" display="P4-12" xr:uid="{00000000-0004-0000-0800-000069000000}"/>
    <hyperlink ref="H136" location="'Master Tracker'!A108" display="P6-14" xr:uid="{00000000-0004-0000-0800-00006A000000}"/>
    <hyperlink ref="H137" location="'Master Tracker'!A108" display="P6-14" xr:uid="{00000000-0004-0000-0800-00006B000000}"/>
    <hyperlink ref="H138" location="'Master Tracker'!A108" display="P6-14" xr:uid="{00000000-0004-0000-0800-00006C000000}"/>
    <hyperlink ref="H139" location="'Master Tracker'!A108" display="P6-14" xr:uid="{00000000-0004-0000-0800-00006D000000}"/>
    <hyperlink ref="H140" location="'Master Tracker'!A108" display="P6-14" xr:uid="{00000000-0004-0000-0800-00006E000000}"/>
    <hyperlink ref="H141" location="'Master Tracker'!A108" display="P6-14" xr:uid="{00000000-0004-0000-0800-00006F000000}"/>
  </hyperlinks>
  <pageMargins left="0.75" right="0.75" top="1" bottom="1" header="0.5" footer="0.5"/>
  <pageSetup fitToHeight="0" orientation="landscape"/>
  <tableParts count="1">
    <tablePart r:id="rId2"/>
  </tableParts>
  <extLst>
    <ext xmlns:x14="http://schemas.microsoft.com/office/spreadsheetml/2009/9/main" uri="{CCE6A557-97BC-4b89-ADB6-D9C93CAAB3DF}">
      <x14:dataValidations xmlns:xm="http://schemas.microsoft.com/office/excel/2006/main" count="7">
        <x14:dataValidation type="list" allowBlank="1" showErrorMessage="1" errorTitle="Invalid value" error="Please choose a value from the dropdown list." xr:uid="{00000000-0002-0000-0800-000000000000}">
          <x14:formula1>
            <xm:f>Lists!$G$2:$G$6</xm:f>
          </x14:formula1>
          <xm:sqref>I32:I141</xm:sqref>
        </x14:dataValidation>
        <x14:dataValidation type="list" allowBlank="1" showErrorMessage="1" errorTitle="Invalid value" error="Please choose a value from the dropdown list." xr:uid="{00000000-0002-0000-0800-000001000000}">
          <x14:formula1>
            <xm:f>Lists!$B$2:$B$4</xm:f>
          </x14:formula1>
          <xm:sqref>G32:G141</xm:sqref>
        </x14:dataValidation>
        <x14:dataValidation type="list" errorStyle="information" allowBlank="1" showErrorMessage="1" errorTitle="Custom value" error="This value is not in the list — click OK to keep it." xr:uid="{00000000-0002-0000-0800-000002000000}">
          <x14:formula1>
            <xm:f>Lists!$AA$2:$AA$23</xm:f>
          </x14:formula1>
          <xm:sqref>B32:B141</xm:sqref>
        </x14:dataValidation>
        <x14:dataValidation type="list" errorStyle="information" allowBlank="1" showErrorMessage="1" errorTitle="Custom value" error="This value is not in the list — click OK to keep it." xr:uid="{00000000-0002-0000-0800-000003000000}">
          <x14:formula1>
            <xm:f>Lists!$V$2:$V$14</xm:f>
          </x14:formula1>
          <xm:sqref>F32:F141</xm:sqref>
        </x14:dataValidation>
        <x14:dataValidation type="list" errorStyle="information" allowBlank="1" showErrorMessage="1" errorTitle="Custom value" error="This value is not in the list — click OK to keep it." xr:uid="{00000000-0002-0000-0800-000004000000}">
          <x14:formula1>
            <xm:f>'Master Tracker'!$A$6:$A$400</xm:f>
          </x14:formula1>
          <xm:sqref>H32:H141</xm:sqref>
        </x14:dataValidation>
        <x14:dataValidation type="list" errorStyle="information" allowBlank="1" showErrorMessage="1" errorTitle="Custom value" error="This value is not in the list — click OK to keep it." xr:uid="{00000000-0002-0000-0800-000005000000}">
          <x14:formula1>
            <xm:f>Lists!$S$2:$S$62</xm:f>
          </x14:formula1>
          <xm:sqref>J32:J141</xm:sqref>
        </x14:dataValidation>
        <x14:dataValidation type="list" errorStyle="information" allowBlank="1" showErrorMessage="1" errorTitle="Custom value" error="This value is not in the list — click OK to keep it." xr:uid="{00000000-0002-0000-0800-000006000000}">
          <x14:formula1>
            <xm:f>Lists!$W$2:$W$7</xm:f>
          </x14:formula1>
          <xm:sqref>K32:K141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64748B"/>
    <pageSetUpPr fitToPage="1"/>
  </sheetPr>
  <dimension ref="A1:J56"/>
  <sheetViews>
    <sheetView showGridLines="0" zoomScale="90" workbookViewId="0">
      <pane ySplit="6" topLeftCell="A7" activePane="bottomLeft" state="frozen"/>
      <selection pane="bottomLeft"/>
    </sheetView>
  </sheetViews>
  <sheetFormatPr defaultRowHeight="14.4" x14ac:dyDescent="0.3"/>
  <cols>
    <col min="1" max="1" width="6" customWidth="1"/>
    <col min="2" max="2" width="22" customWidth="1"/>
    <col min="3" max="3" width="44" customWidth="1"/>
    <col min="4" max="4" width="40" customWidth="1"/>
    <col min="5" max="5" width="18" customWidth="1"/>
    <col min="6" max="6" width="11" customWidth="1"/>
    <col min="7" max="7" width="12" customWidth="1"/>
    <col min="8" max="8" width="14" customWidth="1"/>
    <col min="9" max="9" width="34" customWidth="1"/>
    <col min="10" max="10" width="14" customWidth="1"/>
  </cols>
  <sheetData>
    <row r="1" spans="1:10" ht="34.049999999999997" customHeight="1" x14ac:dyDescent="0.3">
      <c r="A1" s="111" t="s">
        <v>1467</v>
      </c>
      <c r="B1" s="112"/>
      <c r="C1" s="112"/>
      <c r="D1" s="112"/>
      <c r="E1" s="112"/>
      <c r="F1" s="112"/>
      <c r="G1" s="112"/>
      <c r="H1" s="112"/>
      <c r="I1" s="112"/>
      <c r="J1" s="112"/>
    </row>
    <row r="2" spans="1:10" ht="19.95" customHeight="1" x14ac:dyDescent="0.3">
      <c r="A2" s="79" t="s">
        <v>1468</v>
      </c>
      <c r="B2" s="80"/>
      <c r="C2" s="80"/>
      <c r="D2" s="80"/>
      <c r="E2" s="80"/>
      <c r="F2" s="80"/>
      <c r="G2" s="80"/>
      <c r="H2" s="80"/>
      <c r="I2" s="80"/>
      <c r="J2" s="80"/>
    </row>
    <row r="3" spans="1:10" x14ac:dyDescent="0.3">
      <c r="A3" s="33" t="s">
        <v>109</v>
      </c>
      <c r="C3" s="2" t="s">
        <v>1469</v>
      </c>
      <c r="D3" s="56" t="str">
        <f>"Readiness: "&amp;TEXT(IFERROR(COUNTIF(G7:G200,"Done")/(COUNTA(C7:C45)-COUNTIF(G7:G200,"N/A")),0),"0%")&amp;"   ·   Failed steps: "&amp;COUNTIF(G7:G200,"Failed")</f>
        <v>Readiness: 0%   ·   Failed steps: 0</v>
      </c>
    </row>
    <row r="6" spans="1:10" x14ac:dyDescent="0.3">
      <c r="A6" s="12" t="s">
        <v>1470</v>
      </c>
      <c r="B6" s="12" t="s">
        <v>1471</v>
      </c>
      <c r="C6" s="12" t="s">
        <v>1472</v>
      </c>
      <c r="D6" s="12" t="s">
        <v>1473</v>
      </c>
      <c r="E6" s="12" t="s">
        <v>1474</v>
      </c>
      <c r="F6" s="12" t="s">
        <v>1475</v>
      </c>
      <c r="G6" s="12" t="s">
        <v>70</v>
      </c>
      <c r="H6" s="12" t="s">
        <v>1476</v>
      </c>
      <c r="I6" s="12" t="s">
        <v>1477</v>
      </c>
    </row>
    <row r="7" spans="1:10" ht="30" customHeight="1" x14ac:dyDescent="0.3">
      <c r="A7" s="52">
        <v>1</v>
      </c>
      <c r="B7" s="52" t="s">
        <v>1478</v>
      </c>
      <c r="C7" s="52" t="s">
        <v>1479</v>
      </c>
      <c r="D7" s="52" t="s">
        <v>1480</v>
      </c>
      <c r="E7" s="52" t="s">
        <v>1481</v>
      </c>
      <c r="F7" s="41" t="s">
        <v>1482</v>
      </c>
      <c r="G7" s="41" t="s">
        <v>76</v>
      </c>
      <c r="H7" s="57"/>
      <c r="I7" s="41"/>
    </row>
    <row r="8" spans="1:10" ht="30" customHeight="1" x14ac:dyDescent="0.3">
      <c r="A8" s="52">
        <v>2</v>
      </c>
      <c r="B8" s="52" t="s">
        <v>1478</v>
      </c>
      <c r="C8" s="52" t="s">
        <v>1483</v>
      </c>
      <c r="D8" s="52" t="s">
        <v>1484</v>
      </c>
      <c r="E8" s="52" t="s">
        <v>1485</v>
      </c>
      <c r="F8" s="41" t="s">
        <v>1482</v>
      </c>
      <c r="G8" s="41" t="s">
        <v>76</v>
      </c>
      <c r="H8" s="57"/>
      <c r="I8" s="41"/>
    </row>
    <row r="9" spans="1:10" ht="30" customHeight="1" x14ac:dyDescent="0.3">
      <c r="A9" s="52">
        <v>3</v>
      </c>
      <c r="B9" s="52" t="s">
        <v>1478</v>
      </c>
      <c r="C9" s="52" t="s">
        <v>1486</v>
      </c>
      <c r="D9" s="52" t="s">
        <v>1487</v>
      </c>
      <c r="E9" s="52" t="s">
        <v>1488</v>
      </c>
      <c r="F9" s="41" t="s">
        <v>1482</v>
      </c>
      <c r="G9" s="41" t="s">
        <v>76</v>
      </c>
      <c r="H9" s="57"/>
      <c r="I9" s="41"/>
    </row>
    <row r="10" spans="1:10" ht="30" customHeight="1" x14ac:dyDescent="0.3">
      <c r="A10" s="52">
        <v>4</v>
      </c>
      <c r="B10" s="52" t="s">
        <v>1478</v>
      </c>
      <c r="C10" s="52" t="s">
        <v>1489</v>
      </c>
      <c r="D10" s="52" t="s">
        <v>1490</v>
      </c>
      <c r="E10" s="52" t="s">
        <v>1491</v>
      </c>
      <c r="F10" s="41" t="s">
        <v>1482</v>
      </c>
      <c r="G10" s="41" t="s">
        <v>76</v>
      </c>
      <c r="H10" s="57"/>
      <c r="I10" s="41"/>
    </row>
    <row r="11" spans="1:10" ht="30" customHeight="1" x14ac:dyDescent="0.3">
      <c r="A11" s="52">
        <v>5</v>
      </c>
      <c r="B11" s="52" t="s">
        <v>1478</v>
      </c>
      <c r="C11" s="52" t="s">
        <v>1492</v>
      </c>
      <c r="D11" s="52" t="s">
        <v>1493</v>
      </c>
      <c r="E11" s="52" t="s">
        <v>689</v>
      </c>
      <c r="F11" s="41" t="s">
        <v>1482</v>
      </c>
      <c r="G11" s="41" t="s">
        <v>76</v>
      </c>
      <c r="H11" s="57"/>
      <c r="I11" s="41"/>
    </row>
    <row r="12" spans="1:10" ht="30" customHeight="1" x14ac:dyDescent="0.3">
      <c r="A12" s="52">
        <v>6</v>
      </c>
      <c r="B12" s="52" t="s">
        <v>1494</v>
      </c>
      <c r="C12" s="52" t="s">
        <v>1495</v>
      </c>
      <c r="D12" s="52" t="s">
        <v>1496</v>
      </c>
      <c r="E12" s="52" t="s">
        <v>1497</v>
      </c>
      <c r="F12" s="41" t="s">
        <v>1482</v>
      </c>
      <c r="G12" s="41" t="s">
        <v>76</v>
      </c>
      <c r="H12" s="57"/>
      <c r="I12" s="41"/>
    </row>
    <row r="13" spans="1:10" ht="30" customHeight="1" x14ac:dyDescent="0.3">
      <c r="A13" s="52">
        <v>7</v>
      </c>
      <c r="B13" s="52" t="s">
        <v>1494</v>
      </c>
      <c r="C13" s="52" t="s">
        <v>1498</v>
      </c>
      <c r="D13" s="52" t="s">
        <v>1499</v>
      </c>
      <c r="E13" s="52" t="s">
        <v>1500</v>
      </c>
      <c r="F13" s="41" t="s">
        <v>1482</v>
      </c>
      <c r="G13" s="41" t="s">
        <v>76</v>
      </c>
      <c r="H13" s="57"/>
      <c r="I13" s="41"/>
    </row>
    <row r="14" spans="1:10" ht="30" customHeight="1" x14ac:dyDescent="0.3">
      <c r="A14" s="52">
        <v>8</v>
      </c>
      <c r="B14" s="52" t="s">
        <v>1494</v>
      </c>
      <c r="C14" s="52" t="s">
        <v>1501</v>
      </c>
      <c r="D14" s="52" t="s">
        <v>1502</v>
      </c>
      <c r="E14" s="52" t="s">
        <v>1500</v>
      </c>
      <c r="F14" s="41" t="s">
        <v>1482</v>
      </c>
      <c r="G14" s="41" t="s">
        <v>76</v>
      </c>
      <c r="H14" s="57"/>
      <c r="I14" s="41"/>
    </row>
    <row r="15" spans="1:10" ht="30" customHeight="1" x14ac:dyDescent="0.3">
      <c r="A15" s="52">
        <v>9</v>
      </c>
      <c r="B15" s="52" t="s">
        <v>1503</v>
      </c>
      <c r="C15" s="52" t="s">
        <v>1504</v>
      </c>
      <c r="D15" s="52" t="s">
        <v>1505</v>
      </c>
      <c r="E15" s="52" t="s">
        <v>1506</v>
      </c>
      <c r="F15" s="41" t="s">
        <v>1482</v>
      </c>
      <c r="G15" s="41" t="s">
        <v>76</v>
      </c>
      <c r="H15" s="57"/>
      <c r="I15" s="41"/>
    </row>
    <row r="16" spans="1:10" ht="30" customHeight="1" x14ac:dyDescent="0.3">
      <c r="A16" s="52">
        <v>10</v>
      </c>
      <c r="B16" s="52" t="s">
        <v>1503</v>
      </c>
      <c r="C16" s="52" t="s">
        <v>1507</v>
      </c>
      <c r="D16" s="52" t="s">
        <v>1508</v>
      </c>
      <c r="E16" s="52" t="s">
        <v>1509</v>
      </c>
      <c r="F16" s="41" t="s">
        <v>1482</v>
      </c>
      <c r="G16" s="41" t="s">
        <v>76</v>
      </c>
      <c r="H16" s="57"/>
      <c r="I16" s="41"/>
    </row>
    <row r="17" spans="1:9" ht="30" customHeight="1" x14ac:dyDescent="0.3">
      <c r="A17" s="52">
        <v>11</v>
      </c>
      <c r="B17" s="52" t="s">
        <v>1510</v>
      </c>
      <c r="C17" s="52" t="s">
        <v>1511</v>
      </c>
      <c r="D17" s="52" t="s">
        <v>1512</v>
      </c>
      <c r="E17" s="52" t="s">
        <v>1334</v>
      </c>
      <c r="F17" s="41" t="s">
        <v>1482</v>
      </c>
      <c r="G17" s="41" t="s">
        <v>76</v>
      </c>
      <c r="H17" s="57"/>
      <c r="I17" s="41"/>
    </row>
    <row r="18" spans="1:9" ht="30" customHeight="1" x14ac:dyDescent="0.3">
      <c r="A18" s="52">
        <v>12</v>
      </c>
      <c r="B18" s="52" t="s">
        <v>1510</v>
      </c>
      <c r="C18" s="52" t="s">
        <v>1513</v>
      </c>
      <c r="D18" s="52" t="s">
        <v>1514</v>
      </c>
      <c r="E18" s="52" t="s">
        <v>1515</v>
      </c>
      <c r="F18" s="41" t="s">
        <v>1482</v>
      </c>
      <c r="G18" s="41" t="s">
        <v>76</v>
      </c>
      <c r="H18" s="57"/>
      <c r="I18" s="41"/>
    </row>
    <row r="19" spans="1:9" ht="30" customHeight="1" x14ac:dyDescent="0.3">
      <c r="A19" s="52">
        <v>13</v>
      </c>
      <c r="B19" s="52" t="s">
        <v>1510</v>
      </c>
      <c r="C19" s="52" t="s">
        <v>1516</v>
      </c>
      <c r="D19" s="52" t="s">
        <v>1517</v>
      </c>
      <c r="E19" s="52" t="s">
        <v>1500</v>
      </c>
      <c r="F19" s="41" t="s">
        <v>1482</v>
      </c>
      <c r="G19" s="41" t="s">
        <v>76</v>
      </c>
      <c r="H19" s="57"/>
      <c r="I19" s="41"/>
    </row>
    <row r="20" spans="1:9" ht="30" customHeight="1" x14ac:dyDescent="0.3">
      <c r="A20" s="52">
        <v>14</v>
      </c>
      <c r="B20" s="52" t="s">
        <v>1518</v>
      </c>
      <c r="C20" s="52" t="s">
        <v>1519</v>
      </c>
      <c r="D20" s="52" t="s">
        <v>1520</v>
      </c>
      <c r="E20" s="52" t="s">
        <v>1521</v>
      </c>
      <c r="F20" s="41" t="s">
        <v>1482</v>
      </c>
      <c r="G20" s="41" t="s">
        <v>76</v>
      </c>
      <c r="H20" s="57"/>
      <c r="I20" s="41"/>
    </row>
    <row r="21" spans="1:9" ht="30" customHeight="1" x14ac:dyDescent="0.3">
      <c r="A21" s="52">
        <v>15</v>
      </c>
      <c r="B21" s="52" t="s">
        <v>1518</v>
      </c>
      <c r="C21" s="52" t="s">
        <v>1522</v>
      </c>
      <c r="D21" s="52" t="s">
        <v>1523</v>
      </c>
      <c r="E21" s="52" t="s">
        <v>1524</v>
      </c>
      <c r="F21" s="41" t="s">
        <v>1482</v>
      </c>
      <c r="G21" s="41" t="s">
        <v>76</v>
      </c>
      <c r="H21" s="57"/>
      <c r="I21" s="41"/>
    </row>
    <row r="22" spans="1:9" ht="30" customHeight="1" x14ac:dyDescent="0.3">
      <c r="A22" s="52">
        <v>16</v>
      </c>
      <c r="B22" s="52" t="s">
        <v>1518</v>
      </c>
      <c r="C22" s="52" t="s">
        <v>1525</v>
      </c>
      <c r="D22" s="52" t="s">
        <v>1526</v>
      </c>
      <c r="E22" s="52" t="s">
        <v>1500</v>
      </c>
      <c r="F22" s="41" t="s">
        <v>1482</v>
      </c>
      <c r="G22" s="41" t="s">
        <v>76</v>
      </c>
      <c r="H22" s="57"/>
      <c r="I22" s="41"/>
    </row>
    <row r="23" spans="1:9" ht="30" customHeight="1" x14ac:dyDescent="0.3">
      <c r="A23" s="52">
        <v>17</v>
      </c>
      <c r="B23" s="52" t="s">
        <v>1518</v>
      </c>
      <c r="C23" s="52" t="s">
        <v>1527</v>
      </c>
      <c r="D23" s="52" t="s">
        <v>1528</v>
      </c>
      <c r="E23" s="52" t="s">
        <v>1529</v>
      </c>
      <c r="F23" s="41" t="s">
        <v>1482</v>
      </c>
      <c r="G23" s="41" t="s">
        <v>76</v>
      </c>
      <c r="H23" s="57"/>
      <c r="I23" s="41"/>
    </row>
    <row r="24" spans="1:9" ht="30" customHeight="1" x14ac:dyDescent="0.3">
      <c r="A24" s="52">
        <v>18</v>
      </c>
      <c r="B24" s="52" t="s">
        <v>1518</v>
      </c>
      <c r="C24" s="52" t="s">
        <v>1530</v>
      </c>
      <c r="D24" s="52" t="s">
        <v>1531</v>
      </c>
      <c r="E24" s="52" t="s">
        <v>1532</v>
      </c>
      <c r="F24" s="41" t="s">
        <v>1482</v>
      </c>
      <c r="G24" s="41" t="s">
        <v>76</v>
      </c>
      <c r="H24" s="57"/>
      <c r="I24" s="41"/>
    </row>
    <row r="25" spans="1:9" ht="30" customHeight="1" x14ac:dyDescent="0.3">
      <c r="A25" s="52">
        <v>19</v>
      </c>
      <c r="B25" s="52" t="s">
        <v>1518</v>
      </c>
      <c r="C25" s="52" t="s">
        <v>1533</v>
      </c>
      <c r="D25" s="52" t="s">
        <v>1534</v>
      </c>
      <c r="E25" s="52" t="s">
        <v>1500</v>
      </c>
      <c r="F25" s="41" t="s">
        <v>1482</v>
      </c>
      <c r="G25" s="41" t="s">
        <v>76</v>
      </c>
      <c r="H25" s="57"/>
      <c r="I25" s="41"/>
    </row>
    <row r="26" spans="1:9" ht="30" customHeight="1" x14ac:dyDescent="0.3">
      <c r="A26" s="52">
        <v>20</v>
      </c>
      <c r="B26" s="52" t="s">
        <v>1518</v>
      </c>
      <c r="C26" s="52" t="s">
        <v>1535</v>
      </c>
      <c r="D26" s="52" t="s">
        <v>1536</v>
      </c>
      <c r="E26" s="52" t="s">
        <v>1491</v>
      </c>
      <c r="F26" s="41" t="s">
        <v>1482</v>
      </c>
      <c r="G26" s="41" t="s">
        <v>76</v>
      </c>
      <c r="H26" s="57"/>
      <c r="I26" s="41"/>
    </row>
    <row r="27" spans="1:9" ht="30" customHeight="1" x14ac:dyDescent="0.3">
      <c r="A27" s="52">
        <v>21</v>
      </c>
      <c r="B27" s="52" t="s">
        <v>1518</v>
      </c>
      <c r="C27" s="52" t="s">
        <v>1537</v>
      </c>
      <c r="D27" s="52" t="s">
        <v>1538</v>
      </c>
      <c r="E27" s="52" t="s">
        <v>1500</v>
      </c>
      <c r="F27" s="41" t="s">
        <v>1482</v>
      </c>
      <c r="G27" s="41" t="s">
        <v>76</v>
      </c>
      <c r="H27" s="57"/>
      <c r="I27" s="41"/>
    </row>
    <row r="28" spans="1:9" ht="30" customHeight="1" x14ac:dyDescent="0.3">
      <c r="A28" s="52">
        <v>22</v>
      </c>
      <c r="B28" s="52" t="s">
        <v>1539</v>
      </c>
      <c r="C28" s="52" t="s">
        <v>1540</v>
      </c>
      <c r="D28" s="52" t="s">
        <v>1541</v>
      </c>
      <c r="E28" s="52" t="s">
        <v>1542</v>
      </c>
      <c r="F28" s="41" t="s">
        <v>1482</v>
      </c>
      <c r="G28" s="41" t="s">
        <v>76</v>
      </c>
      <c r="H28" s="57"/>
      <c r="I28" s="41"/>
    </row>
    <row r="29" spans="1:9" ht="30" customHeight="1" x14ac:dyDescent="0.3">
      <c r="A29" s="52">
        <v>23</v>
      </c>
      <c r="B29" s="52" t="s">
        <v>1539</v>
      </c>
      <c r="C29" s="52" t="s">
        <v>1543</v>
      </c>
      <c r="D29" s="52" t="s">
        <v>1544</v>
      </c>
      <c r="E29" s="52" t="s">
        <v>1545</v>
      </c>
      <c r="F29" s="41" t="s">
        <v>1482</v>
      </c>
      <c r="G29" s="41" t="s">
        <v>76</v>
      </c>
      <c r="H29" s="57"/>
      <c r="I29" s="41"/>
    </row>
    <row r="30" spans="1:9" ht="30" customHeight="1" x14ac:dyDescent="0.3">
      <c r="A30" s="52">
        <v>24</v>
      </c>
      <c r="B30" s="52" t="s">
        <v>1539</v>
      </c>
      <c r="C30" s="52" t="s">
        <v>1546</v>
      </c>
      <c r="D30" s="52" t="s">
        <v>1547</v>
      </c>
      <c r="E30" s="52" t="s">
        <v>1500</v>
      </c>
      <c r="F30" s="41" t="s">
        <v>1482</v>
      </c>
      <c r="G30" s="41" t="s">
        <v>76</v>
      </c>
      <c r="H30" s="57"/>
      <c r="I30" s="41"/>
    </row>
    <row r="31" spans="1:9" ht="30" customHeight="1" x14ac:dyDescent="0.3">
      <c r="A31" s="52">
        <v>25</v>
      </c>
      <c r="B31" s="52" t="s">
        <v>1548</v>
      </c>
      <c r="C31" s="52" t="s">
        <v>1549</v>
      </c>
      <c r="D31" s="52" t="s">
        <v>1550</v>
      </c>
      <c r="E31" s="52" t="s">
        <v>1551</v>
      </c>
      <c r="F31" s="41" t="s">
        <v>1482</v>
      </c>
      <c r="G31" s="41" t="s">
        <v>76</v>
      </c>
      <c r="H31" s="57"/>
      <c r="I31" s="41"/>
    </row>
    <row r="32" spans="1:9" ht="30" customHeight="1" x14ac:dyDescent="0.3">
      <c r="A32" s="52">
        <v>26</v>
      </c>
      <c r="B32" s="52" t="s">
        <v>1548</v>
      </c>
      <c r="C32" s="52" t="s">
        <v>1552</v>
      </c>
      <c r="D32" s="52" t="s">
        <v>1553</v>
      </c>
      <c r="E32" s="52" t="s">
        <v>1551</v>
      </c>
      <c r="F32" s="41" t="s">
        <v>1482</v>
      </c>
      <c r="G32" s="41" t="s">
        <v>76</v>
      </c>
      <c r="H32" s="57"/>
      <c r="I32" s="41"/>
    </row>
    <row r="33" spans="1:10" ht="30" customHeight="1" x14ac:dyDescent="0.3">
      <c r="A33" s="52">
        <v>27</v>
      </c>
      <c r="B33" s="52" t="s">
        <v>1548</v>
      </c>
      <c r="C33" s="52" t="s">
        <v>1554</v>
      </c>
      <c r="D33" s="52" t="s">
        <v>1555</v>
      </c>
      <c r="E33" s="52" t="s">
        <v>1551</v>
      </c>
      <c r="F33" s="41" t="s">
        <v>1482</v>
      </c>
      <c r="G33" s="41" t="s">
        <v>76</v>
      </c>
      <c r="H33" s="57"/>
      <c r="I33" s="41"/>
    </row>
    <row r="34" spans="1:10" ht="30" customHeight="1" x14ac:dyDescent="0.3">
      <c r="A34" s="52">
        <v>28</v>
      </c>
      <c r="B34" s="52" t="s">
        <v>1548</v>
      </c>
      <c r="C34" s="52" t="s">
        <v>1556</v>
      </c>
      <c r="D34" s="52" t="s">
        <v>1557</v>
      </c>
      <c r="E34" s="52" t="s">
        <v>1558</v>
      </c>
      <c r="F34" s="41" t="s">
        <v>1482</v>
      </c>
      <c r="G34" s="41" t="s">
        <v>76</v>
      </c>
      <c r="H34" s="57"/>
      <c r="I34" s="41"/>
    </row>
    <row r="35" spans="1:10" ht="30" customHeight="1" x14ac:dyDescent="0.3">
      <c r="A35" s="52">
        <v>29</v>
      </c>
      <c r="B35" s="52" t="s">
        <v>1548</v>
      </c>
      <c r="C35" s="52" t="s">
        <v>1559</v>
      </c>
      <c r="D35" s="52" t="s">
        <v>1560</v>
      </c>
      <c r="E35" s="52" t="s">
        <v>1551</v>
      </c>
      <c r="F35" s="41" t="s">
        <v>1482</v>
      </c>
      <c r="G35" s="41" t="s">
        <v>76</v>
      </c>
      <c r="H35" s="57"/>
      <c r="I35" s="41"/>
    </row>
    <row r="36" spans="1:10" ht="30" customHeight="1" x14ac:dyDescent="0.3">
      <c r="A36" s="52">
        <v>30</v>
      </c>
      <c r="B36" s="52" t="s">
        <v>1548</v>
      </c>
      <c r="C36" s="52" t="s">
        <v>1561</v>
      </c>
      <c r="D36" s="52" t="s">
        <v>1562</v>
      </c>
      <c r="E36" s="52" t="s">
        <v>1334</v>
      </c>
      <c r="F36" s="41" t="s">
        <v>1482</v>
      </c>
      <c r="G36" s="41" t="s">
        <v>76</v>
      </c>
      <c r="H36" s="57"/>
      <c r="I36" s="41"/>
    </row>
    <row r="37" spans="1:10" ht="30" customHeight="1" x14ac:dyDescent="0.3">
      <c r="A37" s="52">
        <v>31</v>
      </c>
      <c r="B37" s="52" t="s">
        <v>1563</v>
      </c>
      <c r="C37" s="52" t="s">
        <v>1564</v>
      </c>
      <c r="D37" s="52" t="s">
        <v>1565</v>
      </c>
      <c r="E37" s="52" t="s">
        <v>520</v>
      </c>
      <c r="F37" s="41" t="s">
        <v>1482</v>
      </c>
      <c r="G37" s="41" t="s">
        <v>76</v>
      </c>
      <c r="H37" s="57"/>
      <c r="I37" s="41"/>
    </row>
    <row r="38" spans="1:10" ht="30" customHeight="1" x14ac:dyDescent="0.3">
      <c r="A38" s="52">
        <v>32</v>
      </c>
      <c r="B38" s="52" t="s">
        <v>1563</v>
      </c>
      <c r="C38" s="52" t="s">
        <v>1566</v>
      </c>
      <c r="D38" s="52" t="s">
        <v>1567</v>
      </c>
      <c r="E38" s="52" t="s">
        <v>520</v>
      </c>
      <c r="F38" s="41" t="s">
        <v>1482</v>
      </c>
      <c r="G38" s="41" t="s">
        <v>76</v>
      </c>
      <c r="H38" s="57"/>
      <c r="I38" s="41"/>
    </row>
    <row r="39" spans="1:10" ht="30" customHeight="1" x14ac:dyDescent="0.3">
      <c r="A39" s="52">
        <v>33</v>
      </c>
      <c r="B39" s="52" t="s">
        <v>1563</v>
      </c>
      <c r="C39" s="52" t="s">
        <v>1568</v>
      </c>
      <c r="D39" s="52" t="s">
        <v>1569</v>
      </c>
      <c r="E39" s="52" t="s">
        <v>520</v>
      </c>
      <c r="F39" s="41" t="s">
        <v>1482</v>
      </c>
      <c r="G39" s="41" t="s">
        <v>76</v>
      </c>
      <c r="H39" s="57"/>
      <c r="I39" s="41"/>
    </row>
    <row r="40" spans="1:10" ht="30" customHeight="1" x14ac:dyDescent="0.3">
      <c r="A40" s="52">
        <v>34</v>
      </c>
      <c r="B40" s="52" t="s">
        <v>1570</v>
      </c>
      <c r="C40" s="52" t="s">
        <v>1571</v>
      </c>
      <c r="D40" s="52" t="s">
        <v>1572</v>
      </c>
      <c r="E40" s="52" t="s">
        <v>1573</v>
      </c>
      <c r="F40" s="41" t="s">
        <v>1482</v>
      </c>
      <c r="G40" s="41" t="s">
        <v>76</v>
      </c>
      <c r="H40" s="57"/>
      <c r="I40" s="41"/>
    </row>
    <row r="41" spans="1:10" ht="30" customHeight="1" x14ac:dyDescent="0.3">
      <c r="A41" s="52">
        <v>35</v>
      </c>
      <c r="B41" s="52" t="s">
        <v>1570</v>
      </c>
      <c r="C41" s="52" t="s">
        <v>1574</v>
      </c>
      <c r="D41" s="52" t="s">
        <v>1575</v>
      </c>
      <c r="E41" s="52" t="s">
        <v>1576</v>
      </c>
      <c r="F41" s="41" t="s">
        <v>1482</v>
      </c>
      <c r="G41" s="41" t="s">
        <v>76</v>
      </c>
      <c r="H41" s="57"/>
      <c r="I41" s="41"/>
    </row>
    <row r="42" spans="1:10" ht="30" customHeight="1" x14ac:dyDescent="0.3">
      <c r="A42" s="52">
        <v>36</v>
      </c>
      <c r="B42" s="52" t="s">
        <v>1570</v>
      </c>
      <c r="C42" s="52" t="s">
        <v>1577</v>
      </c>
      <c r="D42" s="52" t="s">
        <v>1578</v>
      </c>
      <c r="E42" s="52" t="s">
        <v>1573</v>
      </c>
      <c r="F42" s="41" t="s">
        <v>1482</v>
      </c>
      <c r="G42" s="41" t="s">
        <v>76</v>
      </c>
      <c r="H42" s="57"/>
      <c r="I42" s="41"/>
    </row>
    <row r="43" spans="1:10" ht="30" customHeight="1" x14ac:dyDescent="0.3">
      <c r="A43" s="52">
        <v>37</v>
      </c>
      <c r="B43" s="52" t="s">
        <v>1570</v>
      </c>
      <c r="C43" s="52" t="s">
        <v>1579</v>
      </c>
      <c r="D43" s="52" t="s">
        <v>1580</v>
      </c>
      <c r="E43" s="52" t="s">
        <v>1581</v>
      </c>
      <c r="F43" s="41" t="s">
        <v>1482</v>
      </c>
      <c r="G43" s="41" t="s">
        <v>76</v>
      </c>
      <c r="H43" s="57"/>
      <c r="I43" s="41"/>
    </row>
    <row r="44" spans="1:10" ht="30" customHeight="1" x14ac:dyDescent="0.3">
      <c r="A44" s="52">
        <v>38</v>
      </c>
      <c r="B44" s="52" t="s">
        <v>1570</v>
      </c>
      <c r="C44" s="52" t="s">
        <v>1582</v>
      </c>
      <c r="D44" s="52" t="s">
        <v>1583</v>
      </c>
      <c r="E44" s="52" t="s">
        <v>1509</v>
      </c>
      <c r="F44" s="41" t="s">
        <v>1482</v>
      </c>
      <c r="G44" s="41" t="s">
        <v>76</v>
      </c>
      <c r="H44" s="57"/>
      <c r="I44" s="41"/>
    </row>
    <row r="45" spans="1:10" ht="30" customHeight="1" x14ac:dyDescent="0.3">
      <c r="A45" s="52">
        <v>39</v>
      </c>
      <c r="B45" s="52" t="s">
        <v>1570</v>
      </c>
      <c r="C45" s="52" t="s">
        <v>1584</v>
      </c>
      <c r="D45" s="52" t="s">
        <v>1585</v>
      </c>
      <c r="E45" s="52" t="s">
        <v>689</v>
      </c>
      <c r="F45" s="41" t="s">
        <v>1482</v>
      </c>
      <c r="G45" s="41" t="s">
        <v>76</v>
      </c>
      <c r="H45" s="57"/>
      <c r="I45" s="41"/>
    </row>
    <row r="48" spans="1:10" ht="22.05" customHeight="1" x14ac:dyDescent="0.3">
      <c r="A48" s="71" t="s">
        <v>1586</v>
      </c>
      <c r="B48" s="72"/>
      <c r="C48" s="72"/>
      <c r="D48" s="72"/>
      <c r="E48" s="72"/>
      <c r="F48" s="72"/>
      <c r="G48" s="72"/>
      <c r="H48" s="72"/>
      <c r="I48" s="72"/>
      <c r="J48" s="72"/>
    </row>
    <row r="49" spans="1:10" x14ac:dyDescent="0.3">
      <c r="A49" s="5" t="s">
        <v>934</v>
      </c>
      <c r="B49" s="82" t="s">
        <v>1587</v>
      </c>
      <c r="C49" s="84"/>
      <c r="D49" s="82" t="s">
        <v>1588</v>
      </c>
      <c r="E49" s="83"/>
      <c r="F49" s="84"/>
      <c r="G49" s="5" t="s">
        <v>1589</v>
      </c>
      <c r="H49" s="82" t="s">
        <v>1590</v>
      </c>
      <c r="I49" s="84"/>
      <c r="J49" s="5" t="s">
        <v>1477</v>
      </c>
    </row>
    <row r="50" spans="1:10" ht="36" customHeight="1" x14ac:dyDescent="0.3">
      <c r="A50" s="52">
        <v>1</v>
      </c>
      <c r="B50" s="139" t="s">
        <v>1591</v>
      </c>
      <c r="C50" s="139"/>
      <c r="D50" s="139" t="s">
        <v>1592</v>
      </c>
      <c r="E50" s="139"/>
      <c r="F50" s="139"/>
      <c r="G50" s="52" t="s">
        <v>1593</v>
      </c>
      <c r="H50" s="138" t="s">
        <v>76</v>
      </c>
      <c r="I50" s="138"/>
      <c r="J50" s="41"/>
    </row>
    <row r="51" spans="1:10" ht="36" customHeight="1" x14ac:dyDescent="0.3">
      <c r="A51" s="52">
        <v>2</v>
      </c>
      <c r="B51" s="139" t="s">
        <v>1594</v>
      </c>
      <c r="C51" s="139"/>
      <c r="D51" s="139" t="s">
        <v>1595</v>
      </c>
      <c r="E51" s="139"/>
      <c r="F51" s="139"/>
      <c r="G51" s="52" t="s">
        <v>1596</v>
      </c>
      <c r="H51" s="138" t="s">
        <v>76</v>
      </c>
      <c r="I51" s="138"/>
      <c r="J51" s="41"/>
    </row>
    <row r="52" spans="1:10" ht="36" customHeight="1" x14ac:dyDescent="0.3">
      <c r="A52" s="52">
        <v>3</v>
      </c>
      <c r="B52" s="139" t="s">
        <v>1597</v>
      </c>
      <c r="C52" s="139"/>
      <c r="D52" s="139" t="s">
        <v>1598</v>
      </c>
      <c r="E52" s="139"/>
      <c r="F52" s="139"/>
      <c r="G52" s="52" t="s">
        <v>1599</v>
      </c>
      <c r="H52" s="138" t="s">
        <v>76</v>
      </c>
      <c r="I52" s="138"/>
      <c r="J52" s="41"/>
    </row>
    <row r="53" spans="1:10" ht="36" customHeight="1" x14ac:dyDescent="0.3">
      <c r="A53" s="52">
        <v>4</v>
      </c>
      <c r="B53" s="139" t="s">
        <v>1600</v>
      </c>
      <c r="C53" s="139"/>
      <c r="D53" s="139" t="s">
        <v>1601</v>
      </c>
      <c r="E53" s="139"/>
      <c r="F53" s="139"/>
      <c r="G53" s="52" t="s">
        <v>1599</v>
      </c>
      <c r="H53" s="138" t="s">
        <v>76</v>
      </c>
      <c r="I53" s="138"/>
      <c r="J53" s="41"/>
    </row>
    <row r="54" spans="1:10" ht="36" customHeight="1" x14ac:dyDescent="0.3">
      <c r="A54" s="52">
        <v>5</v>
      </c>
      <c r="B54" s="139" t="s">
        <v>1602</v>
      </c>
      <c r="C54" s="139"/>
      <c r="D54" s="139" t="s">
        <v>1603</v>
      </c>
      <c r="E54" s="139"/>
      <c r="F54" s="139"/>
      <c r="G54" s="52" t="s">
        <v>1604</v>
      </c>
      <c r="H54" s="138" t="s">
        <v>76</v>
      </c>
      <c r="I54" s="138"/>
      <c r="J54" s="41"/>
    </row>
    <row r="56" spans="1:10" ht="36" customHeight="1" x14ac:dyDescent="0.3">
      <c r="A56" s="140" t="s">
        <v>1605</v>
      </c>
      <c r="B56" s="86"/>
      <c r="C56" s="86"/>
      <c r="D56" s="86"/>
      <c r="E56" s="86"/>
      <c r="F56" s="86"/>
      <c r="G56" s="86"/>
      <c r="H56" s="86"/>
      <c r="I56" s="86"/>
      <c r="J56" s="86"/>
    </row>
  </sheetData>
  <mergeCells count="22">
    <mergeCell ref="A56:J56"/>
    <mergeCell ref="B50:C50"/>
    <mergeCell ref="D52:F52"/>
    <mergeCell ref="D49:F49"/>
    <mergeCell ref="A1:J1"/>
    <mergeCell ref="D54:F54"/>
    <mergeCell ref="D50:F50"/>
    <mergeCell ref="B49:C49"/>
    <mergeCell ref="B51:C51"/>
    <mergeCell ref="A2:J2"/>
    <mergeCell ref="H49:I49"/>
    <mergeCell ref="H51:I51"/>
    <mergeCell ref="A48:J48"/>
    <mergeCell ref="H52:I52"/>
    <mergeCell ref="B53:C53"/>
    <mergeCell ref="D51:F51"/>
    <mergeCell ref="H53:I53"/>
    <mergeCell ref="B54:C54"/>
    <mergeCell ref="H54:I54"/>
    <mergeCell ref="H50:I50"/>
    <mergeCell ref="D53:F53"/>
    <mergeCell ref="B52:C52"/>
  </mergeCells>
  <conditionalFormatting sqref="B7:B45">
    <cfRule type="expression" dxfId="23" priority="5">
      <formula>$B7="1. Staging Verification"</formula>
    </cfRule>
    <cfRule type="expression" dxfId="22" priority="6">
      <formula>$B7="2. Full Backup"</formula>
    </cfRule>
    <cfRule type="expression" dxfId="21" priority="7">
      <formula>$B7="3. Database Backup"</formula>
    </cfRule>
    <cfRule type="expression" dxfId="20" priority="8">
      <formula>$B7="4. SEO Comparison"</formula>
    </cfRule>
    <cfRule type="expression" dxfId="19" priority="9">
      <formula>$B7="5. Theme Activation"</formula>
    </cfRule>
    <cfRule type="expression" dxfId="18" priority="10">
      <formula>$B7="6. Cache Clearing"</formula>
    </cfRule>
    <cfRule type="expression" dxfId="17" priority="11">
      <formula>$B7="7. Smoke Testing"</formula>
    </cfRule>
    <cfRule type="expression" dxfId="16" priority="12">
      <formula>$B7="8. Rollback Readiness"</formula>
    </cfRule>
    <cfRule type="expression" dxfId="15" priority="13">
      <formula>$B7="9. Post-launch Monitoring"</formula>
    </cfRule>
  </conditionalFormatting>
  <conditionalFormatting sqref="G7:G45">
    <cfRule type="expression" dxfId="14" priority="1">
      <formula>$G7="Done"</formula>
    </cfRule>
    <cfRule type="expression" dxfId="13" priority="2">
      <formula>$G7="In Progress"</formula>
    </cfRule>
    <cfRule type="expression" dxfId="12" priority="3">
      <formula>$G7="Failed"</formula>
    </cfRule>
    <cfRule type="expression" dxfId="11" priority="4">
      <formula>$G7="Not Started"</formula>
    </cfRule>
  </conditionalFormatting>
  <hyperlinks>
    <hyperlink ref="A3" location="'Executive Dashboard'!A1" display="← Dashboard" xr:uid="{00000000-0004-0000-0900-000000000000}"/>
    <hyperlink ref="C3" r:id="rId1" xr:uid="{00000000-0004-0000-0900-000001000000}"/>
  </hyperlinks>
  <pageMargins left="0.75" right="0.75" top="1" bottom="1" header="0.5" footer="0.5"/>
  <pageSetup fitToHeight="0" orientation="landscape"/>
  <tableParts count="1">
    <tablePart r:id="rId2"/>
  </tableParts>
  <extLst>
    <ext xmlns:x14="http://schemas.microsoft.com/office/spreadsheetml/2009/9/main" uri="{CCE6A557-97BC-4b89-ADB6-D9C93CAAB3DF}">
      <x14:dataValidations xmlns:xm="http://schemas.microsoft.com/office/excel/2006/main" count="5">
        <x14:dataValidation type="list" allowBlank="1" showErrorMessage="1" errorTitle="Invalid value" error="Please choose a value from the dropdown list." xr:uid="{00000000-0002-0000-0900-000000000000}">
          <x14:formula1>
            <xm:f>Lists!$H$2:$H$6</xm:f>
          </x14:formula1>
          <xm:sqref>G7:G45 H50:H54</xm:sqref>
        </x14:dataValidation>
        <x14:dataValidation type="list" errorStyle="information" allowBlank="1" showErrorMessage="1" errorTitle="Custom value" error="This value is not in the list — click OK to keep it." xr:uid="{00000000-0002-0000-0900-000001000000}">
          <x14:formula1>
            <xm:f>Lists!$Z$2:$Z$10</xm:f>
          </x14:formula1>
          <xm:sqref>B7:B45</xm:sqref>
        </x14:dataValidation>
        <x14:dataValidation type="list" errorStyle="information" allowBlank="1" showErrorMessage="1" errorTitle="Custom value" error="This value is not in the list — click OK to keep it." xr:uid="{00000000-0002-0000-0900-000002000000}">
          <x14:formula1>
            <xm:f>Lists!$T$2:$T$6</xm:f>
          </x14:formula1>
          <xm:sqref>F7:F45</xm:sqref>
        </x14:dataValidation>
        <x14:dataValidation type="list" errorStyle="information" allowBlank="1" showErrorMessage="1" errorTitle="Custom value" error="This value is not in the list — click OK to keep it." xr:uid="{00000000-0002-0000-0900-000003000000}">
          <x14:formula1>
            <xm:f>Lists!$S$2:$S$62</xm:f>
          </x14:formula1>
          <xm:sqref>H7:H45</xm:sqref>
        </x14:dataValidation>
        <x14:dataValidation type="list" errorStyle="information" allowBlank="1" showErrorMessage="1" errorTitle="Custom value" error="This value is not in the list — click OK to keep it." xr:uid="{00000000-0002-0000-0900-000004000000}">
          <x14:formula1>
            <xm:f>Lists!$X$2:$X$6</xm:f>
          </x14:formula1>
          <xm:sqref>I7:I45 J50:J54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4748B"/>
    <pageSetUpPr fitToPage="1"/>
  </sheetPr>
  <dimension ref="A1:K33"/>
  <sheetViews>
    <sheetView showGridLines="0" zoomScale="90" workbookViewId="0">
      <pane xSplit="3" ySplit="5" topLeftCell="D6" activePane="bottomRight" state="frozen"/>
      <selection pane="topRight"/>
      <selection pane="bottomLeft"/>
      <selection pane="bottomRight"/>
    </sheetView>
  </sheetViews>
  <sheetFormatPr defaultRowHeight="14.4" x14ac:dyDescent="0.3"/>
  <cols>
    <col min="1" max="1" width="8" customWidth="1"/>
    <col min="2" max="2" width="10" customWidth="1"/>
    <col min="3" max="3" width="50" customWidth="1"/>
    <col min="4" max="4" width="10" customWidth="1"/>
    <col min="5" max="5" width="11" customWidth="1"/>
    <col min="6" max="6" width="28" customWidth="1"/>
    <col min="7" max="7" width="54" customWidth="1"/>
    <col min="8" max="8" width="14" customWidth="1"/>
    <col min="9" max="9" width="11" customWidth="1"/>
    <col min="10" max="10" width="30" customWidth="1"/>
    <col min="11" max="11" width="11" customWidth="1"/>
  </cols>
  <sheetData>
    <row r="1" spans="1:11" ht="34.049999999999997" customHeight="1" x14ac:dyDescent="0.3">
      <c r="A1" s="111" t="s">
        <v>1606</v>
      </c>
      <c r="B1" s="112"/>
      <c r="C1" s="112"/>
      <c r="D1" s="112"/>
      <c r="E1" s="112"/>
      <c r="F1" s="112"/>
      <c r="G1" s="112"/>
      <c r="H1" s="112"/>
      <c r="I1" s="112"/>
      <c r="J1" s="112"/>
      <c r="K1" s="112"/>
    </row>
    <row r="2" spans="1:11" ht="19.95" customHeight="1" x14ac:dyDescent="0.3">
      <c r="A2" s="79" t="s">
        <v>1607</v>
      </c>
      <c r="B2" s="80"/>
      <c r="C2" s="80"/>
      <c r="D2" s="80"/>
      <c r="E2" s="80"/>
      <c r="F2" s="80"/>
      <c r="G2" s="80"/>
      <c r="H2" s="80"/>
      <c r="I2" s="80"/>
      <c r="J2" s="80"/>
      <c r="K2" s="80"/>
    </row>
    <row r="3" spans="1:11" x14ac:dyDescent="0.3">
      <c r="A3" s="33" t="s">
        <v>109</v>
      </c>
      <c r="C3" s="56" t="str">
        <f>"Open: "&amp;COUNTIFS(I6:I200,"Open")&amp;"   ·   Open Critical: "&amp;COUNTIFS(I6:I200,"Open",D6:D200,"Critical")&amp;"   ·   Open High: "&amp;COUNTIFS(I6:I200,"Open",D6:D200,"High")&amp;"   ·   Realized: "&amp;COUNTIF(I6:I200,"Realized")</f>
        <v>Open: 18   ·   Open Critical: 3   ·   Open High: 8   ·   Realized: 0</v>
      </c>
    </row>
    <row r="5" spans="1:11" ht="24" x14ac:dyDescent="0.3">
      <c r="A5" s="12" t="s">
        <v>1608</v>
      </c>
      <c r="B5" s="12" t="s">
        <v>1609</v>
      </c>
      <c r="C5" s="12" t="s">
        <v>1610</v>
      </c>
      <c r="D5" s="12" t="s">
        <v>1611</v>
      </c>
      <c r="E5" s="12" t="s">
        <v>1612</v>
      </c>
      <c r="F5" s="12" t="s">
        <v>1613</v>
      </c>
      <c r="G5" s="12" t="s">
        <v>1614</v>
      </c>
      <c r="H5" s="12" t="s">
        <v>1475</v>
      </c>
      <c r="I5" s="12" t="s">
        <v>70</v>
      </c>
      <c r="J5" s="12" t="s">
        <v>1615</v>
      </c>
      <c r="K5" s="12" t="s">
        <v>1616</v>
      </c>
    </row>
    <row r="6" spans="1:11" ht="43.95" customHeight="1" x14ac:dyDescent="0.3">
      <c r="A6" s="52" t="s">
        <v>1617</v>
      </c>
      <c r="B6" s="52" t="s">
        <v>1236</v>
      </c>
      <c r="C6" s="52" t="s">
        <v>1618</v>
      </c>
      <c r="D6" s="41" t="s">
        <v>1619</v>
      </c>
      <c r="E6" s="41" t="s">
        <v>1620</v>
      </c>
      <c r="F6" s="52" t="s">
        <v>1621</v>
      </c>
      <c r="G6" s="52" t="s">
        <v>1622</v>
      </c>
      <c r="H6" s="41" t="s">
        <v>1482</v>
      </c>
      <c r="I6" s="41" t="s">
        <v>68</v>
      </c>
      <c r="J6" s="41"/>
      <c r="K6" s="58">
        <v>46306</v>
      </c>
    </row>
    <row r="7" spans="1:11" ht="43.95" customHeight="1" x14ac:dyDescent="0.3">
      <c r="A7" s="52" t="s">
        <v>1623</v>
      </c>
      <c r="B7" s="52" t="s">
        <v>1236</v>
      </c>
      <c r="C7" s="52" t="s">
        <v>1624</v>
      </c>
      <c r="D7" s="41" t="s">
        <v>1625</v>
      </c>
      <c r="E7" s="41" t="s">
        <v>1626</v>
      </c>
      <c r="F7" s="52" t="s">
        <v>1627</v>
      </c>
      <c r="G7" s="52" t="s">
        <v>1628</v>
      </c>
      <c r="H7" s="41" t="s">
        <v>1629</v>
      </c>
      <c r="I7" s="41" t="s">
        <v>68</v>
      </c>
      <c r="J7" s="41"/>
      <c r="K7" s="58">
        <v>46306</v>
      </c>
    </row>
    <row r="8" spans="1:11" ht="43.95" customHeight="1" x14ac:dyDescent="0.3">
      <c r="A8" s="52" t="s">
        <v>1630</v>
      </c>
      <c r="B8" s="52" t="s">
        <v>13</v>
      </c>
      <c r="C8" s="52" t="s">
        <v>1631</v>
      </c>
      <c r="D8" s="41" t="s">
        <v>1619</v>
      </c>
      <c r="E8" s="41" t="s">
        <v>1620</v>
      </c>
      <c r="F8" s="52" t="s">
        <v>1632</v>
      </c>
      <c r="G8" s="52" t="s">
        <v>1633</v>
      </c>
      <c r="H8" s="41" t="s">
        <v>1482</v>
      </c>
      <c r="I8" s="41" t="s">
        <v>68</v>
      </c>
      <c r="J8" s="41"/>
      <c r="K8" s="58">
        <v>46306</v>
      </c>
    </row>
    <row r="9" spans="1:11" ht="43.95" customHeight="1" x14ac:dyDescent="0.3">
      <c r="A9" s="52" t="s">
        <v>1634</v>
      </c>
      <c r="B9" s="52" t="s">
        <v>13</v>
      </c>
      <c r="C9" s="52" t="s">
        <v>1635</v>
      </c>
      <c r="D9" s="41" t="s">
        <v>1619</v>
      </c>
      <c r="E9" s="41" t="s">
        <v>1620</v>
      </c>
      <c r="F9" s="52" t="s">
        <v>1636</v>
      </c>
      <c r="G9" s="52" t="s">
        <v>1637</v>
      </c>
      <c r="H9" s="41" t="s">
        <v>1482</v>
      </c>
      <c r="I9" s="41" t="s">
        <v>68</v>
      </c>
      <c r="J9" s="41"/>
      <c r="K9" s="58">
        <v>46306</v>
      </c>
    </row>
    <row r="10" spans="1:11" ht="43.95" customHeight="1" x14ac:dyDescent="0.3">
      <c r="A10" s="52" t="s">
        <v>1638</v>
      </c>
      <c r="B10" s="52" t="s">
        <v>13</v>
      </c>
      <c r="C10" s="52" t="s">
        <v>1639</v>
      </c>
      <c r="D10" s="41" t="s">
        <v>1640</v>
      </c>
      <c r="E10" s="41" t="s">
        <v>1620</v>
      </c>
      <c r="F10" s="52" t="s">
        <v>1641</v>
      </c>
      <c r="G10" s="52" t="s">
        <v>1642</v>
      </c>
      <c r="H10" s="41" t="s">
        <v>1482</v>
      </c>
      <c r="I10" s="41" t="s">
        <v>68</v>
      </c>
      <c r="J10" s="41"/>
      <c r="K10" s="58">
        <v>46306</v>
      </c>
    </row>
    <row r="11" spans="1:11" ht="43.95" customHeight="1" x14ac:dyDescent="0.3">
      <c r="A11" s="52" t="s">
        <v>1643</v>
      </c>
      <c r="B11" s="52" t="s">
        <v>12</v>
      </c>
      <c r="C11" s="52" t="s">
        <v>1644</v>
      </c>
      <c r="D11" s="41" t="s">
        <v>1625</v>
      </c>
      <c r="E11" s="41" t="s">
        <v>1626</v>
      </c>
      <c r="F11" s="52" t="s">
        <v>1645</v>
      </c>
      <c r="G11" s="52" t="s">
        <v>1646</v>
      </c>
      <c r="H11" s="41" t="s">
        <v>1647</v>
      </c>
      <c r="I11" s="41" t="s">
        <v>68</v>
      </c>
      <c r="J11" s="41"/>
      <c r="K11" s="58">
        <v>46306</v>
      </c>
    </row>
    <row r="12" spans="1:11" ht="43.95" customHeight="1" x14ac:dyDescent="0.3">
      <c r="A12" s="52" t="s">
        <v>1648</v>
      </c>
      <c r="B12" s="52" t="s">
        <v>12</v>
      </c>
      <c r="C12" s="52" t="s">
        <v>1649</v>
      </c>
      <c r="D12" s="41" t="s">
        <v>1640</v>
      </c>
      <c r="E12" s="41" t="s">
        <v>1620</v>
      </c>
      <c r="F12" s="52" t="s">
        <v>1650</v>
      </c>
      <c r="G12" s="52" t="s">
        <v>1651</v>
      </c>
      <c r="H12" s="41" t="s">
        <v>1647</v>
      </c>
      <c r="I12" s="41" t="s">
        <v>68</v>
      </c>
      <c r="J12" s="41"/>
      <c r="K12" s="58">
        <v>46306</v>
      </c>
    </row>
    <row r="13" spans="1:11" ht="43.95" customHeight="1" x14ac:dyDescent="0.3">
      <c r="A13" s="52" t="s">
        <v>1652</v>
      </c>
      <c r="B13" s="52" t="s">
        <v>11</v>
      </c>
      <c r="C13" s="52" t="s">
        <v>1653</v>
      </c>
      <c r="D13" s="41" t="s">
        <v>1619</v>
      </c>
      <c r="E13" s="41" t="s">
        <v>1620</v>
      </c>
      <c r="F13" s="52" t="s">
        <v>1654</v>
      </c>
      <c r="G13" s="52" t="s">
        <v>1655</v>
      </c>
      <c r="H13" s="41" t="s">
        <v>1647</v>
      </c>
      <c r="I13" s="41" t="s">
        <v>68</v>
      </c>
      <c r="J13" s="41"/>
      <c r="K13" s="58">
        <v>46306</v>
      </c>
    </row>
    <row r="14" spans="1:11" ht="43.95" customHeight="1" x14ac:dyDescent="0.3">
      <c r="A14" s="52" t="s">
        <v>1656</v>
      </c>
      <c r="B14" s="52" t="s">
        <v>11</v>
      </c>
      <c r="C14" s="52" t="s">
        <v>1657</v>
      </c>
      <c r="D14" s="41" t="s">
        <v>1640</v>
      </c>
      <c r="E14" s="41" t="s">
        <v>1620</v>
      </c>
      <c r="F14" s="52" t="s">
        <v>1658</v>
      </c>
      <c r="G14" s="52" t="s">
        <v>1659</v>
      </c>
      <c r="H14" s="41" t="s">
        <v>1482</v>
      </c>
      <c r="I14" s="41" t="s">
        <v>68</v>
      </c>
      <c r="J14" s="41"/>
      <c r="K14" s="58">
        <v>46306</v>
      </c>
    </row>
    <row r="15" spans="1:11" ht="43.95" customHeight="1" x14ac:dyDescent="0.3">
      <c r="A15" s="52" t="s">
        <v>1660</v>
      </c>
      <c r="B15" s="52" t="s">
        <v>10</v>
      </c>
      <c r="C15" s="52" t="s">
        <v>1661</v>
      </c>
      <c r="D15" s="41" t="s">
        <v>1619</v>
      </c>
      <c r="E15" s="41" t="s">
        <v>1620</v>
      </c>
      <c r="F15" s="52" t="s">
        <v>1662</v>
      </c>
      <c r="G15" s="52" t="s">
        <v>1663</v>
      </c>
      <c r="H15" s="41" t="s">
        <v>1482</v>
      </c>
      <c r="I15" s="41" t="s">
        <v>68</v>
      </c>
      <c r="J15" s="41"/>
      <c r="K15" s="58">
        <v>46306</v>
      </c>
    </row>
    <row r="16" spans="1:11" ht="43.95" customHeight="1" x14ac:dyDescent="0.3">
      <c r="A16" s="52" t="s">
        <v>1664</v>
      </c>
      <c r="B16" s="52" t="s">
        <v>13</v>
      </c>
      <c r="C16" s="52" t="s">
        <v>1665</v>
      </c>
      <c r="D16" s="41" t="s">
        <v>1625</v>
      </c>
      <c r="E16" s="41" t="s">
        <v>1626</v>
      </c>
      <c r="F16" s="52" t="s">
        <v>1666</v>
      </c>
      <c r="G16" s="52" t="s">
        <v>1667</v>
      </c>
      <c r="H16" s="41" t="s">
        <v>1482</v>
      </c>
      <c r="I16" s="41" t="s">
        <v>68</v>
      </c>
      <c r="J16" s="41"/>
      <c r="K16" s="58">
        <v>46306</v>
      </c>
    </row>
    <row r="17" spans="1:11" ht="43.95" customHeight="1" x14ac:dyDescent="0.3">
      <c r="A17" s="52" t="s">
        <v>1668</v>
      </c>
      <c r="B17" s="52" t="s">
        <v>1236</v>
      </c>
      <c r="C17" s="52" t="s">
        <v>1669</v>
      </c>
      <c r="D17" s="41" t="s">
        <v>1640</v>
      </c>
      <c r="E17" s="41" t="s">
        <v>1620</v>
      </c>
      <c r="F17" s="52" t="s">
        <v>1670</v>
      </c>
      <c r="G17" s="52" t="s">
        <v>1671</v>
      </c>
      <c r="H17" s="41" t="s">
        <v>1482</v>
      </c>
      <c r="I17" s="41" t="s">
        <v>68</v>
      </c>
      <c r="J17" s="41"/>
      <c r="K17" s="58">
        <v>46306</v>
      </c>
    </row>
    <row r="18" spans="1:11" ht="43.95" customHeight="1" x14ac:dyDescent="0.3">
      <c r="A18" s="52" t="s">
        <v>1672</v>
      </c>
      <c r="B18" s="52" t="s">
        <v>1236</v>
      </c>
      <c r="C18" s="52" t="s">
        <v>1673</v>
      </c>
      <c r="D18" s="41" t="s">
        <v>1640</v>
      </c>
      <c r="E18" s="41" t="s">
        <v>1620</v>
      </c>
      <c r="F18" s="52" t="s">
        <v>1674</v>
      </c>
      <c r="G18" s="52" t="s">
        <v>1675</v>
      </c>
      <c r="H18" s="41" t="s">
        <v>1629</v>
      </c>
      <c r="I18" s="41" t="s">
        <v>68</v>
      </c>
      <c r="J18" s="41"/>
      <c r="K18" s="58">
        <v>46306</v>
      </c>
    </row>
    <row r="19" spans="1:11" ht="43.95" customHeight="1" x14ac:dyDescent="0.3">
      <c r="A19" s="52" t="s">
        <v>1676</v>
      </c>
      <c r="B19" s="52" t="s">
        <v>13</v>
      </c>
      <c r="C19" s="52" t="s">
        <v>1677</v>
      </c>
      <c r="D19" s="41" t="s">
        <v>1619</v>
      </c>
      <c r="E19" s="41" t="s">
        <v>1620</v>
      </c>
      <c r="F19" s="52" t="s">
        <v>1678</v>
      </c>
      <c r="G19" s="52" t="s">
        <v>1679</v>
      </c>
      <c r="H19" s="41" t="s">
        <v>1482</v>
      </c>
      <c r="I19" s="41" t="s">
        <v>68</v>
      </c>
      <c r="J19" s="41"/>
      <c r="K19" s="58">
        <v>46306</v>
      </c>
    </row>
    <row r="20" spans="1:11" ht="43.95" customHeight="1" x14ac:dyDescent="0.3">
      <c r="A20" s="52" t="s">
        <v>1680</v>
      </c>
      <c r="B20" s="52" t="s">
        <v>12</v>
      </c>
      <c r="C20" s="52" t="s">
        <v>1681</v>
      </c>
      <c r="D20" s="41" t="s">
        <v>1619</v>
      </c>
      <c r="E20" s="41" t="s">
        <v>1620</v>
      </c>
      <c r="F20" s="52" t="s">
        <v>1682</v>
      </c>
      <c r="G20" s="52" t="s">
        <v>1683</v>
      </c>
      <c r="H20" s="41" t="s">
        <v>1482</v>
      </c>
      <c r="I20" s="41" t="s">
        <v>68</v>
      </c>
      <c r="J20" s="41"/>
      <c r="K20" s="58">
        <v>46306</v>
      </c>
    </row>
    <row r="21" spans="1:11" ht="43.95" customHeight="1" x14ac:dyDescent="0.3">
      <c r="A21" s="52" t="s">
        <v>1684</v>
      </c>
      <c r="B21" s="52" t="s">
        <v>1236</v>
      </c>
      <c r="C21" s="52" t="s">
        <v>1685</v>
      </c>
      <c r="D21" s="41" t="s">
        <v>1640</v>
      </c>
      <c r="E21" s="41" t="s">
        <v>1620</v>
      </c>
      <c r="F21" s="52" t="s">
        <v>1686</v>
      </c>
      <c r="G21" s="52" t="s">
        <v>1687</v>
      </c>
      <c r="H21" s="41" t="s">
        <v>1647</v>
      </c>
      <c r="I21" s="41" t="s">
        <v>68</v>
      </c>
      <c r="J21" s="41"/>
      <c r="K21" s="58">
        <v>46306</v>
      </c>
    </row>
    <row r="22" spans="1:11" ht="43.95" customHeight="1" x14ac:dyDescent="0.3">
      <c r="A22" s="52" t="s">
        <v>1688</v>
      </c>
      <c r="B22" s="52" t="s">
        <v>1236</v>
      </c>
      <c r="C22" s="52" t="s">
        <v>1689</v>
      </c>
      <c r="D22" s="41" t="s">
        <v>1640</v>
      </c>
      <c r="E22" s="41" t="s">
        <v>1620</v>
      </c>
      <c r="F22" s="52" t="s">
        <v>1690</v>
      </c>
      <c r="G22" s="52" t="s">
        <v>1691</v>
      </c>
      <c r="H22" s="41" t="s">
        <v>1482</v>
      </c>
      <c r="I22" s="41" t="s">
        <v>68</v>
      </c>
      <c r="J22" s="41"/>
      <c r="K22" s="58">
        <v>46306</v>
      </c>
    </row>
    <row r="23" spans="1:11" ht="43.95" customHeight="1" x14ac:dyDescent="0.3">
      <c r="A23" s="52" t="s">
        <v>1692</v>
      </c>
      <c r="B23" s="52" t="s">
        <v>1236</v>
      </c>
      <c r="C23" s="52" t="s">
        <v>1693</v>
      </c>
      <c r="D23" s="41" t="s">
        <v>1619</v>
      </c>
      <c r="E23" s="41" t="s">
        <v>1620</v>
      </c>
      <c r="F23" s="52" t="s">
        <v>1694</v>
      </c>
      <c r="G23" s="52" t="s">
        <v>1695</v>
      </c>
      <c r="H23" s="41" t="s">
        <v>1482</v>
      </c>
      <c r="I23" s="41" t="s">
        <v>68</v>
      </c>
      <c r="J23" s="41"/>
      <c r="K23" s="58">
        <v>46306</v>
      </c>
    </row>
    <row r="24" spans="1:11" x14ac:dyDescent="0.3">
      <c r="A24" s="52"/>
      <c r="B24" s="52"/>
      <c r="C24" s="52"/>
      <c r="D24" s="52"/>
      <c r="E24" s="52"/>
      <c r="F24" s="52"/>
      <c r="G24" s="52"/>
      <c r="H24" s="52"/>
      <c r="I24" s="52"/>
      <c r="J24" s="52"/>
      <c r="K24" s="52"/>
    </row>
    <row r="25" spans="1:11" x14ac:dyDescent="0.3">
      <c r="A25" s="52"/>
      <c r="B25" s="52"/>
      <c r="C25" s="52"/>
      <c r="D25" s="52"/>
      <c r="E25" s="52"/>
      <c r="F25" s="52"/>
      <c r="G25" s="52"/>
      <c r="H25" s="52"/>
      <c r="I25" s="52"/>
      <c r="J25" s="52"/>
      <c r="K25" s="52"/>
    </row>
    <row r="26" spans="1:11" x14ac:dyDescent="0.3">
      <c r="A26" s="52"/>
      <c r="B26" s="52"/>
      <c r="C26" s="52"/>
      <c r="D26" s="52"/>
      <c r="E26" s="52"/>
      <c r="F26" s="52"/>
      <c r="G26" s="52"/>
      <c r="H26" s="52"/>
      <c r="I26" s="52"/>
      <c r="J26" s="52"/>
      <c r="K26" s="52"/>
    </row>
    <row r="27" spans="1:11" x14ac:dyDescent="0.3">
      <c r="A27" s="52"/>
      <c r="B27" s="52"/>
      <c r="C27" s="52"/>
      <c r="D27" s="52"/>
      <c r="E27" s="52"/>
      <c r="F27" s="52"/>
      <c r="G27" s="52"/>
      <c r="H27" s="52"/>
      <c r="I27" s="52"/>
      <c r="J27" s="52"/>
      <c r="K27" s="52"/>
    </row>
    <row r="28" spans="1:11" x14ac:dyDescent="0.3">
      <c r="A28" s="52"/>
      <c r="B28" s="52"/>
      <c r="C28" s="52"/>
      <c r="D28" s="52"/>
      <c r="E28" s="52"/>
      <c r="F28" s="52"/>
      <c r="G28" s="52"/>
      <c r="H28" s="52"/>
      <c r="I28" s="52"/>
      <c r="J28" s="52"/>
      <c r="K28" s="52"/>
    </row>
    <row r="29" spans="1:11" x14ac:dyDescent="0.3">
      <c r="A29" s="52"/>
      <c r="B29" s="52"/>
      <c r="C29" s="52"/>
      <c r="D29" s="52"/>
      <c r="E29" s="52"/>
      <c r="F29" s="52"/>
      <c r="G29" s="52"/>
      <c r="H29" s="52"/>
      <c r="I29" s="52"/>
      <c r="J29" s="52"/>
      <c r="K29" s="52"/>
    </row>
    <row r="30" spans="1:11" x14ac:dyDescent="0.3">
      <c r="A30" s="52"/>
      <c r="B30" s="52"/>
      <c r="C30" s="52"/>
      <c r="D30" s="52"/>
      <c r="E30" s="52"/>
      <c r="F30" s="52"/>
      <c r="G30" s="52"/>
      <c r="H30" s="52"/>
      <c r="I30" s="52"/>
      <c r="J30" s="52"/>
      <c r="K30" s="52"/>
    </row>
    <row r="31" spans="1:11" x14ac:dyDescent="0.3">
      <c r="A31" s="52"/>
      <c r="B31" s="52"/>
      <c r="C31" s="52"/>
      <c r="D31" s="52"/>
      <c r="E31" s="52"/>
      <c r="F31" s="52"/>
      <c r="G31" s="52"/>
      <c r="H31" s="52"/>
      <c r="I31" s="52"/>
      <c r="J31" s="52"/>
      <c r="K31" s="52"/>
    </row>
    <row r="32" spans="1:11" x14ac:dyDescent="0.3">
      <c r="A32" s="52"/>
      <c r="B32" s="52"/>
      <c r="C32" s="52"/>
      <c r="D32" s="52"/>
      <c r="E32" s="52"/>
      <c r="F32" s="52"/>
      <c r="G32" s="52"/>
      <c r="H32" s="52"/>
      <c r="I32" s="52"/>
      <c r="J32" s="52"/>
      <c r="K32" s="52"/>
    </row>
    <row r="33" spans="1:11" x14ac:dyDescent="0.3">
      <c r="A33" s="52"/>
      <c r="B33" s="52"/>
      <c r="C33" s="52"/>
      <c r="D33" s="52"/>
      <c r="E33" s="52"/>
      <c r="F33" s="52"/>
      <c r="G33" s="52"/>
      <c r="H33" s="52"/>
      <c r="I33" s="52"/>
      <c r="J33" s="52"/>
      <c r="K33" s="52"/>
    </row>
  </sheetData>
  <mergeCells count="2">
    <mergeCell ref="A2:K2"/>
    <mergeCell ref="A1:K1"/>
  </mergeCells>
  <conditionalFormatting sqref="D6:D33">
    <cfRule type="expression" dxfId="10" priority="1">
      <formula>$D6="Critical"</formula>
    </cfRule>
    <cfRule type="expression" dxfId="9" priority="2">
      <formula>$D6="High"</formula>
    </cfRule>
    <cfRule type="expression" dxfId="8" priority="3">
      <formula>$D6="Medium"</formula>
    </cfRule>
    <cfRule type="expression" dxfId="7" priority="4">
      <formula>$D6="Low"</formula>
    </cfRule>
  </conditionalFormatting>
  <conditionalFormatting sqref="I6:I33">
    <cfRule type="expression" dxfId="6" priority="5">
      <formula>$I6="Open"</formula>
    </cfRule>
    <cfRule type="expression" dxfId="5" priority="6">
      <formula>$I6="Monitoring"</formula>
    </cfRule>
    <cfRule type="expression" dxfId="4" priority="7">
      <formula>$I6="Mitigated"</formula>
    </cfRule>
    <cfRule type="expression" dxfId="3" priority="8">
      <formula>$I6="Closed"</formula>
    </cfRule>
    <cfRule type="expression" dxfId="2" priority="9">
      <formula>$I6="Realized"</formula>
    </cfRule>
  </conditionalFormatting>
  <hyperlinks>
    <hyperlink ref="A3" location="'Executive Dashboard'!A1" display="← Dashboard" xr:uid="{00000000-0004-0000-0A00-000000000000}"/>
  </hyperlinks>
  <pageMargins left="0.75" right="0.75" top="1" bottom="1" header="0.5" footer="0.5"/>
  <pageSetup fitToHeight="0" orientation="landscape"/>
  <tableParts count="1">
    <tablePart r:id="rId1"/>
  </tableParts>
  <extLst>
    <ext xmlns:x14="http://schemas.microsoft.com/office/spreadsheetml/2009/9/main" uri="{CCE6A557-97BC-4b89-ADB6-D9C93CAAB3DF}">
      <x14:dataValidations xmlns:xm="http://schemas.microsoft.com/office/excel/2006/main" count="7">
        <x14:dataValidation type="list" allowBlank="1" showErrorMessage="1" errorTitle="Invalid value" error="Please choose a value from the dropdown list." xr:uid="{00000000-0002-0000-0A00-000000000000}">
          <x14:formula1>
            <xm:f>Lists!$I$2:$I$5</xm:f>
          </x14:formula1>
          <xm:sqref>D6:D33</xm:sqref>
        </x14:dataValidation>
        <x14:dataValidation type="list" allowBlank="1" showErrorMessage="1" errorTitle="Invalid value" error="Please choose a value from the dropdown list." xr:uid="{00000000-0002-0000-0A00-000001000000}">
          <x14:formula1>
            <xm:f>Lists!$J$2:$J$6</xm:f>
          </x14:formula1>
          <xm:sqref>I6:I33</xm:sqref>
        </x14:dataValidation>
        <x14:dataValidation type="list" allowBlank="1" showErrorMessage="1" errorTitle="Invalid value" error="Please choose a value from the dropdown list." xr:uid="{00000000-0002-0000-0A00-000002000000}">
          <x14:formula1>
            <xm:f>Lists!$K$2:$K$5</xm:f>
          </x14:formula1>
          <xm:sqref>E6:E33</xm:sqref>
        </x14:dataValidation>
        <x14:dataValidation type="list" errorStyle="information" allowBlank="1" showErrorMessage="1" errorTitle="Custom value" error="This value is not in the list — click OK to keep it." xr:uid="{00000000-0002-0000-0A00-000003000000}">
          <x14:formula1>
            <xm:f>Lists!$U$2:$U$8</xm:f>
          </x14:formula1>
          <xm:sqref>B6:B33</xm:sqref>
        </x14:dataValidation>
        <x14:dataValidation type="list" errorStyle="information" allowBlank="1" showErrorMessage="1" errorTitle="Custom value" error="This value is not in the list — click OK to keep it." xr:uid="{00000000-0002-0000-0A00-000004000000}">
          <x14:formula1>
            <xm:f>Lists!$T$2:$T$6</xm:f>
          </x14:formula1>
          <xm:sqref>H6:H33</xm:sqref>
        </x14:dataValidation>
        <x14:dataValidation type="list" errorStyle="information" allowBlank="1" showErrorMessage="1" errorTitle="Custom value" error="This value is not in the list — click OK to keep it." xr:uid="{00000000-0002-0000-0A00-000005000000}">
          <x14:formula1>
            <xm:f>Lists!$Y$2:$Y$6</xm:f>
          </x14:formula1>
          <xm:sqref>J6:J33</xm:sqref>
        </x14:dataValidation>
        <x14:dataValidation type="list" errorStyle="information" allowBlank="1" showErrorMessage="1" errorTitle="Custom value" error="This value is not in the list — click OK to keep it." xr:uid="{00000000-0002-0000-0A00-000006000000}">
          <x14:formula1>
            <xm:f>Lists!$S$2:$S$62</xm:f>
          </x14:formula1>
          <xm:sqref>K6:K33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64748B"/>
    <pageSetUpPr fitToPage="1"/>
  </sheetPr>
  <dimension ref="A1:G72"/>
  <sheetViews>
    <sheetView showGridLines="0" zoomScale="90" workbookViewId="0">
      <pane ySplit="5" topLeftCell="A6" activePane="bottomLeft" state="frozen"/>
      <selection pane="bottomLeft"/>
    </sheetView>
  </sheetViews>
  <sheetFormatPr defaultRowHeight="14.4" x14ac:dyDescent="0.3"/>
  <cols>
    <col min="1" max="1" width="8" customWidth="1"/>
    <col min="2" max="2" width="9" customWidth="1"/>
    <col min="3" max="3" width="52" customWidth="1"/>
    <col min="4" max="4" width="34" customWidth="1"/>
    <col min="5" max="6" width="8" customWidth="1"/>
    <col min="7" max="7" width="16" customWidth="1"/>
  </cols>
  <sheetData>
    <row r="1" spans="1:7" ht="34.049999999999997" customHeight="1" x14ac:dyDescent="0.3">
      <c r="A1" s="111" t="s">
        <v>1696</v>
      </c>
      <c r="B1" s="112"/>
      <c r="C1" s="112"/>
      <c r="D1" s="112"/>
      <c r="E1" s="112"/>
      <c r="F1" s="112"/>
      <c r="G1" s="112"/>
    </row>
    <row r="2" spans="1:7" ht="19.95" customHeight="1" x14ac:dyDescent="0.3">
      <c r="A2" s="79" t="s">
        <v>1697</v>
      </c>
      <c r="B2" s="80"/>
      <c r="C2" s="80"/>
      <c r="D2" s="80"/>
      <c r="E2" s="80"/>
      <c r="F2" s="80"/>
      <c r="G2" s="80"/>
    </row>
    <row r="3" spans="1:7" x14ac:dyDescent="0.3">
      <c r="A3" s="33" t="s">
        <v>109</v>
      </c>
    </row>
    <row r="5" spans="1:7" x14ac:dyDescent="0.3">
      <c r="A5" s="12" t="s">
        <v>1698</v>
      </c>
      <c r="B5" s="12" t="s">
        <v>43</v>
      </c>
      <c r="C5" s="12" t="s">
        <v>1699</v>
      </c>
      <c r="D5" s="12" t="s">
        <v>1700</v>
      </c>
      <c r="E5" s="12" t="s">
        <v>1701</v>
      </c>
      <c r="F5" s="12" t="s">
        <v>1702</v>
      </c>
      <c r="G5" s="12" t="s">
        <v>1703</v>
      </c>
    </row>
    <row r="6" spans="1:7" x14ac:dyDescent="0.3">
      <c r="A6" s="7" t="s">
        <v>1704</v>
      </c>
      <c r="B6" s="7" t="s">
        <v>142</v>
      </c>
      <c r="C6" s="52" t="s">
        <v>1705</v>
      </c>
      <c r="D6" s="52" t="s">
        <v>153</v>
      </c>
      <c r="E6" s="59">
        <f>SUMPRODUCT(('Master Tracker'!$A$6:$A$400&lt;&gt;"")*ISNUMBER(SEARCH('Master Tracker'!$A$6:$A$400,D6)))</f>
        <v>1</v>
      </c>
      <c r="F6" s="59">
        <f>SUMPRODUCT(('Master Tracker'!$A$6:$A$400&lt;&gt;"")*ISNUMBER(SEARCH('Master Tracker'!$A$6:$A$400,D6))*('Master Tracker'!$G$6:$G$400="Completed"))</f>
        <v>1</v>
      </c>
      <c r="G6" s="59" t="str">
        <f t="shared" ref="G6:G37" si="0">IF(E6=0,"⚠ UNMAPPED",IF(F6=E6,"✓ Delivered",F6&amp;" / "&amp;E6&amp;" done"))</f>
        <v>✓ Delivered</v>
      </c>
    </row>
    <row r="7" spans="1:7" x14ac:dyDescent="0.3">
      <c r="A7" s="7" t="s">
        <v>1706</v>
      </c>
      <c r="B7" s="7" t="s">
        <v>142</v>
      </c>
      <c r="C7" s="52" t="s">
        <v>1707</v>
      </c>
      <c r="D7" s="52" t="s">
        <v>161</v>
      </c>
      <c r="E7" s="59">
        <f>SUMPRODUCT(('Master Tracker'!$A$6:$A$400&lt;&gt;"")*ISNUMBER(SEARCH('Master Tracker'!$A$6:$A$400,D7)))</f>
        <v>1</v>
      </c>
      <c r="F7" s="59">
        <f>SUMPRODUCT(('Master Tracker'!$A$6:$A$400&lt;&gt;"")*ISNUMBER(SEARCH('Master Tracker'!$A$6:$A$400,D7))*('Master Tracker'!$G$6:$G$400="Completed"))</f>
        <v>0</v>
      </c>
      <c r="G7" s="59" t="str">
        <f t="shared" si="0"/>
        <v>0 / 1 done</v>
      </c>
    </row>
    <row r="8" spans="1:7" x14ac:dyDescent="0.3">
      <c r="A8" s="7" t="s">
        <v>1708</v>
      </c>
      <c r="B8" s="7" t="s">
        <v>142</v>
      </c>
      <c r="C8" s="52" t="s">
        <v>1709</v>
      </c>
      <c r="D8" s="52" t="s">
        <v>1710</v>
      </c>
      <c r="E8" s="59">
        <f>SUMPRODUCT(('Master Tracker'!$A$6:$A$400&lt;&gt;"")*ISNUMBER(SEARCH('Master Tracker'!$A$6:$A$400,D8)))</f>
        <v>2</v>
      </c>
      <c r="F8" s="59">
        <f>SUMPRODUCT(('Master Tracker'!$A$6:$A$400&lt;&gt;"")*ISNUMBER(SEARCH('Master Tracker'!$A$6:$A$400,D8))*('Master Tracker'!$G$6:$G$400="Completed"))</f>
        <v>0</v>
      </c>
      <c r="G8" s="59" t="str">
        <f t="shared" si="0"/>
        <v>0 / 2 done</v>
      </c>
    </row>
    <row r="9" spans="1:7" x14ac:dyDescent="0.3">
      <c r="A9" s="7" t="s">
        <v>1711</v>
      </c>
      <c r="B9" s="7" t="s">
        <v>142</v>
      </c>
      <c r="C9" s="52" t="s">
        <v>1712</v>
      </c>
      <c r="D9" s="52" t="s">
        <v>1713</v>
      </c>
      <c r="E9" s="59">
        <f>SUMPRODUCT(('Master Tracker'!$A$6:$A$400&lt;&gt;"")*ISNUMBER(SEARCH('Master Tracker'!$A$6:$A$400,D9)))</f>
        <v>3</v>
      </c>
      <c r="F9" s="59">
        <f>SUMPRODUCT(('Master Tracker'!$A$6:$A$400&lt;&gt;"")*ISNUMBER(SEARCH('Master Tracker'!$A$6:$A$400,D9))*('Master Tracker'!$G$6:$G$400="Completed"))</f>
        <v>0</v>
      </c>
      <c r="G9" s="59" t="str">
        <f t="shared" si="0"/>
        <v>0 / 3 done</v>
      </c>
    </row>
    <row r="10" spans="1:7" x14ac:dyDescent="0.3">
      <c r="A10" s="7" t="s">
        <v>1714</v>
      </c>
      <c r="B10" s="7" t="s">
        <v>142</v>
      </c>
      <c r="C10" s="52" t="s">
        <v>1715</v>
      </c>
      <c r="D10" s="52" t="s">
        <v>1716</v>
      </c>
      <c r="E10" s="59">
        <f>SUMPRODUCT(('Master Tracker'!$A$6:$A$400&lt;&gt;"")*ISNUMBER(SEARCH('Master Tracker'!$A$6:$A$400,D10)))</f>
        <v>2</v>
      </c>
      <c r="F10" s="59">
        <f>SUMPRODUCT(('Master Tracker'!$A$6:$A$400&lt;&gt;"")*ISNUMBER(SEARCH('Master Tracker'!$A$6:$A$400,D10))*('Master Tracker'!$G$6:$G$400="Completed"))</f>
        <v>0</v>
      </c>
      <c r="G10" s="59" t="str">
        <f t="shared" si="0"/>
        <v>0 / 2 done</v>
      </c>
    </row>
    <row r="11" spans="1:7" x14ac:dyDescent="0.3">
      <c r="A11" s="7" t="s">
        <v>1717</v>
      </c>
      <c r="B11" s="7" t="s">
        <v>142</v>
      </c>
      <c r="C11" s="52" t="s">
        <v>1718</v>
      </c>
      <c r="D11" s="52" t="s">
        <v>1719</v>
      </c>
      <c r="E11" s="59">
        <f>SUMPRODUCT(('Master Tracker'!$A$6:$A$400&lt;&gt;"")*ISNUMBER(SEARCH('Master Tracker'!$A$6:$A$400,D11)))</f>
        <v>3</v>
      </c>
      <c r="F11" s="59">
        <f>SUMPRODUCT(('Master Tracker'!$A$6:$A$400&lt;&gt;"")*ISNUMBER(SEARCH('Master Tracker'!$A$6:$A$400,D11))*('Master Tracker'!$G$6:$G$400="Completed"))</f>
        <v>0</v>
      </c>
      <c r="G11" s="59" t="str">
        <f t="shared" si="0"/>
        <v>0 / 3 done</v>
      </c>
    </row>
    <row r="12" spans="1:7" x14ac:dyDescent="0.3">
      <c r="A12" s="7" t="s">
        <v>1720</v>
      </c>
      <c r="B12" s="7" t="s">
        <v>142</v>
      </c>
      <c r="C12" s="52" t="s">
        <v>1721</v>
      </c>
      <c r="D12" s="52" t="s">
        <v>1722</v>
      </c>
      <c r="E12" s="59">
        <f>SUMPRODUCT(('Master Tracker'!$A$6:$A$400&lt;&gt;"")*ISNUMBER(SEARCH('Master Tracker'!$A$6:$A$400,D12)))</f>
        <v>2</v>
      </c>
      <c r="F12" s="59">
        <f>SUMPRODUCT(('Master Tracker'!$A$6:$A$400&lt;&gt;"")*ISNUMBER(SEARCH('Master Tracker'!$A$6:$A$400,D12))*('Master Tracker'!$G$6:$G$400="Completed"))</f>
        <v>0</v>
      </c>
      <c r="G12" s="59" t="str">
        <f t="shared" si="0"/>
        <v>0 / 2 done</v>
      </c>
    </row>
    <row r="13" spans="1:7" x14ac:dyDescent="0.3">
      <c r="A13" s="7" t="s">
        <v>1723</v>
      </c>
      <c r="B13" s="7" t="s">
        <v>269</v>
      </c>
      <c r="C13" s="52" t="s">
        <v>325</v>
      </c>
      <c r="D13" s="52" t="s">
        <v>323</v>
      </c>
      <c r="E13" s="59">
        <f>SUMPRODUCT(('Master Tracker'!$A$6:$A$400&lt;&gt;"")*ISNUMBER(SEARCH('Master Tracker'!$A$6:$A$400,D13)))</f>
        <v>1</v>
      </c>
      <c r="F13" s="59">
        <f>SUMPRODUCT(('Master Tracker'!$A$6:$A$400&lt;&gt;"")*ISNUMBER(SEARCH('Master Tracker'!$A$6:$A$400,D13))*('Master Tracker'!$G$6:$G$400="Completed"))</f>
        <v>0</v>
      </c>
      <c r="G13" s="59" t="str">
        <f t="shared" si="0"/>
        <v>0 / 1 done</v>
      </c>
    </row>
    <row r="14" spans="1:7" x14ac:dyDescent="0.3">
      <c r="A14" s="7" t="s">
        <v>1724</v>
      </c>
      <c r="B14" s="7" t="s">
        <v>269</v>
      </c>
      <c r="C14" s="52" t="s">
        <v>331</v>
      </c>
      <c r="D14" s="52" t="s">
        <v>330</v>
      </c>
      <c r="E14" s="59">
        <f>SUMPRODUCT(('Master Tracker'!$A$6:$A$400&lt;&gt;"")*ISNUMBER(SEARCH('Master Tracker'!$A$6:$A$400,D14)))</f>
        <v>1</v>
      </c>
      <c r="F14" s="59">
        <f>SUMPRODUCT(('Master Tracker'!$A$6:$A$400&lt;&gt;"")*ISNUMBER(SEARCH('Master Tracker'!$A$6:$A$400,D14))*('Master Tracker'!$G$6:$G$400="Completed"))</f>
        <v>0</v>
      </c>
      <c r="G14" s="59" t="str">
        <f t="shared" si="0"/>
        <v>0 / 1 done</v>
      </c>
    </row>
    <row r="15" spans="1:7" x14ac:dyDescent="0.3">
      <c r="A15" s="7" t="s">
        <v>1725</v>
      </c>
      <c r="B15" s="7" t="s">
        <v>269</v>
      </c>
      <c r="C15" s="52" t="s">
        <v>337</v>
      </c>
      <c r="D15" s="52" t="s">
        <v>336</v>
      </c>
      <c r="E15" s="59">
        <f>SUMPRODUCT(('Master Tracker'!$A$6:$A$400&lt;&gt;"")*ISNUMBER(SEARCH('Master Tracker'!$A$6:$A$400,D15)))</f>
        <v>1</v>
      </c>
      <c r="F15" s="59">
        <f>SUMPRODUCT(('Master Tracker'!$A$6:$A$400&lt;&gt;"")*ISNUMBER(SEARCH('Master Tracker'!$A$6:$A$400,D15))*('Master Tracker'!$G$6:$G$400="Completed"))</f>
        <v>0</v>
      </c>
      <c r="G15" s="59" t="str">
        <f t="shared" si="0"/>
        <v>0 / 1 done</v>
      </c>
    </row>
    <row r="16" spans="1:7" x14ac:dyDescent="0.3">
      <c r="A16" s="7" t="s">
        <v>1726</v>
      </c>
      <c r="B16" s="7" t="s">
        <v>269</v>
      </c>
      <c r="C16" s="52" t="s">
        <v>1727</v>
      </c>
      <c r="D16" s="52" t="s">
        <v>1728</v>
      </c>
      <c r="E16" s="59">
        <f>SUMPRODUCT(('Master Tracker'!$A$6:$A$400&lt;&gt;"")*ISNUMBER(SEARCH('Master Tracker'!$A$6:$A$400,D16)))</f>
        <v>2</v>
      </c>
      <c r="F16" s="59">
        <f>SUMPRODUCT(('Master Tracker'!$A$6:$A$400&lt;&gt;"")*ISNUMBER(SEARCH('Master Tracker'!$A$6:$A$400,D16))*('Master Tracker'!$G$6:$G$400="Completed"))</f>
        <v>0</v>
      </c>
      <c r="G16" s="59" t="str">
        <f t="shared" si="0"/>
        <v>0 / 2 done</v>
      </c>
    </row>
    <row r="17" spans="1:7" x14ac:dyDescent="0.3">
      <c r="A17" s="7" t="s">
        <v>1729</v>
      </c>
      <c r="B17" s="7" t="s">
        <v>269</v>
      </c>
      <c r="C17" s="52" t="s">
        <v>1730</v>
      </c>
      <c r="D17" s="52" t="s">
        <v>1731</v>
      </c>
      <c r="E17" s="59">
        <f>SUMPRODUCT(('Master Tracker'!$A$6:$A$400&lt;&gt;"")*ISNUMBER(SEARCH('Master Tracker'!$A$6:$A$400,D17)))</f>
        <v>2</v>
      </c>
      <c r="F17" s="59">
        <f>SUMPRODUCT(('Master Tracker'!$A$6:$A$400&lt;&gt;"")*ISNUMBER(SEARCH('Master Tracker'!$A$6:$A$400,D17))*('Master Tracker'!$G$6:$G$400="Completed"))</f>
        <v>0</v>
      </c>
      <c r="G17" s="59" t="str">
        <f t="shared" si="0"/>
        <v>0 / 2 done</v>
      </c>
    </row>
    <row r="18" spans="1:7" ht="22.8" x14ac:dyDescent="0.3">
      <c r="A18" s="7" t="s">
        <v>1732</v>
      </c>
      <c r="B18" s="7" t="s">
        <v>269</v>
      </c>
      <c r="C18" s="52" t="s">
        <v>1733</v>
      </c>
      <c r="D18" s="52" t="s">
        <v>1734</v>
      </c>
      <c r="E18" s="59">
        <f>SUMPRODUCT(('Master Tracker'!$A$6:$A$400&lt;&gt;"")*ISNUMBER(SEARCH('Master Tracker'!$A$6:$A$400,D18)))</f>
        <v>6</v>
      </c>
      <c r="F18" s="59">
        <f>SUMPRODUCT(('Master Tracker'!$A$6:$A$400&lt;&gt;"")*ISNUMBER(SEARCH('Master Tracker'!$A$6:$A$400,D18))*('Master Tracker'!$G$6:$G$400="Completed"))</f>
        <v>0</v>
      </c>
      <c r="G18" s="59" t="str">
        <f t="shared" si="0"/>
        <v>0 / 6 done</v>
      </c>
    </row>
    <row r="19" spans="1:7" x14ac:dyDescent="0.3">
      <c r="A19" s="7" t="s">
        <v>1735</v>
      </c>
      <c r="B19" s="7" t="s">
        <v>269</v>
      </c>
      <c r="C19" s="52" t="s">
        <v>1231</v>
      </c>
      <c r="D19" s="52" t="s">
        <v>387</v>
      </c>
      <c r="E19" s="59">
        <f>SUMPRODUCT(('Master Tracker'!$A$6:$A$400&lt;&gt;"")*ISNUMBER(SEARCH('Master Tracker'!$A$6:$A$400,D19)))</f>
        <v>1</v>
      </c>
      <c r="F19" s="59">
        <f>SUMPRODUCT(('Master Tracker'!$A$6:$A$400&lt;&gt;"")*ISNUMBER(SEARCH('Master Tracker'!$A$6:$A$400,D19))*('Master Tracker'!$G$6:$G$400="Completed"))</f>
        <v>0</v>
      </c>
      <c r="G19" s="59" t="str">
        <f t="shared" si="0"/>
        <v>0 / 1 done</v>
      </c>
    </row>
    <row r="20" spans="1:7" x14ac:dyDescent="0.3">
      <c r="A20" s="7" t="s">
        <v>1736</v>
      </c>
      <c r="B20" s="7" t="s">
        <v>269</v>
      </c>
      <c r="C20" s="52" t="s">
        <v>1737</v>
      </c>
      <c r="D20" s="52" t="s">
        <v>1738</v>
      </c>
      <c r="E20" s="59">
        <f>SUMPRODUCT(('Master Tracker'!$A$6:$A$400&lt;&gt;"")*ISNUMBER(SEARCH('Master Tracker'!$A$6:$A$400,D20)))</f>
        <v>2</v>
      </c>
      <c r="F20" s="59">
        <f>SUMPRODUCT(('Master Tracker'!$A$6:$A$400&lt;&gt;"")*ISNUMBER(SEARCH('Master Tracker'!$A$6:$A$400,D20))*('Master Tracker'!$G$6:$G$400="Completed"))</f>
        <v>0</v>
      </c>
      <c r="G20" s="59" t="str">
        <f t="shared" si="0"/>
        <v>0 / 2 done</v>
      </c>
    </row>
    <row r="21" spans="1:7" x14ac:dyDescent="0.3">
      <c r="A21" s="7" t="s">
        <v>1739</v>
      </c>
      <c r="B21" s="7" t="s">
        <v>269</v>
      </c>
      <c r="C21" s="52" t="s">
        <v>1740</v>
      </c>
      <c r="D21" s="52" t="s">
        <v>284</v>
      </c>
      <c r="E21" s="59">
        <f>SUMPRODUCT(('Master Tracker'!$A$6:$A$400&lt;&gt;"")*ISNUMBER(SEARCH('Master Tracker'!$A$6:$A$400,D21)))</f>
        <v>1</v>
      </c>
      <c r="F21" s="59">
        <f>SUMPRODUCT(('Master Tracker'!$A$6:$A$400&lt;&gt;"")*ISNUMBER(SEARCH('Master Tracker'!$A$6:$A$400,D21))*('Master Tracker'!$G$6:$G$400="Completed"))</f>
        <v>0</v>
      </c>
      <c r="G21" s="59" t="str">
        <f t="shared" si="0"/>
        <v>0 / 1 done</v>
      </c>
    </row>
    <row r="22" spans="1:7" x14ac:dyDescent="0.3">
      <c r="A22" s="7" t="s">
        <v>1741</v>
      </c>
      <c r="B22" s="7" t="s">
        <v>269</v>
      </c>
      <c r="C22" s="52" t="s">
        <v>1742</v>
      </c>
      <c r="D22" s="52" t="s">
        <v>1743</v>
      </c>
      <c r="E22" s="59">
        <f>SUMPRODUCT(('Master Tracker'!$A$6:$A$400&lt;&gt;"")*ISNUMBER(SEARCH('Master Tracker'!$A$6:$A$400,D22)))</f>
        <v>2</v>
      </c>
      <c r="F22" s="59">
        <f>SUMPRODUCT(('Master Tracker'!$A$6:$A$400&lt;&gt;"")*ISNUMBER(SEARCH('Master Tracker'!$A$6:$A$400,D22))*('Master Tracker'!$G$6:$G$400="Completed"))</f>
        <v>0</v>
      </c>
      <c r="G22" s="59" t="str">
        <f t="shared" si="0"/>
        <v>0 / 2 done</v>
      </c>
    </row>
    <row r="23" spans="1:7" x14ac:dyDescent="0.3">
      <c r="A23" s="7" t="s">
        <v>1744</v>
      </c>
      <c r="B23" s="7" t="s">
        <v>269</v>
      </c>
      <c r="C23" s="52" t="s">
        <v>1745</v>
      </c>
      <c r="D23" s="52" t="s">
        <v>1746</v>
      </c>
      <c r="E23" s="59">
        <f>SUMPRODUCT(('Master Tracker'!$A$6:$A$400&lt;&gt;"")*ISNUMBER(SEARCH('Master Tracker'!$A$6:$A$400,D23)))</f>
        <v>3</v>
      </c>
      <c r="F23" s="59">
        <f>SUMPRODUCT(('Master Tracker'!$A$6:$A$400&lt;&gt;"")*ISNUMBER(SEARCH('Master Tracker'!$A$6:$A$400,D23))*('Master Tracker'!$G$6:$G$400="Completed"))</f>
        <v>0</v>
      </c>
      <c r="G23" s="59" t="str">
        <f t="shared" si="0"/>
        <v>0 / 3 done</v>
      </c>
    </row>
    <row r="24" spans="1:7" x14ac:dyDescent="0.3">
      <c r="A24" s="7" t="s">
        <v>1747</v>
      </c>
      <c r="B24" s="7" t="s">
        <v>410</v>
      </c>
      <c r="C24" s="52" t="s">
        <v>412</v>
      </c>
      <c r="D24" s="52" t="s">
        <v>1748</v>
      </c>
      <c r="E24" s="59">
        <f>SUMPRODUCT(('Master Tracker'!$A$6:$A$400&lt;&gt;"")*ISNUMBER(SEARCH('Master Tracker'!$A$6:$A$400,D24)))</f>
        <v>2</v>
      </c>
      <c r="F24" s="59">
        <f>SUMPRODUCT(('Master Tracker'!$A$6:$A$400&lt;&gt;"")*ISNUMBER(SEARCH('Master Tracker'!$A$6:$A$400,D24))*('Master Tracker'!$G$6:$G$400="Completed"))</f>
        <v>0</v>
      </c>
      <c r="G24" s="59" t="str">
        <f t="shared" si="0"/>
        <v>0 / 2 done</v>
      </c>
    </row>
    <row r="25" spans="1:7" x14ac:dyDescent="0.3">
      <c r="A25" s="7" t="s">
        <v>1749</v>
      </c>
      <c r="B25" s="7" t="s">
        <v>410</v>
      </c>
      <c r="C25" s="52" t="s">
        <v>1750</v>
      </c>
      <c r="D25" s="52" t="s">
        <v>1751</v>
      </c>
      <c r="E25" s="59">
        <f>SUMPRODUCT(('Master Tracker'!$A$6:$A$400&lt;&gt;"")*ISNUMBER(SEARCH('Master Tracker'!$A$6:$A$400,D25)))</f>
        <v>2</v>
      </c>
      <c r="F25" s="59">
        <f>SUMPRODUCT(('Master Tracker'!$A$6:$A$400&lt;&gt;"")*ISNUMBER(SEARCH('Master Tracker'!$A$6:$A$400,D25))*('Master Tracker'!$G$6:$G$400="Completed"))</f>
        <v>0</v>
      </c>
      <c r="G25" s="59" t="str">
        <f t="shared" si="0"/>
        <v>0 / 2 done</v>
      </c>
    </row>
    <row r="26" spans="1:7" x14ac:dyDescent="0.3">
      <c r="A26" s="7" t="s">
        <v>1752</v>
      </c>
      <c r="B26" s="7" t="s">
        <v>410</v>
      </c>
      <c r="C26" s="52" t="s">
        <v>419</v>
      </c>
      <c r="D26" s="52" t="s">
        <v>417</v>
      </c>
      <c r="E26" s="59">
        <f>SUMPRODUCT(('Master Tracker'!$A$6:$A$400&lt;&gt;"")*ISNUMBER(SEARCH('Master Tracker'!$A$6:$A$400,D26)))</f>
        <v>1</v>
      </c>
      <c r="F26" s="59">
        <f>SUMPRODUCT(('Master Tracker'!$A$6:$A$400&lt;&gt;"")*ISNUMBER(SEARCH('Master Tracker'!$A$6:$A$400,D26))*('Master Tracker'!$G$6:$G$400="Completed"))</f>
        <v>0</v>
      </c>
      <c r="G26" s="59" t="str">
        <f t="shared" si="0"/>
        <v>0 / 1 done</v>
      </c>
    </row>
    <row r="27" spans="1:7" x14ac:dyDescent="0.3">
      <c r="A27" s="7" t="s">
        <v>1753</v>
      </c>
      <c r="B27" s="7" t="s">
        <v>410</v>
      </c>
      <c r="C27" s="52" t="s">
        <v>1754</v>
      </c>
      <c r="D27" s="52" t="s">
        <v>460</v>
      </c>
      <c r="E27" s="59">
        <f>SUMPRODUCT(('Master Tracker'!$A$6:$A$400&lt;&gt;"")*ISNUMBER(SEARCH('Master Tracker'!$A$6:$A$400,D27)))</f>
        <v>1</v>
      </c>
      <c r="F27" s="59">
        <f>SUMPRODUCT(('Master Tracker'!$A$6:$A$400&lt;&gt;"")*ISNUMBER(SEARCH('Master Tracker'!$A$6:$A$400,D27))*('Master Tracker'!$G$6:$G$400="Completed"))</f>
        <v>0</v>
      </c>
      <c r="G27" s="59" t="str">
        <f t="shared" si="0"/>
        <v>0 / 1 done</v>
      </c>
    </row>
    <row r="28" spans="1:7" x14ac:dyDescent="0.3">
      <c r="A28" s="7" t="s">
        <v>1755</v>
      </c>
      <c r="B28" s="7" t="s">
        <v>410</v>
      </c>
      <c r="C28" s="52" t="s">
        <v>435</v>
      </c>
      <c r="D28" s="52" t="s">
        <v>433</v>
      </c>
      <c r="E28" s="59">
        <f>SUMPRODUCT(('Master Tracker'!$A$6:$A$400&lt;&gt;"")*ISNUMBER(SEARCH('Master Tracker'!$A$6:$A$400,D28)))</f>
        <v>1</v>
      </c>
      <c r="F28" s="59">
        <f>SUMPRODUCT(('Master Tracker'!$A$6:$A$400&lt;&gt;"")*ISNUMBER(SEARCH('Master Tracker'!$A$6:$A$400,D28))*('Master Tracker'!$G$6:$G$400="Completed"))</f>
        <v>0</v>
      </c>
      <c r="G28" s="59" t="str">
        <f t="shared" si="0"/>
        <v>0 / 1 done</v>
      </c>
    </row>
    <row r="29" spans="1:7" x14ac:dyDescent="0.3">
      <c r="A29" s="7" t="s">
        <v>1756</v>
      </c>
      <c r="B29" s="7" t="s">
        <v>410</v>
      </c>
      <c r="C29" s="52" t="s">
        <v>441</v>
      </c>
      <c r="D29" s="52" t="s">
        <v>440</v>
      </c>
      <c r="E29" s="59">
        <f>SUMPRODUCT(('Master Tracker'!$A$6:$A$400&lt;&gt;"")*ISNUMBER(SEARCH('Master Tracker'!$A$6:$A$400,D29)))</f>
        <v>1</v>
      </c>
      <c r="F29" s="59">
        <f>SUMPRODUCT(('Master Tracker'!$A$6:$A$400&lt;&gt;"")*ISNUMBER(SEARCH('Master Tracker'!$A$6:$A$400,D29))*('Master Tracker'!$G$6:$G$400="Completed"))</f>
        <v>0</v>
      </c>
      <c r="G29" s="59" t="str">
        <f t="shared" si="0"/>
        <v>0 / 1 done</v>
      </c>
    </row>
    <row r="30" spans="1:7" x14ac:dyDescent="0.3">
      <c r="A30" s="7" t="s">
        <v>1757</v>
      </c>
      <c r="B30" s="7" t="s">
        <v>410</v>
      </c>
      <c r="C30" s="52" t="s">
        <v>1758</v>
      </c>
      <c r="D30" s="52" t="s">
        <v>446</v>
      </c>
      <c r="E30" s="59">
        <f>SUMPRODUCT(('Master Tracker'!$A$6:$A$400&lt;&gt;"")*ISNUMBER(SEARCH('Master Tracker'!$A$6:$A$400,D30)))</f>
        <v>1</v>
      </c>
      <c r="F30" s="59">
        <f>SUMPRODUCT(('Master Tracker'!$A$6:$A$400&lt;&gt;"")*ISNUMBER(SEARCH('Master Tracker'!$A$6:$A$400,D30))*('Master Tracker'!$G$6:$G$400="Completed"))</f>
        <v>0</v>
      </c>
      <c r="G30" s="59" t="str">
        <f t="shared" si="0"/>
        <v>0 / 1 done</v>
      </c>
    </row>
    <row r="31" spans="1:7" x14ac:dyDescent="0.3">
      <c r="A31" s="7" t="s">
        <v>1759</v>
      </c>
      <c r="B31" s="7" t="s">
        <v>410</v>
      </c>
      <c r="C31" s="52" t="s">
        <v>454</v>
      </c>
      <c r="D31" s="52" t="s">
        <v>453</v>
      </c>
      <c r="E31" s="59">
        <f>SUMPRODUCT(('Master Tracker'!$A$6:$A$400&lt;&gt;"")*ISNUMBER(SEARCH('Master Tracker'!$A$6:$A$400,D31)))</f>
        <v>1</v>
      </c>
      <c r="F31" s="59">
        <f>SUMPRODUCT(('Master Tracker'!$A$6:$A$400&lt;&gt;"")*ISNUMBER(SEARCH('Master Tracker'!$A$6:$A$400,D31))*('Master Tracker'!$G$6:$G$400="Completed"))</f>
        <v>0</v>
      </c>
      <c r="G31" s="59" t="str">
        <f t="shared" si="0"/>
        <v>0 / 1 done</v>
      </c>
    </row>
    <row r="32" spans="1:7" x14ac:dyDescent="0.3">
      <c r="A32" s="7" t="s">
        <v>1760</v>
      </c>
      <c r="B32" s="7" t="s">
        <v>410</v>
      </c>
      <c r="C32" s="52" t="s">
        <v>1761</v>
      </c>
      <c r="D32" s="52" t="s">
        <v>481</v>
      </c>
      <c r="E32" s="59">
        <f>SUMPRODUCT(('Master Tracker'!$A$6:$A$400&lt;&gt;"")*ISNUMBER(SEARCH('Master Tracker'!$A$6:$A$400,D32)))</f>
        <v>1</v>
      </c>
      <c r="F32" s="59">
        <f>SUMPRODUCT(('Master Tracker'!$A$6:$A$400&lt;&gt;"")*ISNUMBER(SEARCH('Master Tracker'!$A$6:$A$400,D32))*('Master Tracker'!$G$6:$G$400="Completed"))</f>
        <v>0</v>
      </c>
      <c r="G32" s="59" t="str">
        <f t="shared" si="0"/>
        <v>0 / 1 done</v>
      </c>
    </row>
    <row r="33" spans="1:7" x14ac:dyDescent="0.3">
      <c r="A33" s="7" t="s">
        <v>1762</v>
      </c>
      <c r="B33" s="7" t="s">
        <v>410</v>
      </c>
      <c r="C33" s="52" t="s">
        <v>1763</v>
      </c>
      <c r="D33" s="52" t="s">
        <v>488</v>
      </c>
      <c r="E33" s="59">
        <f>SUMPRODUCT(('Master Tracker'!$A$6:$A$400&lt;&gt;"")*ISNUMBER(SEARCH('Master Tracker'!$A$6:$A$400,D33)))</f>
        <v>1</v>
      </c>
      <c r="F33" s="59">
        <f>SUMPRODUCT(('Master Tracker'!$A$6:$A$400&lt;&gt;"")*ISNUMBER(SEARCH('Master Tracker'!$A$6:$A$400,D33))*('Master Tracker'!$G$6:$G$400="Completed"))</f>
        <v>0</v>
      </c>
      <c r="G33" s="59" t="str">
        <f t="shared" si="0"/>
        <v>0 / 1 done</v>
      </c>
    </row>
    <row r="34" spans="1:7" x14ac:dyDescent="0.3">
      <c r="A34" s="7" t="s">
        <v>1764</v>
      </c>
      <c r="B34" s="7" t="s">
        <v>410</v>
      </c>
      <c r="C34" s="52" t="s">
        <v>496</v>
      </c>
      <c r="D34" s="52" t="s">
        <v>495</v>
      </c>
      <c r="E34" s="59">
        <f>SUMPRODUCT(('Master Tracker'!$A$6:$A$400&lt;&gt;"")*ISNUMBER(SEARCH('Master Tracker'!$A$6:$A$400,D34)))</f>
        <v>1</v>
      </c>
      <c r="F34" s="59">
        <f>SUMPRODUCT(('Master Tracker'!$A$6:$A$400&lt;&gt;"")*ISNUMBER(SEARCH('Master Tracker'!$A$6:$A$400,D34))*('Master Tracker'!$G$6:$G$400="Completed"))</f>
        <v>0</v>
      </c>
      <c r="G34" s="59" t="str">
        <f t="shared" si="0"/>
        <v>0 / 1 done</v>
      </c>
    </row>
    <row r="35" spans="1:7" x14ac:dyDescent="0.3">
      <c r="A35" s="7" t="s">
        <v>1765</v>
      </c>
      <c r="B35" s="7" t="s">
        <v>410</v>
      </c>
      <c r="C35" s="52" t="s">
        <v>503</v>
      </c>
      <c r="D35" s="52" t="s">
        <v>501</v>
      </c>
      <c r="E35" s="59">
        <f>SUMPRODUCT(('Master Tracker'!$A$6:$A$400&lt;&gt;"")*ISNUMBER(SEARCH('Master Tracker'!$A$6:$A$400,D35)))</f>
        <v>1</v>
      </c>
      <c r="F35" s="59">
        <f>SUMPRODUCT(('Master Tracker'!$A$6:$A$400&lt;&gt;"")*ISNUMBER(SEARCH('Master Tracker'!$A$6:$A$400,D35))*('Master Tracker'!$G$6:$G$400="Completed"))</f>
        <v>0</v>
      </c>
      <c r="G35" s="59" t="str">
        <f t="shared" si="0"/>
        <v>0 / 1 done</v>
      </c>
    </row>
    <row r="36" spans="1:7" x14ac:dyDescent="0.3">
      <c r="A36" s="7" t="s">
        <v>1766</v>
      </c>
      <c r="B36" s="7" t="s">
        <v>410</v>
      </c>
      <c r="C36" s="52" t="s">
        <v>1767</v>
      </c>
      <c r="D36" s="52" t="s">
        <v>508</v>
      </c>
      <c r="E36" s="59">
        <f>SUMPRODUCT(('Master Tracker'!$A$6:$A$400&lt;&gt;"")*ISNUMBER(SEARCH('Master Tracker'!$A$6:$A$400,D36)))</f>
        <v>1</v>
      </c>
      <c r="F36" s="59">
        <f>SUMPRODUCT(('Master Tracker'!$A$6:$A$400&lt;&gt;"")*ISNUMBER(SEARCH('Master Tracker'!$A$6:$A$400,D36))*('Master Tracker'!$G$6:$G$400="Completed"))</f>
        <v>0</v>
      </c>
      <c r="G36" s="59" t="str">
        <f t="shared" si="0"/>
        <v>0 / 1 done</v>
      </c>
    </row>
    <row r="37" spans="1:7" x14ac:dyDescent="0.3">
      <c r="A37" s="7" t="s">
        <v>1768</v>
      </c>
      <c r="B37" s="7" t="s">
        <v>524</v>
      </c>
      <c r="C37" s="52" t="s">
        <v>1769</v>
      </c>
      <c r="D37" s="52" t="s">
        <v>1770</v>
      </c>
      <c r="E37" s="59">
        <f>SUMPRODUCT(('Master Tracker'!$A$6:$A$400&lt;&gt;"")*ISNUMBER(SEARCH('Master Tracker'!$A$6:$A$400,D37)))</f>
        <v>2</v>
      </c>
      <c r="F37" s="59">
        <f>SUMPRODUCT(('Master Tracker'!$A$6:$A$400&lt;&gt;"")*ISNUMBER(SEARCH('Master Tracker'!$A$6:$A$400,D37))*('Master Tracker'!$G$6:$G$400="Completed"))</f>
        <v>0</v>
      </c>
      <c r="G37" s="59" t="str">
        <f t="shared" si="0"/>
        <v>0 / 2 done</v>
      </c>
    </row>
    <row r="38" spans="1:7" x14ac:dyDescent="0.3">
      <c r="A38" s="7" t="s">
        <v>1771</v>
      </c>
      <c r="B38" s="7" t="s">
        <v>524</v>
      </c>
      <c r="C38" s="52" t="s">
        <v>1772</v>
      </c>
      <c r="D38" s="52" t="s">
        <v>559</v>
      </c>
      <c r="E38" s="59">
        <f>SUMPRODUCT(('Master Tracker'!$A$6:$A$400&lt;&gt;"")*ISNUMBER(SEARCH('Master Tracker'!$A$6:$A$400,D38)))</f>
        <v>1</v>
      </c>
      <c r="F38" s="59">
        <f>SUMPRODUCT(('Master Tracker'!$A$6:$A$400&lt;&gt;"")*ISNUMBER(SEARCH('Master Tracker'!$A$6:$A$400,D38))*('Master Tracker'!$G$6:$G$400="Completed"))</f>
        <v>0</v>
      </c>
      <c r="G38" s="59" t="str">
        <f t="shared" ref="G38:G69" si="1">IF(E38=0,"⚠ UNMAPPED",IF(F38=E38,"✓ Delivered",F38&amp;" / "&amp;E38&amp;" done"))</f>
        <v>0 / 1 done</v>
      </c>
    </row>
    <row r="39" spans="1:7" x14ac:dyDescent="0.3">
      <c r="A39" s="7" t="s">
        <v>1773</v>
      </c>
      <c r="B39" s="7" t="s">
        <v>524</v>
      </c>
      <c r="C39" s="52" t="s">
        <v>574</v>
      </c>
      <c r="D39" s="52" t="s">
        <v>572</v>
      </c>
      <c r="E39" s="59">
        <f>SUMPRODUCT(('Master Tracker'!$A$6:$A$400&lt;&gt;"")*ISNUMBER(SEARCH('Master Tracker'!$A$6:$A$400,D39)))</f>
        <v>1</v>
      </c>
      <c r="F39" s="59">
        <f>SUMPRODUCT(('Master Tracker'!$A$6:$A$400&lt;&gt;"")*ISNUMBER(SEARCH('Master Tracker'!$A$6:$A$400,D39))*('Master Tracker'!$G$6:$G$400="Completed"))</f>
        <v>0</v>
      </c>
      <c r="G39" s="59" t="str">
        <f t="shared" si="1"/>
        <v>0 / 1 done</v>
      </c>
    </row>
    <row r="40" spans="1:7" x14ac:dyDescent="0.3">
      <c r="A40" s="7" t="s">
        <v>1774</v>
      </c>
      <c r="B40" s="7" t="s">
        <v>524</v>
      </c>
      <c r="C40" s="52" t="s">
        <v>1775</v>
      </c>
      <c r="D40" s="52" t="s">
        <v>1776</v>
      </c>
      <c r="E40" s="59">
        <f>SUMPRODUCT(('Master Tracker'!$A$6:$A$400&lt;&gt;"")*ISNUMBER(SEARCH('Master Tracker'!$A$6:$A$400,D40)))</f>
        <v>2</v>
      </c>
      <c r="F40" s="59">
        <f>SUMPRODUCT(('Master Tracker'!$A$6:$A$400&lt;&gt;"")*ISNUMBER(SEARCH('Master Tracker'!$A$6:$A$400,D40))*('Master Tracker'!$G$6:$G$400="Completed"))</f>
        <v>0</v>
      </c>
      <c r="G40" s="59" t="str">
        <f t="shared" si="1"/>
        <v>0 / 2 done</v>
      </c>
    </row>
    <row r="41" spans="1:7" x14ac:dyDescent="0.3">
      <c r="A41" s="7" t="s">
        <v>1777</v>
      </c>
      <c r="B41" s="7" t="s">
        <v>524</v>
      </c>
      <c r="C41" s="52" t="s">
        <v>1778</v>
      </c>
      <c r="D41" s="52" t="s">
        <v>1779</v>
      </c>
      <c r="E41" s="59">
        <f>SUMPRODUCT(('Master Tracker'!$A$6:$A$400&lt;&gt;"")*ISNUMBER(SEARCH('Master Tracker'!$A$6:$A$400,D41)))</f>
        <v>2</v>
      </c>
      <c r="F41" s="59">
        <f>SUMPRODUCT(('Master Tracker'!$A$6:$A$400&lt;&gt;"")*ISNUMBER(SEARCH('Master Tracker'!$A$6:$A$400,D41))*('Master Tracker'!$G$6:$G$400="Completed"))</f>
        <v>0</v>
      </c>
      <c r="G41" s="59" t="str">
        <f t="shared" si="1"/>
        <v>0 / 2 done</v>
      </c>
    </row>
    <row r="42" spans="1:7" x14ac:dyDescent="0.3">
      <c r="A42" s="7" t="s">
        <v>1780</v>
      </c>
      <c r="B42" s="7" t="s">
        <v>524</v>
      </c>
      <c r="C42" s="52" t="s">
        <v>1781</v>
      </c>
      <c r="D42" s="52" t="s">
        <v>552</v>
      </c>
      <c r="E42" s="59">
        <f>SUMPRODUCT(('Master Tracker'!$A$6:$A$400&lt;&gt;"")*ISNUMBER(SEARCH('Master Tracker'!$A$6:$A$400,D42)))</f>
        <v>1</v>
      </c>
      <c r="F42" s="59">
        <f>SUMPRODUCT(('Master Tracker'!$A$6:$A$400&lt;&gt;"")*ISNUMBER(SEARCH('Master Tracker'!$A$6:$A$400,D42))*('Master Tracker'!$G$6:$G$400="Completed"))</f>
        <v>0</v>
      </c>
      <c r="G42" s="59" t="str">
        <f t="shared" si="1"/>
        <v>0 / 1 done</v>
      </c>
    </row>
    <row r="43" spans="1:7" x14ac:dyDescent="0.3">
      <c r="A43" s="7" t="s">
        <v>1782</v>
      </c>
      <c r="B43" s="7" t="s">
        <v>524</v>
      </c>
      <c r="C43" s="52" t="s">
        <v>1783</v>
      </c>
      <c r="D43" s="52" t="s">
        <v>566</v>
      </c>
      <c r="E43" s="59">
        <f>SUMPRODUCT(('Master Tracker'!$A$6:$A$400&lt;&gt;"")*ISNUMBER(SEARCH('Master Tracker'!$A$6:$A$400,D43)))</f>
        <v>1</v>
      </c>
      <c r="F43" s="59">
        <f>SUMPRODUCT(('Master Tracker'!$A$6:$A$400&lt;&gt;"")*ISNUMBER(SEARCH('Master Tracker'!$A$6:$A$400,D43))*('Master Tracker'!$G$6:$G$400="Completed"))</f>
        <v>0</v>
      </c>
      <c r="G43" s="59" t="str">
        <f t="shared" si="1"/>
        <v>0 / 1 done</v>
      </c>
    </row>
    <row r="44" spans="1:7" x14ac:dyDescent="0.3">
      <c r="A44" s="7" t="s">
        <v>1784</v>
      </c>
      <c r="B44" s="7" t="s">
        <v>524</v>
      </c>
      <c r="C44" s="52" t="s">
        <v>581</v>
      </c>
      <c r="D44" s="52" t="s">
        <v>579</v>
      </c>
      <c r="E44" s="59">
        <f>SUMPRODUCT(('Master Tracker'!$A$6:$A$400&lt;&gt;"")*ISNUMBER(SEARCH('Master Tracker'!$A$6:$A$400,D44)))</f>
        <v>1</v>
      </c>
      <c r="F44" s="59">
        <f>SUMPRODUCT(('Master Tracker'!$A$6:$A$400&lt;&gt;"")*ISNUMBER(SEARCH('Master Tracker'!$A$6:$A$400,D44))*('Master Tracker'!$G$6:$G$400="Completed"))</f>
        <v>0</v>
      </c>
      <c r="G44" s="59" t="str">
        <f t="shared" si="1"/>
        <v>0 / 1 done</v>
      </c>
    </row>
    <row r="45" spans="1:7" x14ac:dyDescent="0.3">
      <c r="A45" s="7" t="s">
        <v>1785</v>
      </c>
      <c r="B45" s="7" t="s">
        <v>524</v>
      </c>
      <c r="C45" s="52" t="s">
        <v>1786</v>
      </c>
      <c r="D45" s="52" t="s">
        <v>586</v>
      </c>
      <c r="E45" s="59">
        <f>SUMPRODUCT(('Master Tracker'!$A$6:$A$400&lt;&gt;"")*ISNUMBER(SEARCH('Master Tracker'!$A$6:$A$400,D45)))</f>
        <v>1</v>
      </c>
      <c r="F45" s="59">
        <f>SUMPRODUCT(('Master Tracker'!$A$6:$A$400&lt;&gt;"")*ISNUMBER(SEARCH('Master Tracker'!$A$6:$A$400,D45))*('Master Tracker'!$G$6:$G$400="Completed"))</f>
        <v>0</v>
      </c>
      <c r="G45" s="59" t="str">
        <f t="shared" si="1"/>
        <v>0 / 1 done</v>
      </c>
    </row>
    <row r="46" spans="1:7" x14ac:dyDescent="0.3">
      <c r="A46" s="7" t="s">
        <v>1787</v>
      </c>
      <c r="B46" s="7" t="s">
        <v>524</v>
      </c>
      <c r="C46" s="52" t="s">
        <v>1788</v>
      </c>
      <c r="D46" s="52" t="s">
        <v>593</v>
      </c>
      <c r="E46" s="59">
        <f>SUMPRODUCT(('Master Tracker'!$A$6:$A$400&lt;&gt;"")*ISNUMBER(SEARCH('Master Tracker'!$A$6:$A$400,D46)))</f>
        <v>1</v>
      </c>
      <c r="F46" s="59">
        <f>SUMPRODUCT(('Master Tracker'!$A$6:$A$400&lt;&gt;"")*ISNUMBER(SEARCH('Master Tracker'!$A$6:$A$400,D46))*('Master Tracker'!$G$6:$G$400="Completed"))</f>
        <v>0</v>
      </c>
      <c r="G46" s="59" t="str">
        <f t="shared" si="1"/>
        <v>0 / 1 done</v>
      </c>
    </row>
    <row r="47" spans="1:7" x14ac:dyDescent="0.3">
      <c r="A47" s="7" t="s">
        <v>1789</v>
      </c>
      <c r="B47" s="7" t="s">
        <v>609</v>
      </c>
      <c r="C47" s="52" t="s">
        <v>1790</v>
      </c>
      <c r="D47" s="52" t="s">
        <v>625</v>
      </c>
      <c r="E47" s="59">
        <f>SUMPRODUCT(('Master Tracker'!$A$6:$A$400&lt;&gt;"")*ISNUMBER(SEARCH('Master Tracker'!$A$6:$A$400,D47)))</f>
        <v>1</v>
      </c>
      <c r="F47" s="59">
        <f>SUMPRODUCT(('Master Tracker'!$A$6:$A$400&lt;&gt;"")*ISNUMBER(SEARCH('Master Tracker'!$A$6:$A$400,D47))*('Master Tracker'!$G$6:$G$400="Completed"))</f>
        <v>0</v>
      </c>
      <c r="G47" s="59" t="str">
        <f t="shared" si="1"/>
        <v>0 / 1 done</v>
      </c>
    </row>
    <row r="48" spans="1:7" x14ac:dyDescent="0.3">
      <c r="A48" s="7" t="s">
        <v>1791</v>
      </c>
      <c r="B48" s="7" t="s">
        <v>609</v>
      </c>
      <c r="C48" s="52" t="s">
        <v>1792</v>
      </c>
      <c r="D48" s="52" t="s">
        <v>1793</v>
      </c>
      <c r="E48" s="59">
        <f>SUMPRODUCT(('Master Tracker'!$A$6:$A$400&lt;&gt;"")*ISNUMBER(SEARCH('Master Tracker'!$A$6:$A$400,D48)))</f>
        <v>4</v>
      </c>
      <c r="F48" s="59">
        <f>SUMPRODUCT(('Master Tracker'!$A$6:$A$400&lt;&gt;"")*ISNUMBER(SEARCH('Master Tracker'!$A$6:$A$400,D48))*('Master Tracker'!$G$6:$G$400="Completed"))</f>
        <v>0</v>
      </c>
      <c r="G48" s="59" t="str">
        <f t="shared" si="1"/>
        <v>0 / 4 done</v>
      </c>
    </row>
    <row r="49" spans="1:7" x14ac:dyDescent="0.3">
      <c r="A49" s="7" t="s">
        <v>1794</v>
      </c>
      <c r="B49" s="7" t="s">
        <v>609</v>
      </c>
      <c r="C49" s="52" t="s">
        <v>675</v>
      </c>
      <c r="D49" s="52" t="s">
        <v>673</v>
      </c>
      <c r="E49" s="59">
        <f>SUMPRODUCT(('Master Tracker'!$A$6:$A$400&lt;&gt;"")*ISNUMBER(SEARCH('Master Tracker'!$A$6:$A$400,D49)))</f>
        <v>1</v>
      </c>
      <c r="F49" s="59">
        <f>SUMPRODUCT(('Master Tracker'!$A$6:$A$400&lt;&gt;"")*ISNUMBER(SEARCH('Master Tracker'!$A$6:$A$400,D49))*('Master Tracker'!$G$6:$G$400="Completed"))</f>
        <v>0</v>
      </c>
      <c r="G49" s="59" t="str">
        <f t="shared" si="1"/>
        <v>0 / 1 done</v>
      </c>
    </row>
    <row r="50" spans="1:7" x14ac:dyDescent="0.3">
      <c r="A50" s="7" t="s">
        <v>1795</v>
      </c>
      <c r="B50" s="7" t="s">
        <v>609</v>
      </c>
      <c r="C50" s="52" t="s">
        <v>1796</v>
      </c>
      <c r="D50" s="52" t="s">
        <v>681</v>
      </c>
      <c r="E50" s="59">
        <f>SUMPRODUCT(('Master Tracker'!$A$6:$A$400&lt;&gt;"")*ISNUMBER(SEARCH('Master Tracker'!$A$6:$A$400,D50)))</f>
        <v>1</v>
      </c>
      <c r="F50" s="59">
        <f>SUMPRODUCT(('Master Tracker'!$A$6:$A$400&lt;&gt;"")*ISNUMBER(SEARCH('Master Tracker'!$A$6:$A$400,D50))*('Master Tracker'!$G$6:$G$400="Completed"))</f>
        <v>0</v>
      </c>
      <c r="G50" s="59" t="str">
        <f t="shared" si="1"/>
        <v>0 / 1 done</v>
      </c>
    </row>
    <row r="51" spans="1:7" x14ac:dyDescent="0.3">
      <c r="A51" s="7" t="s">
        <v>1797</v>
      </c>
      <c r="B51" s="7" t="s">
        <v>609</v>
      </c>
      <c r="C51" s="52" t="s">
        <v>1798</v>
      </c>
      <c r="D51" s="52" t="s">
        <v>1799</v>
      </c>
      <c r="E51" s="59">
        <f>SUMPRODUCT(('Master Tracker'!$A$6:$A$400&lt;&gt;"")*ISNUMBER(SEARCH('Master Tracker'!$A$6:$A$400,D51)))</f>
        <v>2</v>
      </c>
      <c r="F51" s="59">
        <f>SUMPRODUCT(('Master Tracker'!$A$6:$A$400&lt;&gt;"")*ISNUMBER(SEARCH('Master Tracker'!$A$6:$A$400,D51))*('Master Tracker'!$G$6:$G$400="Completed"))</f>
        <v>0</v>
      </c>
      <c r="G51" s="59" t="str">
        <f t="shared" si="1"/>
        <v>0 / 2 done</v>
      </c>
    </row>
    <row r="52" spans="1:7" x14ac:dyDescent="0.3">
      <c r="A52" s="7" t="s">
        <v>1800</v>
      </c>
      <c r="B52" s="7" t="s">
        <v>609</v>
      </c>
      <c r="C52" s="52" t="s">
        <v>1801</v>
      </c>
      <c r="D52" s="52" t="s">
        <v>1802</v>
      </c>
      <c r="E52" s="59">
        <f>SUMPRODUCT(('Master Tracker'!$A$6:$A$400&lt;&gt;"")*ISNUMBER(SEARCH('Master Tracker'!$A$6:$A$400,D52)))</f>
        <v>2</v>
      </c>
      <c r="F52" s="59">
        <f>SUMPRODUCT(('Master Tracker'!$A$6:$A$400&lt;&gt;"")*ISNUMBER(SEARCH('Master Tracker'!$A$6:$A$400,D52))*('Master Tracker'!$G$6:$G$400="Completed"))</f>
        <v>0</v>
      </c>
      <c r="G52" s="59" t="str">
        <f t="shared" si="1"/>
        <v>0 / 2 done</v>
      </c>
    </row>
    <row r="53" spans="1:7" x14ac:dyDescent="0.3">
      <c r="A53" s="7" t="s">
        <v>1803</v>
      </c>
      <c r="B53" s="7" t="s">
        <v>609</v>
      </c>
      <c r="C53" s="52" t="s">
        <v>661</v>
      </c>
      <c r="D53" s="52" t="s">
        <v>660</v>
      </c>
      <c r="E53" s="59">
        <f>SUMPRODUCT(('Master Tracker'!$A$6:$A$400&lt;&gt;"")*ISNUMBER(SEARCH('Master Tracker'!$A$6:$A$400,D53)))</f>
        <v>1</v>
      </c>
      <c r="F53" s="59">
        <f>SUMPRODUCT(('Master Tracker'!$A$6:$A$400&lt;&gt;"")*ISNUMBER(SEARCH('Master Tracker'!$A$6:$A$400,D53))*('Master Tracker'!$G$6:$G$400="Completed"))</f>
        <v>0</v>
      </c>
      <c r="G53" s="59" t="str">
        <f t="shared" si="1"/>
        <v>0 / 1 done</v>
      </c>
    </row>
    <row r="54" spans="1:7" x14ac:dyDescent="0.3">
      <c r="A54" s="7" t="s">
        <v>1804</v>
      </c>
      <c r="B54" s="7" t="s">
        <v>609</v>
      </c>
      <c r="C54" s="52" t="s">
        <v>696</v>
      </c>
      <c r="D54" s="52" t="s">
        <v>695</v>
      </c>
      <c r="E54" s="59">
        <f>SUMPRODUCT(('Master Tracker'!$A$6:$A$400&lt;&gt;"")*ISNUMBER(SEARCH('Master Tracker'!$A$6:$A$400,D54)))</f>
        <v>1</v>
      </c>
      <c r="F54" s="59">
        <f>SUMPRODUCT(('Master Tracker'!$A$6:$A$400&lt;&gt;"")*ISNUMBER(SEARCH('Master Tracker'!$A$6:$A$400,D54))*('Master Tracker'!$G$6:$G$400="Completed"))</f>
        <v>0</v>
      </c>
      <c r="G54" s="59" t="str">
        <f t="shared" si="1"/>
        <v>0 / 1 done</v>
      </c>
    </row>
    <row r="55" spans="1:7" x14ac:dyDescent="0.3">
      <c r="A55" s="7" t="s">
        <v>1805</v>
      </c>
      <c r="B55" s="7" t="s">
        <v>609</v>
      </c>
      <c r="C55" s="52" t="s">
        <v>702</v>
      </c>
      <c r="D55" s="52" t="s">
        <v>701</v>
      </c>
      <c r="E55" s="59">
        <f>SUMPRODUCT(('Master Tracker'!$A$6:$A$400&lt;&gt;"")*ISNUMBER(SEARCH('Master Tracker'!$A$6:$A$400,D55)))</f>
        <v>1</v>
      </c>
      <c r="F55" s="59">
        <f>SUMPRODUCT(('Master Tracker'!$A$6:$A$400&lt;&gt;"")*ISNUMBER(SEARCH('Master Tracker'!$A$6:$A$400,D55))*('Master Tracker'!$G$6:$G$400="Completed"))</f>
        <v>0</v>
      </c>
      <c r="G55" s="59" t="str">
        <f t="shared" si="1"/>
        <v>0 / 1 done</v>
      </c>
    </row>
    <row r="56" spans="1:7" x14ac:dyDescent="0.3">
      <c r="A56" s="7" t="s">
        <v>1806</v>
      </c>
      <c r="B56" s="7" t="s">
        <v>609</v>
      </c>
      <c r="C56" s="52" t="s">
        <v>1807</v>
      </c>
      <c r="D56" s="52" t="s">
        <v>707</v>
      </c>
      <c r="E56" s="59">
        <f>SUMPRODUCT(('Master Tracker'!$A$6:$A$400&lt;&gt;"")*ISNUMBER(SEARCH('Master Tracker'!$A$6:$A$400,D56)))</f>
        <v>1</v>
      </c>
      <c r="F56" s="59">
        <f>SUMPRODUCT(('Master Tracker'!$A$6:$A$400&lt;&gt;"")*ISNUMBER(SEARCH('Master Tracker'!$A$6:$A$400,D56))*('Master Tracker'!$G$6:$G$400="Completed"))</f>
        <v>0</v>
      </c>
      <c r="G56" s="59" t="str">
        <f t="shared" si="1"/>
        <v>0 / 1 done</v>
      </c>
    </row>
    <row r="57" spans="1:7" x14ac:dyDescent="0.3">
      <c r="A57" s="7" t="s">
        <v>1808</v>
      </c>
      <c r="B57" s="7" t="s">
        <v>609</v>
      </c>
      <c r="C57" s="52" t="s">
        <v>715</v>
      </c>
      <c r="D57" s="52" t="s">
        <v>713</v>
      </c>
      <c r="E57" s="59">
        <f>SUMPRODUCT(('Master Tracker'!$A$6:$A$400&lt;&gt;"")*ISNUMBER(SEARCH('Master Tracker'!$A$6:$A$400,D57)))</f>
        <v>1</v>
      </c>
      <c r="F57" s="59">
        <f>SUMPRODUCT(('Master Tracker'!$A$6:$A$400&lt;&gt;"")*ISNUMBER(SEARCH('Master Tracker'!$A$6:$A$400,D57))*('Master Tracker'!$G$6:$G$400="Completed"))</f>
        <v>0</v>
      </c>
      <c r="G57" s="59" t="str">
        <f t="shared" si="1"/>
        <v>0 / 1 done</v>
      </c>
    </row>
    <row r="58" spans="1:7" x14ac:dyDescent="0.3">
      <c r="A58" s="7" t="s">
        <v>1809</v>
      </c>
      <c r="B58" s="7" t="s">
        <v>609</v>
      </c>
      <c r="C58" s="52" t="s">
        <v>723</v>
      </c>
      <c r="D58" s="52" t="s">
        <v>721</v>
      </c>
      <c r="E58" s="59">
        <f>SUMPRODUCT(('Master Tracker'!$A$6:$A$400&lt;&gt;"")*ISNUMBER(SEARCH('Master Tracker'!$A$6:$A$400,D58)))</f>
        <v>1</v>
      </c>
      <c r="F58" s="59">
        <f>SUMPRODUCT(('Master Tracker'!$A$6:$A$400&lt;&gt;"")*ISNUMBER(SEARCH('Master Tracker'!$A$6:$A$400,D58))*('Master Tracker'!$G$6:$G$400="Completed"))</f>
        <v>0</v>
      </c>
      <c r="G58" s="59" t="str">
        <f t="shared" si="1"/>
        <v>0 / 1 done</v>
      </c>
    </row>
    <row r="59" spans="1:7" x14ac:dyDescent="0.3">
      <c r="A59" s="7" t="s">
        <v>1810</v>
      </c>
      <c r="B59" s="7" t="s">
        <v>609</v>
      </c>
      <c r="C59" s="52" t="s">
        <v>729</v>
      </c>
      <c r="D59" s="52" t="s">
        <v>1811</v>
      </c>
      <c r="E59" s="59">
        <f>SUMPRODUCT(('Master Tracker'!$A$6:$A$400&lt;&gt;"")*ISNUMBER(SEARCH('Master Tracker'!$A$6:$A$400,D59)))</f>
        <v>2</v>
      </c>
      <c r="F59" s="59">
        <f>SUMPRODUCT(('Master Tracker'!$A$6:$A$400&lt;&gt;"")*ISNUMBER(SEARCH('Master Tracker'!$A$6:$A$400,D59))*('Master Tracker'!$G$6:$G$400="Completed"))</f>
        <v>0</v>
      </c>
      <c r="G59" s="59" t="str">
        <f t="shared" si="1"/>
        <v>0 / 2 done</v>
      </c>
    </row>
    <row r="60" spans="1:7" x14ac:dyDescent="0.3">
      <c r="A60" s="7" t="s">
        <v>1812</v>
      </c>
      <c r="B60" s="7" t="s">
        <v>609</v>
      </c>
      <c r="C60" s="52" t="s">
        <v>1813</v>
      </c>
      <c r="D60" s="52" t="s">
        <v>734</v>
      </c>
      <c r="E60" s="59">
        <f>SUMPRODUCT(('Master Tracker'!$A$6:$A$400&lt;&gt;"")*ISNUMBER(SEARCH('Master Tracker'!$A$6:$A$400,D60)))</f>
        <v>1</v>
      </c>
      <c r="F60" s="59">
        <f>SUMPRODUCT(('Master Tracker'!$A$6:$A$400&lt;&gt;"")*ISNUMBER(SEARCH('Master Tracker'!$A$6:$A$400,D60))*('Master Tracker'!$G$6:$G$400="Completed"))</f>
        <v>0</v>
      </c>
      <c r="G60" s="59" t="str">
        <f t="shared" si="1"/>
        <v>0 / 1 done</v>
      </c>
    </row>
    <row r="61" spans="1:7" x14ac:dyDescent="0.3">
      <c r="A61" s="7" t="s">
        <v>1814</v>
      </c>
      <c r="B61" s="7" t="s">
        <v>742</v>
      </c>
      <c r="C61" s="52" t="s">
        <v>1815</v>
      </c>
      <c r="D61" s="52" t="s">
        <v>1816</v>
      </c>
      <c r="E61" s="59">
        <f>SUMPRODUCT(('Master Tracker'!$A$6:$A$400&lt;&gt;"")*ISNUMBER(SEARCH('Master Tracker'!$A$6:$A$400,D61)))</f>
        <v>3</v>
      </c>
      <c r="F61" s="59">
        <f>SUMPRODUCT(('Master Tracker'!$A$6:$A$400&lt;&gt;"")*ISNUMBER(SEARCH('Master Tracker'!$A$6:$A$400,D61))*('Master Tracker'!$G$6:$G$400="Completed"))</f>
        <v>0</v>
      </c>
      <c r="G61" s="59" t="str">
        <f t="shared" si="1"/>
        <v>0 / 3 done</v>
      </c>
    </row>
    <row r="62" spans="1:7" x14ac:dyDescent="0.3">
      <c r="A62" s="7" t="s">
        <v>1817</v>
      </c>
      <c r="B62" s="7" t="s">
        <v>742</v>
      </c>
      <c r="C62" s="52" t="s">
        <v>764</v>
      </c>
      <c r="D62" s="52" t="s">
        <v>762</v>
      </c>
      <c r="E62" s="59">
        <f>SUMPRODUCT(('Master Tracker'!$A$6:$A$400&lt;&gt;"")*ISNUMBER(SEARCH('Master Tracker'!$A$6:$A$400,D62)))</f>
        <v>1</v>
      </c>
      <c r="F62" s="59">
        <f>SUMPRODUCT(('Master Tracker'!$A$6:$A$400&lt;&gt;"")*ISNUMBER(SEARCH('Master Tracker'!$A$6:$A$400,D62))*('Master Tracker'!$G$6:$G$400="Completed"))</f>
        <v>0</v>
      </c>
      <c r="G62" s="59" t="str">
        <f t="shared" si="1"/>
        <v>0 / 1 done</v>
      </c>
    </row>
    <row r="63" spans="1:7" x14ac:dyDescent="0.3">
      <c r="A63" s="7" t="s">
        <v>1818</v>
      </c>
      <c r="B63" s="7" t="s">
        <v>742</v>
      </c>
      <c r="C63" s="52" t="s">
        <v>1819</v>
      </c>
      <c r="D63" s="52" t="s">
        <v>783</v>
      </c>
      <c r="E63" s="59">
        <f>SUMPRODUCT(('Master Tracker'!$A$6:$A$400&lt;&gt;"")*ISNUMBER(SEARCH('Master Tracker'!$A$6:$A$400,D63)))</f>
        <v>1</v>
      </c>
      <c r="F63" s="59">
        <f>SUMPRODUCT(('Master Tracker'!$A$6:$A$400&lt;&gt;"")*ISNUMBER(SEARCH('Master Tracker'!$A$6:$A$400,D63))*('Master Tracker'!$G$6:$G$400="Completed"))</f>
        <v>0</v>
      </c>
      <c r="G63" s="59" t="str">
        <f t="shared" si="1"/>
        <v>0 / 1 done</v>
      </c>
    </row>
    <row r="64" spans="1:7" x14ac:dyDescent="0.3">
      <c r="A64" s="7" t="s">
        <v>1820</v>
      </c>
      <c r="B64" s="7" t="s">
        <v>742</v>
      </c>
      <c r="C64" s="52" t="s">
        <v>1821</v>
      </c>
      <c r="D64" s="52" t="s">
        <v>1822</v>
      </c>
      <c r="E64" s="59">
        <f>SUMPRODUCT(('Master Tracker'!$A$6:$A$400&lt;&gt;"")*ISNUMBER(SEARCH('Master Tracker'!$A$6:$A$400,D64)))</f>
        <v>3</v>
      </c>
      <c r="F64" s="59">
        <f>SUMPRODUCT(('Master Tracker'!$A$6:$A$400&lt;&gt;"")*ISNUMBER(SEARCH('Master Tracker'!$A$6:$A$400,D64))*('Master Tracker'!$G$6:$G$400="Completed"))</f>
        <v>0</v>
      </c>
      <c r="G64" s="59" t="str">
        <f t="shared" si="1"/>
        <v>0 / 3 done</v>
      </c>
    </row>
    <row r="65" spans="1:7" x14ac:dyDescent="0.3">
      <c r="A65" s="7" t="s">
        <v>1823</v>
      </c>
      <c r="B65" s="7" t="s">
        <v>742</v>
      </c>
      <c r="C65" s="52" t="s">
        <v>1824</v>
      </c>
      <c r="D65" s="52" t="s">
        <v>1825</v>
      </c>
      <c r="E65" s="59">
        <f>SUMPRODUCT(('Master Tracker'!$A$6:$A$400&lt;&gt;"")*ISNUMBER(SEARCH('Master Tracker'!$A$6:$A$400,D65)))</f>
        <v>2</v>
      </c>
      <c r="F65" s="59">
        <f>SUMPRODUCT(('Master Tracker'!$A$6:$A$400&lt;&gt;"")*ISNUMBER(SEARCH('Master Tracker'!$A$6:$A$400,D65))*('Master Tracker'!$G$6:$G$400="Completed"))</f>
        <v>0</v>
      </c>
      <c r="G65" s="59" t="str">
        <f t="shared" si="1"/>
        <v>0 / 2 done</v>
      </c>
    </row>
    <row r="66" spans="1:7" x14ac:dyDescent="0.3">
      <c r="A66" s="7" t="s">
        <v>1826</v>
      </c>
      <c r="B66" s="7" t="s">
        <v>742</v>
      </c>
      <c r="C66" s="52" t="s">
        <v>1827</v>
      </c>
      <c r="D66" s="52" t="s">
        <v>810</v>
      </c>
      <c r="E66" s="59">
        <f>SUMPRODUCT(('Master Tracker'!$A$6:$A$400&lt;&gt;"")*ISNUMBER(SEARCH('Master Tracker'!$A$6:$A$400,D66)))</f>
        <v>1</v>
      </c>
      <c r="F66" s="59">
        <f>SUMPRODUCT(('Master Tracker'!$A$6:$A$400&lt;&gt;"")*ISNUMBER(SEARCH('Master Tracker'!$A$6:$A$400,D66))*('Master Tracker'!$G$6:$G$400="Completed"))</f>
        <v>0</v>
      </c>
      <c r="G66" s="59" t="str">
        <f t="shared" si="1"/>
        <v>0 / 1 done</v>
      </c>
    </row>
    <row r="67" spans="1:7" x14ac:dyDescent="0.3">
      <c r="A67" s="7" t="s">
        <v>1828</v>
      </c>
      <c r="B67" s="7" t="s">
        <v>742</v>
      </c>
      <c r="C67" s="52" t="s">
        <v>1829</v>
      </c>
      <c r="D67" s="52" t="s">
        <v>818</v>
      </c>
      <c r="E67" s="59">
        <f>SUMPRODUCT(('Master Tracker'!$A$6:$A$400&lt;&gt;"")*ISNUMBER(SEARCH('Master Tracker'!$A$6:$A$400,D67)))</f>
        <v>1</v>
      </c>
      <c r="F67" s="59">
        <f>SUMPRODUCT(('Master Tracker'!$A$6:$A$400&lt;&gt;"")*ISNUMBER(SEARCH('Master Tracker'!$A$6:$A$400,D67))*('Master Tracker'!$G$6:$G$400="Completed"))</f>
        <v>0</v>
      </c>
      <c r="G67" s="59" t="str">
        <f t="shared" si="1"/>
        <v>0 / 1 done</v>
      </c>
    </row>
    <row r="68" spans="1:7" x14ac:dyDescent="0.3">
      <c r="A68" s="7" t="s">
        <v>1830</v>
      </c>
      <c r="B68" s="7" t="s">
        <v>742</v>
      </c>
      <c r="C68" s="52" t="s">
        <v>1831</v>
      </c>
      <c r="D68" s="52" t="s">
        <v>1832</v>
      </c>
      <c r="E68" s="59">
        <f>SUMPRODUCT(('Master Tracker'!$A$6:$A$400&lt;&gt;"")*ISNUMBER(SEARCH('Master Tracker'!$A$6:$A$400,D68)))</f>
        <v>3</v>
      </c>
      <c r="F68" s="59">
        <f>SUMPRODUCT(('Master Tracker'!$A$6:$A$400&lt;&gt;"")*ISNUMBER(SEARCH('Master Tracker'!$A$6:$A$400,D68))*('Master Tracker'!$G$6:$G$400="Completed"))</f>
        <v>0</v>
      </c>
      <c r="G68" s="59" t="str">
        <f t="shared" si="1"/>
        <v>0 / 3 done</v>
      </c>
    </row>
    <row r="69" spans="1:7" x14ac:dyDescent="0.3">
      <c r="A69" s="7" t="s">
        <v>1833</v>
      </c>
      <c r="B69" s="7" t="s">
        <v>742</v>
      </c>
      <c r="C69" s="52" t="s">
        <v>837</v>
      </c>
      <c r="D69" s="52" t="s">
        <v>836</v>
      </c>
      <c r="E69" s="59">
        <f>SUMPRODUCT(('Master Tracker'!$A$6:$A$400&lt;&gt;"")*ISNUMBER(SEARCH('Master Tracker'!$A$6:$A$400,D69)))</f>
        <v>1</v>
      </c>
      <c r="F69" s="59">
        <f>SUMPRODUCT(('Master Tracker'!$A$6:$A$400&lt;&gt;"")*ISNUMBER(SEARCH('Master Tracker'!$A$6:$A$400,D69))*('Master Tracker'!$G$6:$G$400="Completed"))</f>
        <v>0</v>
      </c>
      <c r="G69" s="59" t="str">
        <f t="shared" si="1"/>
        <v>0 / 1 done</v>
      </c>
    </row>
    <row r="70" spans="1:7" x14ac:dyDescent="0.3">
      <c r="A70" s="7" t="s">
        <v>1834</v>
      </c>
      <c r="B70" s="7" t="s">
        <v>742</v>
      </c>
      <c r="C70" s="52" t="s">
        <v>1835</v>
      </c>
      <c r="D70" s="52" t="s">
        <v>1836</v>
      </c>
      <c r="E70" s="59">
        <f>SUMPRODUCT(('Master Tracker'!$A$6:$A$400&lt;&gt;"")*ISNUMBER(SEARCH('Master Tracker'!$A$6:$A$400,D70)))</f>
        <v>3</v>
      </c>
      <c r="F70" s="59">
        <f>SUMPRODUCT(('Master Tracker'!$A$6:$A$400&lt;&gt;"")*ISNUMBER(SEARCH('Master Tracker'!$A$6:$A$400,D70))*('Master Tracker'!$G$6:$G$400="Completed"))</f>
        <v>0</v>
      </c>
      <c r="G70" s="59" t="str">
        <f t="shared" ref="G70:G101" si="2">IF(E70=0,"⚠ UNMAPPED",IF(F70=E70,"✓ Delivered",F70&amp;" / "&amp;E70&amp;" done"))</f>
        <v>0 / 3 done</v>
      </c>
    </row>
    <row r="71" spans="1:7" x14ac:dyDescent="0.3">
      <c r="A71" s="7" t="s">
        <v>1837</v>
      </c>
      <c r="B71" s="7" t="s">
        <v>742</v>
      </c>
      <c r="C71" s="52" t="s">
        <v>1838</v>
      </c>
      <c r="D71" s="52" t="s">
        <v>860</v>
      </c>
      <c r="E71" s="59">
        <f>SUMPRODUCT(('Master Tracker'!$A$6:$A$400&lt;&gt;"")*ISNUMBER(SEARCH('Master Tracker'!$A$6:$A$400,D71)))</f>
        <v>1</v>
      </c>
      <c r="F71" s="59">
        <f>SUMPRODUCT(('Master Tracker'!$A$6:$A$400&lt;&gt;"")*ISNUMBER(SEARCH('Master Tracker'!$A$6:$A$400,D71))*('Master Tracker'!$G$6:$G$400="Completed"))</f>
        <v>0</v>
      </c>
      <c r="G71" s="59" t="str">
        <f t="shared" si="2"/>
        <v>0 / 1 done</v>
      </c>
    </row>
    <row r="72" spans="1:7" x14ac:dyDescent="0.3">
      <c r="A72" s="7" t="s">
        <v>1839</v>
      </c>
      <c r="B72" s="7" t="s">
        <v>742</v>
      </c>
      <c r="C72" s="52" t="s">
        <v>1840</v>
      </c>
      <c r="D72" s="52" t="s">
        <v>1841</v>
      </c>
      <c r="E72" s="59">
        <f>SUMPRODUCT(('Master Tracker'!$A$6:$A$400&lt;&gt;"")*ISNUMBER(SEARCH('Master Tracker'!$A$6:$A$400,D72)))</f>
        <v>2</v>
      </c>
      <c r="F72" s="59">
        <f>SUMPRODUCT(('Master Tracker'!$A$6:$A$400&lt;&gt;"")*ISNUMBER(SEARCH('Master Tracker'!$A$6:$A$400,D72))*('Master Tracker'!$G$6:$G$400="Completed"))</f>
        <v>0</v>
      </c>
      <c r="G72" s="59" t="str">
        <f t="shared" si="2"/>
        <v>0 / 2 done</v>
      </c>
    </row>
  </sheetData>
  <mergeCells count="2">
    <mergeCell ref="A2:G2"/>
    <mergeCell ref="A1:G1"/>
  </mergeCells>
  <conditionalFormatting sqref="G6:G72">
    <cfRule type="expression" dxfId="1" priority="1">
      <formula>LEFT($G6,1)="✓"</formula>
    </cfRule>
    <cfRule type="expression" dxfId="0" priority="2">
      <formula>LEFT($G6,1)="⚠"</formula>
    </cfRule>
  </conditionalFormatting>
  <hyperlinks>
    <hyperlink ref="A3" location="'Executive Dashboard'!A1" display="← Dashboard" xr:uid="{00000000-0004-0000-0B00-000000000000}"/>
  </hyperlinks>
  <pageMargins left="0.75" right="0.75" top="1" bottom="1" header="0.5" footer="0.5"/>
  <pageSetup fitToHeight="0" orientation="landscape"/>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64748B"/>
    <pageSetUpPr fitToPage="1"/>
  </sheetPr>
  <dimension ref="A1:AA72"/>
  <sheetViews>
    <sheetView zoomScale="90" workbookViewId="0"/>
  </sheetViews>
  <sheetFormatPr defaultRowHeight="14.4" x14ac:dyDescent="0.3"/>
  <sheetData>
    <row r="1" spans="1:27" x14ac:dyDescent="0.3">
      <c r="A1" s="60" t="s">
        <v>70</v>
      </c>
      <c r="B1" s="60" t="s">
        <v>66</v>
      </c>
      <c r="C1" s="60" t="s">
        <v>1842</v>
      </c>
      <c r="D1" s="60" t="s">
        <v>43</v>
      </c>
      <c r="E1" s="60" t="s">
        <v>1843</v>
      </c>
      <c r="F1" s="60" t="s">
        <v>1844</v>
      </c>
      <c r="G1" s="60" t="s">
        <v>1845</v>
      </c>
      <c r="H1" s="60" t="s">
        <v>1846</v>
      </c>
      <c r="I1" s="60" t="s">
        <v>1611</v>
      </c>
      <c r="J1" s="60" t="s">
        <v>1847</v>
      </c>
      <c r="K1" s="60" t="s">
        <v>1612</v>
      </c>
      <c r="M1" t="s">
        <v>1848</v>
      </c>
      <c r="O1" s="60" t="s">
        <v>1849</v>
      </c>
      <c r="P1" s="60" t="s">
        <v>935</v>
      </c>
      <c r="Q1" s="60" t="s">
        <v>1850</v>
      </c>
      <c r="R1" s="60" t="s">
        <v>1851</v>
      </c>
      <c r="S1" s="60" t="s">
        <v>1852</v>
      </c>
      <c r="T1" s="60" t="s">
        <v>1475</v>
      </c>
      <c r="U1" s="60" t="s">
        <v>1853</v>
      </c>
      <c r="V1" s="60" t="s">
        <v>1854</v>
      </c>
      <c r="W1" s="60" t="s">
        <v>1855</v>
      </c>
      <c r="X1" s="60" t="s">
        <v>1856</v>
      </c>
      <c r="Y1" s="60" t="s">
        <v>1615</v>
      </c>
      <c r="Z1" s="60" t="s">
        <v>1471</v>
      </c>
      <c r="AA1" s="60" t="s">
        <v>1107</v>
      </c>
    </row>
    <row r="2" spans="1:27" x14ac:dyDescent="0.3">
      <c r="A2" t="s">
        <v>76</v>
      </c>
      <c r="B2" t="s">
        <v>146</v>
      </c>
      <c r="C2" t="s">
        <v>148</v>
      </c>
      <c r="D2" t="s">
        <v>142</v>
      </c>
      <c r="E2" t="s">
        <v>160</v>
      </c>
      <c r="F2" t="s">
        <v>152</v>
      </c>
      <c r="G2" t="s">
        <v>1111</v>
      </c>
      <c r="H2" t="s">
        <v>76</v>
      </c>
      <c r="I2" t="s">
        <v>1625</v>
      </c>
      <c r="J2" t="s">
        <v>68</v>
      </c>
      <c r="K2" t="s">
        <v>1857</v>
      </c>
      <c r="M2" s="61">
        <v>46307</v>
      </c>
      <c r="O2" s="62">
        <v>0</v>
      </c>
      <c r="P2" t="s">
        <v>143</v>
      </c>
      <c r="Q2" t="s">
        <v>160</v>
      </c>
      <c r="R2" t="s">
        <v>1858</v>
      </c>
      <c r="S2" s="61">
        <v>46296</v>
      </c>
      <c r="T2" t="s">
        <v>1482</v>
      </c>
      <c r="U2" t="s">
        <v>1236</v>
      </c>
      <c r="V2" t="s">
        <v>1145</v>
      </c>
      <c r="W2" t="s">
        <v>1859</v>
      </c>
      <c r="X2" t="s">
        <v>1860</v>
      </c>
      <c r="Y2" t="s">
        <v>1861</v>
      </c>
      <c r="Z2" t="s">
        <v>1478</v>
      </c>
      <c r="AA2" t="s">
        <v>1113</v>
      </c>
    </row>
    <row r="3" spans="1:27" x14ac:dyDescent="0.3">
      <c r="A3" t="s">
        <v>79</v>
      </c>
      <c r="B3" t="s">
        <v>8</v>
      </c>
      <c r="C3" t="s">
        <v>746</v>
      </c>
      <c r="D3" t="s">
        <v>269</v>
      </c>
      <c r="E3" t="s">
        <v>77</v>
      </c>
      <c r="F3" t="s">
        <v>1109</v>
      </c>
      <c r="G3" t="s">
        <v>1109</v>
      </c>
      <c r="H3" t="s">
        <v>79</v>
      </c>
      <c r="I3" t="s">
        <v>1619</v>
      </c>
      <c r="J3" t="s">
        <v>1862</v>
      </c>
      <c r="K3" t="s">
        <v>1626</v>
      </c>
      <c r="O3" s="62">
        <v>0.1</v>
      </c>
      <c r="P3" t="s">
        <v>154</v>
      </c>
      <c r="Q3" t="s">
        <v>1863</v>
      </c>
      <c r="R3" t="s">
        <v>1864</v>
      </c>
      <c r="S3" s="61">
        <v>46297</v>
      </c>
      <c r="T3" t="s">
        <v>1865</v>
      </c>
      <c r="U3" t="s">
        <v>8</v>
      </c>
      <c r="V3" t="s">
        <v>1237</v>
      </c>
      <c r="W3" t="s">
        <v>1866</v>
      </c>
      <c r="X3" t="s">
        <v>1867</v>
      </c>
      <c r="Y3" t="s">
        <v>1868</v>
      </c>
      <c r="Z3" t="s">
        <v>1494</v>
      </c>
      <c r="AA3" t="s">
        <v>1114</v>
      </c>
    </row>
    <row r="4" spans="1:27" x14ac:dyDescent="0.3">
      <c r="A4" t="s">
        <v>48</v>
      </c>
      <c r="B4" t="s">
        <v>9</v>
      </c>
      <c r="C4" t="s">
        <v>839</v>
      </c>
      <c r="D4" t="s">
        <v>410</v>
      </c>
      <c r="E4" t="s">
        <v>80</v>
      </c>
      <c r="F4" t="s">
        <v>1110</v>
      </c>
      <c r="G4" t="s">
        <v>1110</v>
      </c>
      <c r="H4" t="s">
        <v>47</v>
      </c>
      <c r="I4" t="s">
        <v>1640</v>
      </c>
      <c r="J4" t="s">
        <v>1869</v>
      </c>
      <c r="K4" t="s">
        <v>1620</v>
      </c>
      <c r="O4" s="62">
        <v>0.2</v>
      </c>
      <c r="P4" t="s">
        <v>162</v>
      </c>
      <c r="Q4" t="s">
        <v>1870</v>
      </c>
      <c r="R4" t="s">
        <v>1871</v>
      </c>
      <c r="S4" s="61">
        <v>46298</v>
      </c>
      <c r="T4" t="s">
        <v>1629</v>
      </c>
      <c r="U4" t="s">
        <v>9</v>
      </c>
      <c r="V4" t="s">
        <v>1253</v>
      </c>
      <c r="W4" t="s">
        <v>1872</v>
      </c>
      <c r="X4" t="s">
        <v>1873</v>
      </c>
      <c r="Y4" t="s">
        <v>1874</v>
      </c>
      <c r="Z4" t="s">
        <v>1503</v>
      </c>
      <c r="AA4" t="s">
        <v>1115</v>
      </c>
    </row>
    <row r="5" spans="1:27" x14ac:dyDescent="0.3">
      <c r="A5" t="s">
        <v>83</v>
      </c>
      <c r="C5" t="s">
        <v>540</v>
      </c>
      <c r="D5" t="s">
        <v>524</v>
      </c>
      <c r="E5" t="s">
        <v>82</v>
      </c>
      <c r="F5" t="s">
        <v>1875</v>
      </c>
      <c r="G5" t="s">
        <v>48</v>
      </c>
      <c r="H5" t="s">
        <v>1876</v>
      </c>
      <c r="I5" t="s">
        <v>1877</v>
      </c>
      <c r="J5" t="s">
        <v>1878</v>
      </c>
      <c r="K5" t="s">
        <v>1879</v>
      </c>
      <c r="O5" s="62">
        <v>0.3</v>
      </c>
      <c r="P5" t="s">
        <v>169</v>
      </c>
      <c r="Q5" t="s">
        <v>1880</v>
      </c>
      <c r="R5" t="s">
        <v>1881</v>
      </c>
      <c r="S5" s="61">
        <v>46299</v>
      </c>
      <c r="T5" t="s">
        <v>1882</v>
      </c>
      <c r="U5" t="s">
        <v>10</v>
      </c>
      <c r="V5" t="s">
        <v>1152</v>
      </c>
      <c r="W5" t="s">
        <v>1883</v>
      </c>
      <c r="X5" t="s">
        <v>1884</v>
      </c>
      <c r="Y5" t="s">
        <v>1885</v>
      </c>
      <c r="Z5" t="s">
        <v>1510</v>
      </c>
      <c r="AA5" t="s">
        <v>1116</v>
      </c>
    </row>
    <row r="6" spans="1:27" x14ac:dyDescent="0.3">
      <c r="A6" t="s">
        <v>85</v>
      </c>
      <c r="D6" t="s">
        <v>609</v>
      </c>
      <c r="E6" t="s">
        <v>84</v>
      </c>
      <c r="F6" t="s">
        <v>1886</v>
      </c>
      <c r="G6" t="s">
        <v>1886</v>
      </c>
      <c r="H6" t="s">
        <v>1886</v>
      </c>
      <c r="J6" t="s">
        <v>1887</v>
      </c>
      <c r="O6" s="62">
        <v>0.4</v>
      </c>
      <c r="P6" t="s">
        <v>176</v>
      </c>
      <c r="Q6" t="s">
        <v>1888</v>
      </c>
      <c r="R6" t="s">
        <v>1889</v>
      </c>
      <c r="S6" s="61">
        <v>46300</v>
      </c>
      <c r="T6" t="s">
        <v>1890</v>
      </c>
      <c r="U6" t="s">
        <v>11</v>
      </c>
      <c r="V6" t="s">
        <v>1296</v>
      </c>
      <c r="W6" t="s">
        <v>1891</v>
      </c>
      <c r="X6" t="s">
        <v>1892</v>
      </c>
      <c r="Y6" t="s">
        <v>1893</v>
      </c>
      <c r="Z6" t="s">
        <v>1518</v>
      </c>
      <c r="AA6" t="s">
        <v>1117</v>
      </c>
    </row>
    <row r="7" spans="1:27" x14ac:dyDescent="0.3">
      <c r="A7" t="s">
        <v>67</v>
      </c>
      <c r="D7" t="s">
        <v>742</v>
      </c>
      <c r="E7" t="s">
        <v>86</v>
      </c>
      <c r="O7" s="62">
        <v>0.5</v>
      </c>
      <c r="P7" t="s">
        <v>183</v>
      </c>
      <c r="Q7" t="s">
        <v>1894</v>
      </c>
      <c r="R7" t="s">
        <v>1895</v>
      </c>
      <c r="S7" s="61">
        <v>46301</v>
      </c>
      <c r="U7" t="s">
        <v>12</v>
      </c>
      <c r="V7" t="s">
        <v>1334</v>
      </c>
      <c r="W7" t="s">
        <v>1896</v>
      </c>
      <c r="Z7" t="s">
        <v>1539</v>
      </c>
      <c r="AA7" t="s">
        <v>1118</v>
      </c>
    </row>
    <row r="8" spans="1:27" x14ac:dyDescent="0.3">
      <c r="O8" s="62">
        <v>0.6</v>
      </c>
      <c r="P8" t="s">
        <v>190</v>
      </c>
      <c r="Q8" t="s">
        <v>1897</v>
      </c>
      <c r="R8" t="s">
        <v>1898</v>
      </c>
      <c r="S8" s="61">
        <v>46302</v>
      </c>
      <c r="U8" t="s">
        <v>13</v>
      </c>
      <c r="V8" t="s">
        <v>1375</v>
      </c>
      <c r="Z8" t="s">
        <v>1548</v>
      </c>
      <c r="AA8" t="s">
        <v>1119</v>
      </c>
    </row>
    <row r="9" spans="1:27" x14ac:dyDescent="0.3">
      <c r="O9" s="62">
        <v>0.7</v>
      </c>
      <c r="P9" t="s">
        <v>197</v>
      </c>
      <c r="Q9" t="s">
        <v>1899</v>
      </c>
      <c r="S9" s="61">
        <v>46303</v>
      </c>
      <c r="V9" t="s">
        <v>1451</v>
      </c>
      <c r="Z9" t="s">
        <v>1563</v>
      </c>
      <c r="AA9" t="s">
        <v>1120</v>
      </c>
    </row>
    <row r="10" spans="1:27" x14ac:dyDescent="0.3">
      <c r="O10" s="62">
        <v>0.8</v>
      </c>
      <c r="P10" t="s">
        <v>204</v>
      </c>
      <c r="Q10" t="s">
        <v>1900</v>
      </c>
      <c r="S10" s="61">
        <v>46304</v>
      </c>
      <c r="V10" t="s">
        <v>1454</v>
      </c>
      <c r="Z10" t="s">
        <v>1570</v>
      </c>
      <c r="AA10" t="s">
        <v>1121</v>
      </c>
    </row>
    <row r="11" spans="1:27" x14ac:dyDescent="0.3">
      <c r="O11" s="62">
        <v>0.9</v>
      </c>
      <c r="P11" t="s">
        <v>211</v>
      </c>
      <c r="Q11" t="s">
        <v>1901</v>
      </c>
      <c r="S11" s="61">
        <v>46305</v>
      </c>
      <c r="V11" t="s">
        <v>1457</v>
      </c>
      <c r="AA11" t="s">
        <v>1122</v>
      </c>
    </row>
    <row r="12" spans="1:27" x14ac:dyDescent="0.3">
      <c r="O12" s="62">
        <v>1</v>
      </c>
      <c r="P12" t="s">
        <v>218</v>
      </c>
      <c r="Q12" t="s">
        <v>1902</v>
      </c>
      <c r="S12" s="61">
        <v>46306</v>
      </c>
      <c r="V12" t="s">
        <v>1460</v>
      </c>
      <c r="AA12" t="s">
        <v>1123</v>
      </c>
    </row>
    <row r="13" spans="1:27" x14ac:dyDescent="0.3">
      <c r="P13" t="s">
        <v>226</v>
      </c>
      <c r="S13" s="61">
        <v>46307</v>
      </c>
      <c r="V13" t="s">
        <v>1463</v>
      </c>
      <c r="AA13" t="s">
        <v>1124</v>
      </c>
    </row>
    <row r="14" spans="1:27" x14ac:dyDescent="0.3">
      <c r="P14" t="s">
        <v>233</v>
      </c>
      <c r="S14" s="61">
        <v>46308</v>
      </c>
      <c r="V14" t="s">
        <v>1466</v>
      </c>
      <c r="AA14" t="s">
        <v>626</v>
      </c>
    </row>
    <row r="15" spans="1:27" x14ac:dyDescent="0.3">
      <c r="P15" t="s">
        <v>240</v>
      </c>
      <c r="S15" s="61">
        <v>46309</v>
      </c>
      <c r="AA15" t="s">
        <v>1125</v>
      </c>
    </row>
    <row r="16" spans="1:27" x14ac:dyDescent="0.3">
      <c r="P16" t="s">
        <v>247</v>
      </c>
      <c r="S16" s="61">
        <v>46310</v>
      </c>
      <c r="AA16" t="s">
        <v>1126</v>
      </c>
    </row>
    <row r="17" spans="16:27" x14ac:dyDescent="0.3">
      <c r="P17" t="s">
        <v>254</v>
      </c>
      <c r="S17" s="61">
        <v>46311</v>
      </c>
      <c r="AA17" t="s">
        <v>1127</v>
      </c>
    </row>
    <row r="18" spans="16:27" x14ac:dyDescent="0.3">
      <c r="P18" t="s">
        <v>261</v>
      </c>
      <c r="S18" s="61">
        <v>46312</v>
      </c>
      <c r="AA18" t="s">
        <v>1128</v>
      </c>
    </row>
    <row r="19" spans="16:27" x14ac:dyDescent="0.3">
      <c r="P19" t="s">
        <v>270</v>
      </c>
      <c r="S19" s="61">
        <v>46313</v>
      </c>
      <c r="AA19" t="s">
        <v>811</v>
      </c>
    </row>
    <row r="20" spans="16:27" x14ac:dyDescent="0.3">
      <c r="P20" t="s">
        <v>278</v>
      </c>
      <c r="S20" s="61">
        <v>46314</v>
      </c>
      <c r="AA20" t="s">
        <v>682</v>
      </c>
    </row>
    <row r="21" spans="16:27" x14ac:dyDescent="0.3">
      <c r="P21" t="s">
        <v>285</v>
      </c>
      <c r="S21" s="61">
        <v>46315</v>
      </c>
      <c r="AA21" t="s">
        <v>1129</v>
      </c>
    </row>
    <row r="22" spans="16:27" x14ac:dyDescent="0.3">
      <c r="P22" t="s">
        <v>316</v>
      </c>
      <c r="S22" s="61">
        <v>46316</v>
      </c>
      <c r="AA22" t="s">
        <v>1130</v>
      </c>
    </row>
    <row r="23" spans="16:27" x14ac:dyDescent="0.3">
      <c r="P23" t="s">
        <v>324</v>
      </c>
      <c r="S23" s="61">
        <v>46317</v>
      </c>
      <c r="AA23" t="s">
        <v>1131</v>
      </c>
    </row>
    <row r="24" spans="16:27" x14ac:dyDescent="0.3">
      <c r="P24" t="s">
        <v>367</v>
      </c>
      <c r="S24" s="61">
        <v>46318</v>
      </c>
    </row>
    <row r="25" spans="16:27" x14ac:dyDescent="0.3">
      <c r="P25" t="s">
        <v>388</v>
      </c>
      <c r="S25" s="61">
        <v>46319</v>
      </c>
    </row>
    <row r="26" spans="16:27" x14ac:dyDescent="0.3">
      <c r="P26" t="s">
        <v>396</v>
      </c>
      <c r="S26" s="61">
        <v>46320</v>
      </c>
    </row>
    <row r="27" spans="16:27" x14ac:dyDescent="0.3">
      <c r="P27" t="s">
        <v>411</v>
      </c>
      <c r="S27" s="61">
        <v>46321</v>
      </c>
    </row>
    <row r="28" spans="16:27" x14ac:dyDescent="0.3">
      <c r="P28" t="s">
        <v>418</v>
      </c>
      <c r="S28" s="61">
        <v>46322</v>
      </c>
    </row>
    <row r="29" spans="16:27" x14ac:dyDescent="0.3">
      <c r="P29" t="s">
        <v>426</v>
      </c>
      <c r="S29" s="61">
        <v>46323</v>
      </c>
    </row>
    <row r="30" spans="16:27" x14ac:dyDescent="0.3">
      <c r="P30" t="s">
        <v>434</v>
      </c>
      <c r="S30" s="61">
        <v>46324</v>
      </c>
    </row>
    <row r="31" spans="16:27" x14ac:dyDescent="0.3">
      <c r="P31" t="s">
        <v>461</v>
      </c>
      <c r="S31" s="61">
        <v>46325</v>
      </c>
    </row>
    <row r="32" spans="16:27" x14ac:dyDescent="0.3">
      <c r="P32" t="s">
        <v>468</v>
      </c>
      <c r="S32" s="61">
        <v>46326</v>
      </c>
    </row>
    <row r="33" spans="16:19" x14ac:dyDescent="0.3">
      <c r="P33" t="s">
        <v>475</v>
      </c>
      <c r="S33" s="61">
        <v>46327</v>
      </c>
    </row>
    <row r="34" spans="16:19" x14ac:dyDescent="0.3">
      <c r="P34" t="s">
        <v>482</v>
      </c>
      <c r="S34" s="61">
        <v>46328</v>
      </c>
    </row>
    <row r="35" spans="16:19" x14ac:dyDescent="0.3">
      <c r="P35" t="s">
        <v>489</v>
      </c>
      <c r="S35" s="61">
        <v>46329</v>
      </c>
    </row>
    <row r="36" spans="16:19" x14ac:dyDescent="0.3">
      <c r="P36" t="s">
        <v>496</v>
      </c>
      <c r="S36" s="61">
        <v>46330</v>
      </c>
    </row>
    <row r="37" spans="16:19" x14ac:dyDescent="0.3">
      <c r="P37" t="s">
        <v>502</v>
      </c>
      <c r="S37" s="61">
        <v>46331</v>
      </c>
    </row>
    <row r="38" spans="16:19" x14ac:dyDescent="0.3">
      <c r="P38" t="s">
        <v>509</v>
      </c>
      <c r="S38" s="61">
        <v>46332</v>
      </c>
    </row>
    <row r="39" spans="16:19" x14ac:dyDescent="0.3">
      <c r="P39" t="s">
        <v>525</v>
      </c>
      <c r="S39" s="61">
        <v>46333</v>
      </c>
    </row>
    <row r="40" spans="16:19" x14ac:dyDescent="0.3">
      <c r="P40" t="s">
        <v>82</v>
      </c>
      <c r="S40" s="61">
        <v>46334</v>
      </c>
    </row>
    <row r="41" spans="16:19" x14ac:dyDescent="0.3">
      <c r="P41" t="s">
        <v>545</v>
      </c>
      <c r="S41" s="61">
        <v>46335</v>
      </c>
    </row>
    <row r="42" spans="16:19" x14ac:dyDescent="0.3">
      <c r="P42" t="s">
        <v>553</v>
      </c>
      <c r="S42" s="61">
        <v>46336</v>
      </c>
    </row>
    <row r="43" spans="16:19" x14ac:dyDescent="0.3">
      <c r="P43" t="s">
        <v>560</v>
      </c>
      <c r="S43" s="61">
        <v>46337</v>
      </c>
    </row>
    <row r="44" spans="16:19" x14ac:dyDescent="0.3">
      <c r="P44" t="s">
        <v>573</v>
      </c>
      <c r="S44" s="61">
        <v>46338</v>
      </c>
    </row>
    <row r="45" spans="16:19" x14ac:dyDescent="0.3">
      <c r="P45" t="s">
        <v>580</v>
      </c>
      <c r="S45" s="61">
        <v>46339</v>
      </c>
    </row>
    <row r="46" spans="16:19" x14ac:dyDescent="0.3">
      <c r="P46" t="s">
        <v>587</v>
      </c>
      <c r="S46" s="61">
        <v>46340</v>
      </c>
    </row>
    <row r="47" spans="16:19" x14ac:dyDescent="0.3">
      <c r="P47" t="s">
        <v>594</v>
      </c>
      <c r="S47" s="61">
        <v>46341</v>
      </c>
    </row>
    <row r="48" spans="16:19" x14ac:dyDescent="0.3">
      <c r="P48" t="s">
        <v>77</v>
      </c>
      <c r="S48" s="61">
        <v>46342</v>
      </c>
    </row>
    <row r="49" spans="16:19" x14ac:dyDescent="0.3">
      <c r="P49" t="s">
        <v>620</v>
      </c>
      <c r="S49" s="61">
        <v>46343</v>
      </c>
    </row>
    <row r="50" spans="16:19" x14ac:dyDescent="0.3">
      <c r="P50" t="s">
        <v>626</v>
      </c>
      <c r="S50" s="61">
        <v>46344</v>
      </c>
    </row>
    <row r="51" spans="16:19" x14ac:dyDescent="0.3">
      <c r="P51" t="s">
        <v>647</v>
      </c>
      <c r="S51" s="61">
        <v>46345</v>
      </c>
    </row>
    <row r="52" spans="16:19" x14ac:dyDescent="0.3">
      <c r="P52" t="s">
        <v>674</v>
      </c>
      <c r="S52" s="61">
        <v>46346</v>
      </c>
    </row>
    <row r="53" spans="16:19" x14ac:dyDescent="0.3">
      <c r="P53" t="s">
        <v>682</v>
      </c>
      <c r="S53" s="61">
        <v>46347</v>
      </c>
    </row>
    <row r="54" spans="16:19" x14ac:dyDescent="0.3">
      <c r="P54" t="s">
        <v>689</v>
      </c>
      <c r="S54" s="61">
        <v>46348</v>
      </c>
    </row>
    <row r="55" spans="16:19" x14ac:dyDescent="0.3">
      <c r="P55" t="s">
        <v>714</v>
      </c>
      <c r="S55" s="61">
        <v>46349</v>
      </c>
    </row>
    <row r="56" spans="16:19" x14ac:dyDescent="0.3">
      <c r="P56" t="s">
        <v>722</v>
      </c>
      <c r="S56" s="61">
        <v>46350</v>
      </c>
    </row>
    <row r="57" spans="16:19" x14ac:dyDescent="0.3">
      <c r="P57" t="s">
        <v>735</v>
      </c>
      <c r="S57" s="61">
        <v>46351</v>
      </c>
    </row>
    <row r="58" spans="16:19" x14ac:dyDescent="0.3">
      <c r="P58" t="s">
        <v>743</v>
      </c>
      <c r="S58" s="61">
        <v>46352</v>
      </c>
    </row>
    <row r="59" spans="16:19" x14ac:dyDescent="0.3">
      <c r="P59" t="s">
        <v>756</v>
      </c>
      <c r="S59" s="61">
        <v>46353</v>
      </c>
    </row>
    <row r="60" spans="16:19" x14ac:dyDescent="0.3">
      <c r="P60" t="s">
        <v>763</v>
      </c>
      <c r="S60" s="61">
        <v>46354</v>
      </c>
    </row>
    <row r="61" spans="16:19" x14ac:dyDescent="0.3">
      <c r="P61" t="s">
        <v>770</v>
      </c>
      <c r="S61" s="61">
        <v>46355</v>
      </c>
    </row>
    <row r="62" spans="16:19" x14ac:dyDescent="0.3">
      <c r="P62" t="s">
        <v>777</v>
      </c>
      <c r="S62" s="61">
        <v>46356</v>
      </c>
    </row>
    <row r="63" spans="16:19" x14ac:dyDescent="0.3">
      <c r="P63" t="s">
        <v>784</v>
      </c>
    </row>
    <row r="64" spans="16:19" x14ac:dyDescent="0.3">
      <c r="P64" t="s">
        <v>792</v>
      </c>
    </row>
    <row r="65" spans="16:16" x14ac:dyDescent="0.3">
      <c r="P65" t="s">
        <v>811</v>
      </c>
    </row>
    <row r="66" spans="16:16" x14ac:dyDescent="0.3">
      <c r="P66" t="s">
        <v>819</v>
      </c>
    </row>
    <row r="67" spans="16:16" x14ac:dyDescent="0.3">
      <c r="P67" t="s">
        <v>85</v>
      </c>
    </row>
    <row r="68" spans="16:16" x14ac:dyDescent="0.3">
      <c r="P68" t="s">
        <v>849</v>
      </c>
    </row>
    <row r="69" spans="16:16" x14ac:dyDescent="0.3">
      <c r="P69" t="s">
        <v>855</v>
      </c>
    </row>
    <row r="70" spans="16:16" x14ac:dyDescent="0.3">
      <c r="P70" t="s">
        <v>861</v>
      </c>
    </row>
    <row r="71" spans="16:16" x14ac:dyDescent="0.3">
      <c r="P71" t="s">
        <v>873</v>
      </c>
    </row>
    <row r="72" spans="16:16" x14ac:dyDescent="0.3">
      <c r="P72" t="s">
        <v>881</v>
      </c>
    </row>
  </sheetData>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Executive Dashboard</vt:lpstr>
      <vt:lpstr>Master Tracker</vt:lpstr>
      <vt:lpstr>P1 Theme Foundation</vt:lpstr>
      <vt:lpstr>P2 Homepage &amp; Sections</vt:lpstr>
      <vt:lpstr>P3 Editorial Templates</vt:lpstr>
      <vt:lpstr>P4 Issues Archive</vt:lpstr>
      <vt:lpstr>P5 Auth Subs AdOps</vt:lpstr>
      <vt:lpstr>P6 Cleanup &amp; Cutover</vt:lpstr>
      <vt:lpstr>QA &amp; Testing</vt:lpstr>
      <vt:lpstr>Deployment &amp; Rollback</vt:lpstr>
      <vt:lpstr>Risks &amp; Blockers</vt:lpstr>
      <vt:lpstr>Requirement Map</vt:lpstr>
      <vt:lpstr>Lists</vt:lpstr>
      <vt:lpstr>Deadline</vt:lpstr>
      <vt:lpstr>ProjectStart</vt:lpstr>
      <vt:lpstr>StatusDate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Donia  Al Hossin</cp:lastModifiedBy>
  <dcterms:created xsi:type="dcterms:W3CDTF">2026-10-11T13:02:56Z</dcterms:created>
  <dcterms:modified xsi:type="dcterms:W3CDTF">2026-10-11T15:13:27Z</dcterms:modified>
</cp:coreProperties>
</file>