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tables/table4.xml" ContentType="application/vnd.openxmlformats-officedocument.spreadsheetml.table+xml"/>
  <Override PartName="/xl/worksheets/sheet12.xml" ContentType="application/vnd.openxmlformats-officedocument.spreadsheetml.worksheet+xml"/>
  <Override PartName="/xl/tables/table5.xml" ContentType="application/vnd.openxmlformats-officedocument.spreadsheetml.table+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Master Tracker" sheetId="2" state="visible" r:id="rId2"/>
    <sheet xmlns:r="http://schemas.openxmlformats.org/officeDocument/2006/relationships" name="P1 Theme Foundation" sheetId="3" state="visible" r:id="rId3"/>
    <sheet xmlns:r="http://schemas.openxmlformats.org/officeDocument/2006/relationships" name="P2 Homepage &amp; Sections" sheetId="4" state="visible" r:id="rId4"/>
    <sheet xmlns:r="http://schemas.openxmlformats.org/officeDocument/2006/relationships" name="P3 Editorial Templates" sheetId="5" state="visible" r:id="rId5"/>
    <sheet xmlns:r="http://schemas.openxmlformats.org/officeDocument/2006/relationships" name="P4 Issues Archive" sheetId="6" state="visible" r:id="rId6"/>
    <sheet xmlns:r="http://schemas.openxmlformats.org/officeDocument/2006/relationships" name="P5 Auth Subs AdOps" sheetId="7" state="visible" r:id="rId7"/>
    <sheet xmlns:r="http://schemas.openxmlformats.org/officeDocument/2006/relationships" name="P6 Cleanup &amp; Cutover" sheetId="8" state="visible" r:id="rId8"/>
    <sheet xmlns:r="http://schemas.openxmlformats.org/officeDocument/2006/relationships" name="QA &amp; Testing" sheetId="9" state="visible" r:id="rId9"/>
    <sheet xmlns:r="http://schemas.openxmlformats.org/officeDocument/2006/relationships" name="Deployment &amp; Rollback" sheetId="10" state="visible" r:id="rId10"/>
    <sheet xmlns:r="http://schemas.openxmlformats.org/officeDocument/2006/relationships" name="Risks &amp; Blockers" sheetId="11" state="visible" r:id="rId11"/>
    <sheet xmlns:r="http://schemas.openxmlformats.org/officeDocument/2006/relationships" name="Requirement Map" sheetId="12" state="visible" r:id="rId12"/>
    <sheet xmlns:r="http://schemas.openxmlformats.org/officeDocument/2006/relationships" name="Lists" sheetId="13" state="hidden" r:id="rId13"/>
  </sheets>
  <definedNames>
    <definedName name="StatusDate">'Executive Dashboard'!$H$7</definedName>
    <definedName name="Deadline">'Executive Dashboard'!$N$7</definedName>
    <definedName name="ProjectStart">Lists!$M$2</definedName>
  </definedNames>
  <calcPr calcId="124519" fullCalcOnLoad="1"/>
</workbook>
</file>

<file path=xl/styles.xml><?xml version="1.0" encoding="utf-8"?>
<styleSheet xmlns="http://schemas.openxmlformats.org/spreadsheetml/2006/main">
  <numFmts count="10">
    <numFmt numFmtId="164" formatCode="yyyy-mm-dd"/>
    <numFmt numFmtId="165" formatCode="dd mmm yyyy"/>
    <numFmt numFmtId="166" formatCode="ddd dd mmm yyyy"/>
    <numFmt numFmtId="167" formatCode="0.0%"/>
    <numFmt numFmtId="168" formatCode="+0.0%;-0.0%;0.0%"/>
    <numFmt numFmtId="169" formatCode="dd mmm"/>
    <numFmt numFmtId="170" formatCode="dd mmm yy"/>
    <numFmt numFmtId="171" formatCode="0%;-0%;;@"/>
    <numFmt numFmtId="172" formatCode="0%;-0%;0%"/>
    <numFmt numFmtId="173" formatCode="dd mmm hh:mm"/>
  </numFmts>
  <fonts count="38">
    <font>
      <name val="Calibri"/>
      <family val="2"/>
      <color theme="1"/>
      <sz val="11"/>
      <scheme val="minor"/>
    </font>
    <font>
      <name val="Arial"/>
      <b val="1"/>
      <color rgb="001F2937"/>
      <sz val="10"/>
    </font>
    <font>
      <name val="Arial"/>
      <b val="1"/>
      <color rgb="00FFFFFF"/>
      <sz val="16"/>
    </font>
    <font>
      <name val="Arial"/>
      <color rgb="00A7F3D0"/>
      <sz val="10"/>
    </font>
    <font>
      <name val="Arial"/>
      <b val="1"/>
      <color rgb="006B7280"/>
      <sz val="9"/>
    </font>
    <font>
      <name val="Arial"/>
      <b val="1"/>
      <color rgb="00B91C1C"/>
      <sz val="9"/>
      <u val="single"/>
    </font>
    <font>
      <name val="Arial"/>
      <b val="1"/>
      <color rgb="00047857"/>
      <sz val="9"/>
      <u val="single"/>
    </font>
    <font>
      <name val="Arial"/>
      <b val="1"/>
      <color rgb="00047857"/>
      <sz val="10"/>
      <u val="single"/>
    </font>
    <font>
      <name val="Arial"/>
      <b val="1"/>
      <color rgb="00FFFFFF"/>
      <sz val="11"/>
    </font>
    <font>
      <name val="Arial"/>
      <b val="1"/>
      <color rgb="00374151"/>
      <sz val="9"/>
    </font>
    <font>
      <name val="Arial"/>
      <b val="1"/>
      <color rgb="000F1B2D"/>
      <sz val="11"/>
    </font>
    <font>
      <name val="Arial"/>
      <b val="1"/>
      <color rgb="006B7280"/>
      <sz val="8"/>
    </font>
    <font>
      <name val="Arial"/>
      <b val="1"/>
      <color rgb="000F1B2D"/>
      <sz val="22"/>
    </font>
    <font>
      <name val="Arial"/>
      <i val="1"/>
      <color rgb="009CA3AF"/>
      <sz val="8"/>
    </font>
    <font>
      <name val="Arial"/>
      <b val="1"/>
      <color rgb="00047857"/>
      <sz val="10"/>
    </font>
    <font>
      <name val="Arial"/>
      <b val="1"/>
      <color rgb="000F1B2D"/>
      <sz val="20"/>
    </font>
    <font>
      <name val="Arial"/>
      <b val="1"/>
      <color rgb="00065F46"/>
      <sz val="20"/>
    </font>
    <font>
      <name val="Arial"/>
      <b val="1"/>
      <color rgb="001E40AF"/>
      <sz val="20"/>
    </font>
    <font>
      <name val="Arial"/>
      <b val="1"/>
      <color rgb="00374151"/>
      <sz val="20"/>
    </font>
    <font>
      <name val="Arial"/>
      <b val="1"/>
      <color rgb="0092400E"/>
      <sz val="20"/>
    </font>
    <font>
      <name val="Arial"/>
      <b val="1"/>
      <color rgb="00991B1B"/>
      <sz val="20"/>
    </font>
    <font>
      <name val="Arial"/>
      <b val="1"/>
      <color rgb="00FFFFFF"/>
      <sz val="9"/>
    </font>
    <font>
      <name val="Arial"/>
      <color rgb="001F2937"/>
      <sz val="9"/>
    </font>
    <font>
      <name val="Arial"/>
      <b val="1"/>
      <color rgb="000F1B2D"/>
      <sz val="10"/>
    </font>
    <font>
      <name val="Arial"/>
      <color rgb="00047857"/>
      <sz val="9"/>
    </font>
    <font>
      <name val="Arial"/>
      <b val="1"/>
      <color rgb="001F2937"/>
      <sz val="9"/>
    </font>
    <font>
      <name val="Arial"/>
      <b val="1"/>
      <color rgb="00991B1B"/>
      <sz val="9"/>
    </font>
    <font>
      <name val="Arial"/>
      <b val="1"/>
      <color rgb="001E40AF"/>
      <sz val="9"/>
    </font>
    <font>
      <name val="Arial"/>
      <b val="1"/>
      <color rgb="0092400E"/>
      <sz val="9"/>
    </font>
    <font>
      <name val="Arial"/>
      <b val="1"/>
      <color rgb="00065F46"/>
      <sz val="9"/>
    </font>
    <font>
      <name val="Arial"/>
      <b val="1"/>
      <i val="1"/>
      <color rgb="00047857"/>
      <sz val="9"/>
    </font>
    <font>
      <name val="Arial"/>
      <color rgb="00374151"/>
      <sz val="9"/>
    </font>
    <font>
      <name val="Arial"/>
      <color rgb="006B7280"/>
      <sz val="9"/>
    </font>
    <font>
      <name val="Arial"/>
      <color rgb="004B5563"/>
      <sz val="9"/>
    </font>
    <font>
      <name val="Arial"/>
      <b val="1"/>
      <color rgb="000F1B2D"/>
      <sz val="9"/>
    </font>
    <font>
      <name val="Arial"/>
      <b val="1"/>
      <color rgb="000F1B2D"/>
      <sz val="18"/>
    </font>
    <font>
      <name val="Arial"/>
      <b val="1"/>
      <color rgb="000F1B2D"/>
      <sz val="14"/>
    </font>
    <font>
      <name val="Arial"/>
      <color rgb="001F2937"/>
      <sz val="10"/>
    </font>
  </fonts>
  <fills count="17">
    <fill>
      <patternFill/>
    </fill>
    <fill>
      <patternFill patternType="gray125"/>
    </fill>
    <fill>
      <patternFill patternType="solid">
        <fgColor rgb="000F1B2D"/>
        <bgColor rgb="000F1B2D"/>
      </patternFill>
    </fill>
    <fill>
      <patternFill patternType="solid">
        <fgColor rgb="001F2937"/>
        <bgColor rgb="001F2937"/>
      </patternFill>
    </fill>
    <fill>
      <patternFill patternType="solid">
        <fgColor rgb="00D1FAE5"/>
        <bgColor rgb="00D1FAE5"/>
      </patternFill>
    </fill>
    <fill>
      <patternFill patternType="solid">
        <fgColor rgb="00047857"/>
        <bgColor rgb="00047857"/>
      </patternFill>
    </fill>
    <fill>
      <patternFill patternType="solid">
        <fgColor rgb="00F3F4F6"/>
        <bgColor rgb="00F3F4F6"/>
      </patternFill>
    </fill>
    <fill>
      <patternFill patternType="solid">
        <fgColor rgb="00FFFBEB"/>
        <bgColor rgb="00FFFBEB"/>
      </patternFill>
    </fill>
    <fill>
      <patternFill patternType="solid">
        <fgColor rgb="00ECFDF5"/>
        <bgColor rgb="00ECFDF5"/>
      </patternFill>
    </fill>
    <fill>
      <patternFill patternType="solid">
        <fgColor rgb="00FFFFFF"/>
        <bgColor rgb="00FFFFFF"/>
      </patternFill>
    </fill>
    <fill>
      <patternFill patternType="solid">
        <fgColor rgb="00FEF2F2"/>
        <bgColor rgb="00FEF2F2"/>
      </patternFill>
    </fill>
    <fill>
      <patternFill patternType="solid">
        <fgColor rgb="00E5E7EB"/>
        <bgColor rgb="00E5E7EB"/>
      </patternFill>
    </fill>
    <fill>
      <patternFill patternType="solid">
        <fgColor rgb="00DBEAFE"/>
        <bgColor rgb="00DBEAFE"/>
      </patternFill>
    </fill>
    <fill>
      <patternFill patternType="solid">
        <fgColor rgb="00FEE2E2"/>
        <bgColor rgb="00FEE2E2"/>
      </patternFill>
    </fill>
    <fill>
      <patternFill patternType="solid">
        <fgColor rgb="00FEF3C7"/>
        <bgColor rgb="00FEF3C7"/>
      </patternFill>
    </fill>
    <fill>
      <patternFill patternType="solid">
        <fgColor rgb="00C6F6D5"/>
        <bgColor rgb="00C6F6D5"/>
      </patternFill>
    </fill>
    <fill>
      <patternFill patternType="solid">
        <fgColor rgb="00374151"/>
        <bgColor rgb="00374151"/>
      </patternFill>
    </fill>
  </fills>
  <borders count="22">
    <border>
      <left/>
      <right/>
      <top/>
      <bottom/>
      <diagonal/>
    </border>
    <border>
      <left style="thin">
        <color rgb="00D1D5DB"/>
      </left>
      <right style="thin">
        <color rgb="00D1D5DB"/>
      </right>
      <top style="thin">
        <color rgb="00D1D5DB"/>
      </top>
      <bottom style="thin">
        <color rgb="00D1D5DB"/>
      </bottom>
    </border>
    <border>
      <left style="thin">
        <color rgb="00D1D5DB"/>
      </left>
      <top style="thick">
        <color rgb="0010B981"/>
      </top>
    </border>
    <border>
      <top style="thick">
        <color rgb="0010B981"/>
      </top>
    </border>
    <border>
      <right style="thin">
        <color rgb="00D1D5DB"/>
      </right>
      <top style="thick">
        <color rgb="0010B981"/>
      </top>
    </border>
    <border>
      <left style="thin">
        <color rgb="00D1D5DB"/>
      </left>
    </border>
    <border/>
    <border>
      <right style="thin">
        <color rgb="00D1D5DB"/>
      </right>
    </border>
    <border>
      <left style="thin">
        <color rgb="00D1D5DB"/>
      </left>
      <bottom style="thin">
        <color rgb="00D1D5DB"/>
      </bottom>
    </border>
    <border>
      <bottom style="thin">
        <color rgb="00D1D5DB"/>
      </bottom>
    </border>
    <border>
      <right style="thin">
        <color rgb="00D1D5DB"/>
      </right>
      <bottom style="thin">
        <color rgb="00D1D5DB"/>
      </bottom>
    </border>
    <border>
      <left style="thin">
        <color rgb="00FFFFFF"/>
      </left>
      <right style="thin">
        <color rgb="00FFFFFF"/>
      </right>
      <top style="thick">
        <color rgb="000F1B2D"/>
      </top>
    </border>
    <border>
      <left style="thin">
        <color rgb="00FFFFFF"/>
      </left>
      <right style="thin">
        <color rgb="00FFFFFF"/>
      </right>
    </border>
    <border>
      <left style="thin">
        <color rgb="00FFFFFF"/>
      </left>
      <right style="thin">
        <color rgb="00FFFFFF"/>
      </right>
      <top style="thick">
        <color rgb="00065F46"/>
      </top>
    </border>
    <border>
      <left style="thin">
        <color rgb="00FFFFFF"/>
      </left>
      <right style="thin">
        <color rgb="00FFFFFF"/>
      </right>
      <top style="thick">
        <color rgb="001E40AF"/>
      </top>
    </border>
    <border>
      <left style="thin">
        <color rgb="00FFFFFF"/>
      </left>
      <right style="thin">
        <color rgb="00FFFFFF"/>
      </right>
      <top style="thick">
        <color rgb="00374151"/>
      </top>
    </border>
    <border>
      <left style="thin">
        <color rgb="00FFFFFF"/>
      </left>
      <right style="thin">
        <color rgb="00FFFFFF"/>
      </right>
      <top style="thick">
        <color rgb="0092400E"/>
      </top>
    </border>
    <border>
      <left style="thin">
        <color rgb="00FFFFFF"/>
      </left>
      <right style="thin">
        <color rgb="00FFFFFF"/>
      </right>
      <top style="thick">
        <color rgb="00991B1B"/>
      </top>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s>
  <cellStyleXfs count="1">
    <xf numFmtId="0" fontId="0" fillId="0" borderId="0"/>
  </cellStyleXfs>
  <cellXfs count="126">
    <xf numFmtId="0" fontId="0" fillId="0" borderId="0" pivotButton="0" quotePrefix="0" xfId="0"/>
    <xf numFmtId="0" fontId="2" fillId="2" borderId="0" applyAlignment="1" pivotButton="0" quotePrefix="0" xfId="0">
      <alignment horizontal="left" vertical="center" wrapText="1"/>
    </xf>
    <xf numFmtId="0" fontId="0" fillId="2" borderId="0" pivotButton="0" quotePrefix="0" xfId="0"/>
    <xf numFmtId="0" fontId="3" fillId="3" borderId="0" applyAlignment="1" pivotButton="0" quotePrefix="0" xfId="0">
      <alignment horizontal="left" vertical="center" wrapText="1"/>
    </xf>
    <xf numFmtId="0" fontId="0" fillId="3"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4" borderId="1" applyAlignment="1" pivotButton="0" quotePrefix="0" xfId="0">
      <alignment horizontal="center" vertical="center" wrapText="1"/>
    </xf>
    <xf numFmtId="0" fontId="8" fillId="5" borderId="0" applyAlignment="1" pivotButton="0" quotePrefix="0" xfId="0">
      <alignment horizontal="left" vertical="center" wrapText="1"/>
    </xf>
    <xf numFmtId="0" fontId="0" fillId="5" borderId="0" pivotButton="0" quotePrefix="0" xfId="0"/>
    <xf numFmtId="0" fontId="9" fillId="6" borderId="1" applyAlignment="1" pivotButton="0" quotePrefix="0" xfId="0">
      <alignment horizontal="left" vertical="center" wrapText="1"/>
    </xf>
    <xf numFmtId="165" fontId="10" fillId="7" borderId="1" applyAlignment="1" pivotButton="0" quotePrefix="0" xfId="0">
      <alignment horizontal="center" vertical="center" wrapText="1"/>
    </xf>
    <xf numFmtId="166" fontId="10" fillId="8" borderId="1" applyAlignment="1" pivotButton="0" quotePrefix="0" xfId="0">
      <alignment horizontal="center" vertical="center" wrapText="1"/>
    </xf>
    <xf numFmtId="165" fontId="10" fillId="6" borderId="1" applyAlignment="1" pivotButton="0" quotePrefix="0" xfId="0">
      <alignment horizontal="center" vertical="center" wrapText="1"/>
    </xf>
    <xf numFmtId="0" fontId="11" fillId="9" borderId="2" applyAlignment="1" pivotButton="0" quotePrefix="0" xfId="0">
      <alignment horizontal="center" vertical="center" wrapText="1"/>
    </xf>
    <xf numFmtId="0" fontId="0" fillId="0" borderId="3" pivotButton="0" quotePrefix="0" xfId="0"/>
    <xf numFmtId="0" fontId="0" fillId="0" borderId="4" pivotButton="0" quotePrefix="0" xfId="0"/>
    <xf numFmtId="167" fontId="12" fillId="9" borderId="5" applyAlignment="1" pivotButton="0" quotePrefix="0" xfId="0">
      <alignment horizontal="center" vertical="center" wrapText="1"/>
    </xf>
    <xf numFmtId="0" fontId="0" fillId="0" borderId="6" pivotButton="0" quotePrefix="0" xfId="0"/>
    <xf numFmtId="0" fontId="0" fillId="0" borderId="7" pivotButton="0" quotePrefix="0" xfId="0"/>
    <xf numFmtId="168" fontId="12" fillId="9" borderId="5" applyAlignment="1" pivotButton="0" quotePrefix="0" xfId="0">
      <alignment horizontal="center" vertical="center" wrapText="1"/>
    </xf>
    <xf numFmtId="1" fontId="12" fillId="9" borderId="5" applyAlignment="1" pivotButton="0" quotePrefix="0" xfId="0">
      <alignment horizontal="center" vertical="center" wrapText="1"/>
    </xf>
    <xf numFmtId="49" fontId="12" fillId="9" borderId="5" applyAlignment="1" pivotButton="0" quotePrefix="0" xfId="0">
      <alignment horizontal="center" vertical="center" wrapText="1"/>
    </xf>
    <xf numFmtId="0" fontId="13" fillId="9" borderId="8" applyAlignment="1" pivotButton="0" quotePrefix="0" xfId="0">
      <alignment horizontal="center" vertical="center" wrapText="1"/>
    </xf>
    <xf numFmtId="0" fontId="0" fillId="0" borderId="9" pivotButton="0" quotePrefix="0" xfId="0"/>
    <xf numFmtId="0" fontId="0" fillId="0" borderId="10" pivotButton="0" quotePrefix="0" xfId="0"/>
    <xf numFmtId="0" fontId="14" fillId="6" borderId="0" applyAlignment="1" pivotButton="0" quotePrefix="0" xfId="0">
      <alignment horizontal="left" vertical="center" wrapText="1"/>
    </xf>
    <xf numFmtId="0" fontId="11" fillId="6" borderId="11" applyAlignment="1" pivotButton="0" quotePrefix="0" xfId="0">
      <alignment horizontal="center" vertical="center" wrapText="1"/>
    </xf>
    <xf numFmtId="0" fontId="0" fillId="0" borderId="11" pivotButton="0" quotePrefix="0" xfId="0"/>
    <xf numFmtId="0" fontId="11" fillId="6" borderId="13" applyAlignment="1" pivotButton="0" quotePrefix="0" xfId="0">
      <alignment horizontal="center" vertical="center" wrapText="1"/>
    </xf>
    <xf numFmtId="0" fontId="0" fillId="0" borderId="13" pivotButton="0" quotePrefix="0" xfId="0"/>
    <xf numFmtId="0" fontId="11" fillId="6" borderId="14" applyAlignment="1" pivotButton="0" quotePrefix="0" xfId="0">
      <alignment horizontal="center" vertical="center" wrapText="1"/>
    </xf>
    <xf numFmtId="0" fontId="0" fillId="0" borderId="14" pivotButton="0" quotePrefix="0" xfId="0"/>
    <xf numFmtId="0" fontId="11" fillId="6" borderId="15" applyAlignment="1" pivotButton="0" quotePrefix="0" xfId="0">
      <alignment horizontal="center" vertical="center" wrapText="1"/>
    </xf>
    <xf numFmtId="0" fontId="0" fillId="0" borderId="15" pivotButton="0" quotePrefix="0" xfId="0"/>
    <xf numFmtId="0" fontId="11" fillId="6" borderId="16" applyAlignment="1" pivotButton="0" quotePrefix="0" xfId="0">
      <alignment horizontal="center" vertical="center" wrapText="1"/>
    </xf>
    <xf numFmtId="0" fontId="0" fillId="0" borderId="16" pivotButton="0" quotePrefix="0" xfId="0"/>
    <xf numFmtId="0" fontId="11" fillId="6" borderId="17" applyAlignment="1" pivotButton="0" quotePrefix="0" xfId="0">
      <alignment horizontal="center" vertical="center" wrapText="1"/>
    </xf>
    <xf numFmtId="0" fontId="0" fillId="0" borderId="17" pivotButton="0" quotePrefix="0" xfId="0"/>
    <xf numFmtId="0" fontId="15" fillId="6" borderId="12" applyAlignment="1" pivotButton="0" quotePrefix="0" xfId="0">
      <alignment horizontal="center" vertical="center" wrapText="1"/>
    </xf>
    <xf numFmtId="0" fontId="0" fillId="0" borderId="12" pivotButton="0" quotePrefix="0" xfId="0"/>
    <xf numFmtId="0" fontId="16" fillId="6" borderId="12" applyAlignment="1" pivotButton="0" quotePrefix="0" xfId="0">
      <alignment horizontal="center" vertical="center" wrapText="1"/>
    </xf>
    <xf numFmtId="0" fontId="17" fillId="6" borderId="12" applyAlignment="1" pivotButton="0" quotePrefix="0" xfId="0">
      <alignment horizontal="center" vertical="center" wrapText="1"/>
    </xf>
    <xf numFmtId="0" fontId="18" fillId="6" borderId="12" applyAlignment="1" pivotButton="0" quotePrefix="0" xfId="0">
      <alignment horizontal="center" vertical="center" wrapText="1"/>
    </xf>
    <xf numFmtId="0" fontId="19" fillId="6" borderId="12" applyAlignment="1" pivotButton="0" quotePrefix="0" xfId="0">
      <alignment horizontal="center" vertical="center" wrapText="1"/>
    </xf>
    <xf numFmtId="0" fontId="20" fillId="6" borderId="12" applyAlignment="1" pivotButton="0" quotePrefix="0" xfId="0">
      <alignment horizontal="center" vertical="center" wrapText="1"/>
    </xf>
    <xf numFmtId="0" fontId="13" fillId="6" borderId="12" applyAlignment="1" pivotButton="0" quotePrefix="0" xfId="0">
      <alignment horizontal="center" vertical="center" wrapText="1"/>
    </xf>
    <xf numFmtId="0" fontId="21" fillId="3" borderId="1" applyAlignment="1" pivotButton="0" quotePrefix="0" xfId="0">
      <alignment horizontal="center" vertical="center" wrapText="1"/>
    </xf>
    <xf numFmtId="0" fontId="0" fillId="0" borderId="20" pivotButton="0" quotePrefix="0" xfId="0"/>
    <xf numFmtId="0" fontId="0" fillId="0" borderId="21" pivotButton="0" quotePrefix="0" xfId="0"/>
    <xf numFmtId="0" fontId="23" fillId="9" borderId="1" applyAlignment="1" pivotButton="0" quotePrefix="0" xfId="0">
      <alignment horizontal="center" vertical="center" wrapText="1"/>
    </xf>
    <xf numFmtId="0" fontId="7" fillId="9" borderId="1" applyAlignment="1" pivotButton="0" quotePrefix="0" xfId="0">
      <alignment horizontal="left" vertical="center" wrapText="1"/>
    </xf>
    <xf numFmtId="0" fontId="22" fillId="9" borderId="1" applyAlignment="1" pivotButton="0" quotePrefix="0" xfId="0">
      <alignment horizontal="center" vertical="center" wrapText="1"/>
    </xf>
    <xf numFmtId="9" fontId="22" fillId="9" borderId="1" applyAlignment="1" pivotButton="0" quotePrefix="0" xfId="0">
      <alignment horizontal="center" vertical="center" wrapText="1"/>
    </xf>
    <xf numFmtId="0" fontId="24" fillId="9" borderId="1" applyAlignment="1" pivotButton="0" quotePrefix="0" xfId="0">
      <alignment horizontal="left" vertical="center" wrapText="1"/>
    </xf>
    <xf numFmtId="0" fontId="23"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22" fillId="6" borderId="1" applyAlignment="1" pivotButton="0" quotePrefix="0" xfId="0">
      <alignment horizontal="center" vertical="center" wrapText="1"/>
    </xf>
    <xf numFmtId="9" fontId="22" fillId="6" borderId="1" applyAlignment="1" pivotButton="0" quotePrefix="0" xfId="0">
      <alignment horizontal="center" vertical="center" wrapText="1"/>
    </xf>
    <xf numFmtId="0" fontId="24" fillId="6" borderId="1" applyAlignment="1" pivotButton="0" quotePrefix="0" xfId="0">
      <alignment horizontal="left" vertical="center" wrapText="1"/>
    </xf>
    <xf numFmtId="0" fontId="21" fillId="2" borderId="1" applyAlignment="1" pivotButton="0" quotePrefix="0" xfId="0">
      <alignment horizontal="center" vertical="center" wrapText="1"/>
    </xf>
    <xf numFmtId="9" fontId="21" fillId="2" borderId="1" applyAlignment="1" pivotButton="0" quotePrefix="0" xfId="0">
      <alignment horizontal="center" vertical="center" wrapText="1"/>
    </xf>
    <xf numFmtId="0" fontId="25" fillId="6" borderId="1" applyAlignment="1" pivotButton="0" quotePrefix="0" xfId="0">
      <alignment horizontal="left" vertical="center" wrapText="1"/>
    </xf>
    <xf numFmtId="0" fontId="9" fillId="11" borderId="1" applyAlignment="1" pivotButton="0" quotePrefix="0" xfId="0">
      <alignment horizontal="center" vertical="center" wrapText="1"/>
    </xf>
    <xf numFmtId="9" fontId="9" fillId="11" borderId="1" applyAlignment="1" pivotButton="0" quotePrefix="0" xfId="0">
      <alignment horizontal="center" vertical="center" wrapText="1"/>
    </xf>
    <xf numFmtId="169" fontId="22" fillId="6" borderId="1" applyAlignment="1" pivotButton="0" quotePrefix="0" xfId="0">
      <alignment horizontal="center" vertical="center" wrapText="1"/>
    </xf>
    <xf numFmtId="0" fontId="25" fillId="9" borderId="1" applyAlignment="1" pivotButton="0" quotePrefix="0" xfId="0">
      <alignment horizontal="left" vertical="center" wrapText="1"/>
    </xf>
    <xf numFmtId="0" fontId="27" fillId="12" borderId="1" applyAlignment="1" pivotButton="0" quotePrefix="0" xfId="0">
      <alignment horizontal="center" vertical="center" wrapText="1"/>
    </xf>
    <xf numFmtId="9" fontId="27" fillId="12" borderId="1" applyAlignment="1" pivotButton="0" quotePrefix="0" xfId="0">
      <alignment horizontal="center" vertical="center" wrapText="1"/>
    </xf>
    <xf numFmtId="169" fontId="22" fillId="9" borderId="1" applyAlignment="1" pivotButton="0" quotePrefix="0" xfId="0">
      <alignment horizontal="center" vertical="center" wrapText="1"/>
    </xf>
    <xf numFmtId="0" fontId="26" fillId="13" borderId="1" applyAlignment="1" pivotButton="0" quotePrefix="0" xfId="0">
      <alignment horizontal="center" vertical="center" wrapText="1"/>
    </xf>
    <xf numFmtId="9" fontId="26" fillId="13" borderId="1" applyAlignment="1" pivotButton="0" quotePrefix="0" xfId="0">
      <alignment horizontal="center" vertical="center" wrapText="1"/>
    </xf>
    <xf numFmtId="0" fontId="28" fillId="14" borderId="1" applyAlignment="1" pivotButton="0" quotePrefix="0" xfId="0">
      <alignment horizontal="center" vertical="center" wrapText="1"/>
    </xf>
    <xf numFmtId="9" fontId="28" fillId="14" borderId="1" applyAlignment="1" pivotButton="0" quotePrefix="0" xfId="0">
      <alignment horizontal="center" vertical="center" wrapText="1"/>
    </xf>
    <xf numFmtId="0" fontId="26" fillId="10" borderId="1" applyAlignment="1" pivotButton="0" quotePrefix="0" xfId="0">
      <alignment horizontal="left" vertical="center" wrapText="1"/>
    </xf>
    <xf numFmtId="0" fontId="29" fillId="15" borderId="1" applyAlignment="1" pivotButton="0" quotePrefix="0" xfId="0">
      <alignment horizontal="center" vertical="center" wrapText="1"/>
    </xf>
    <xf numFmtId="9" fontId="29" fillId="15" borderId="1" applyAlignment="1" pivotButton="0" quotePrefix="0" xfId="0">
      <alignment horizontal="center" vertical="center" wrapText="1"/>
    </xf>
    <xf numFmtId="0" fontId="22" fillId="9" borderId="1" applyAlignment="1" pivotButton="0" quotePrefix="0" xfId="0">
      <alignment horizontal="left" vertical="center" wrapText="1"/>
    </xf>
    <xf numFmtId="0" fontId="22" fillId="6" borderId="1" applyAlignment="1" pivotButton="0" quotePrefix="0" xfId="0">
      <alignment horizontal="left" vertical="center" wrapText="1"/>
    </xf>
    <xf numFmtId="0" fontId="30" fillId="0" borderId="0" pivotButton="0" quotePrefix="0" xfId="0"/>
    <xf numFmtId="0" fontId="31" fillId="0" borderId="0" applyAlignment="1" pivotButton="0" quotePrefix="0" xfId="0">
      <alignment horizontal="left" vertical="center" wrapText="1"/>
    </xf>
    <xf numFmtId="0" fontId="25" fillId="0" borderId="0" pivotButton="0" quotePrefix="0" xfId="0"/>
    <xf numFmtId="0" fontId="25" fillId="9" borderId="1" applyAlignment="1" pivotButton="0" quotePrefix="0" xfId="0">
      <alignment horizontal="center" vertical="center" wrapText="1"/>
    </xf>
    <xf numFmtId="0" fontId="4" fillId="11" borderId="1" applyAlignment="1" pivotButton="0" quotePrefix="0" xfId="0">
      <alignment horizontal="center" vertical="center" wrapText="1"/>
    </xf>
    <xf numFmtId="0" fontId="25" fillId="0" borderId="0" applyAlignment="1" pivotButton="0" quotePrefix="0" xfId="0">
      <alignment horizontal="right"/>
    </xf>
    <xf numFmtId="0" fontId="32" fillId="0" borderId="0" pivotButton="0" quotePrefix="0" xfId="0"/>
    <xf numFmtId="0" fontId="7" fillId="0" borderId="0" pivotButton="0" quotePrefix="0" xfId="0"/>
    <xf numFmtId="0" fontId="21" fillId="16" borderId="1" applyAlignment="1" pivotButton="0" quotePrefix="0" xfId="0">
      <alignment horizontal="center" vertical="center" wrapText="1"/>
    </xf>
    <xf numFmtId="0" fontId="34" fillId="0" borderId="1" applyAlignment="1" pivotButton="0" quotePrefix="0" xfId="0">
      <alignment horizontal="center" vertical="top" wrapText="1"/>
    </xf>
    <xf numFmtId="0" fontId="22" fillId="0" borderId="1" applyAlignment="1" pivotButton="0" quotePrefix="0" xfId="0">
      <alignment horizontal="center" vertical="top" wrapText="1"/>
    </xf>
    <xf numFmtId="0" fontId="22" fillId="0" borderId="1" applyAlignment="1" pivotButton="0" quotePrefix="0" xfId="0">
      <alignment vertical="top" wrapText="1"/>
    </xf>
    <xf numFmtId="0" fontId="22" fillId="7" borderId="1" applyAlignment="1" pivotButton="0" quotePrefix="0" xfId="0">
      <alignment horizontal="center" vertical="top" wrapText="1"/>
    </xf>
    <xf numFmtId="170" fontId="22" fillId="0" borderId="1" applyAlignment="1" pivotButton="0" quotePrefix="0" xfId="0">
      <alignment horizontal="center" vertical="top" wrapText="1"/>
    </xf>
    <xf numFmtId="9" fontId="22" fillId="7" borderId="1" applyAlignment="1" pivotButton="0" quotePrefix="0" xfId="0">
      <alignment horizontal="center" vertical="top" wrapText="1"/>
    </xf>
    <xf numFmtId="0" fontId="22" fillId="7" borderId="1" applyAlignment="1" pivotButton="0" quotePrefix="0" xfId="0">
      <alignment vertical="top" wrapText="1"/>
    </xf>
    <xf numFmtId="170" fontId="22" fillId="7" borderId="1" applyAlignment="1" pivotButton="0" quotePrefix="0" xfId="0">
      <alignment horizontal="center" vertical="top" wrapText="1"/>
    </xf>
    <xf numFmtId="171" fontId="33" fillId="11" borderId="1" applyAlignment="1" pivotButton="0" quotePrefix="0" xfId="0">
      <alignment horizontal="center" vertical="top" wrapText="1"/>
    </xf>
    <xf numFmtId="1" fontId="33" fillId="11" borderId="1" applyAlignment="1" pivotButton="0" quotePrefix="0" xfId="0">
      <alignment horizontal="center" vertical="top" wrapText="1"/>
    </xf>
    <xf numFmtId="0" fontId="33" fillId="11" borderId="1" applyAlignment="1" pivotButton="0" quotePrefix="0" xfId="0">
      <alignment horizontal="center" vertical="top" wrapText="1"/>
    </xf>
    <xf numFmtId="0" fontId="11" fillId="6" borderId="3" applyAlignment="1" pivotButton="0" quotePrefix="0" xfId="0">
      <alignment horizontal="center" vertical="center" wrapText="1"/>
    </xf>
    <xf numFmtId="0" fontId="0" fillId="6" borderId="3" pivotButton="0" quotePrefix="0" xfId="0"/>
    <xf numFmtId="0" fontId="11" fillId="6" borderId="0" applyAlignment="1" pivotButton="0" quotePrefix="0" xfId="0">
      <alignment horizontal="center" vertical="center" wrapText="1"/>
    </xf>
    <xf numFmtId="9" fontId="35" fillId="6" borderId="0" applyAlignment="1" pivotButton="0" quotePrefix="0" xfId="0">
      <alignment horizontal="center" vertical="center" wrapText="1"/>
    </xf>
    <xf numFmtId="0" fontId="0" fillId="6" borderId="0" pivotButton="0" quotePrefix="0" xfId="0"/>
    <xf numFmtId="1" fontId="35" fillId="6" borderId="0" applyAlignment="1" pivotButton="0" quotePrefix="0" xfId="0">
      <alignment horizontal="center" vertical="center" wrapText="1"/>
    </xf>
    <xf numFmtId="169" fontId="35" fillId="6" borderId="0" applyAlignment="1" pivotButton="0" quotePrefix="0" xfId="0">
      <alignment horizontal="center" vertical="center" wrapText="1"/>
    </xf>
    <xf numFmtId="0" fontId="36" fillId="6" borderId="0" applyAlignment="1" pivotButton="0" quotePrefix="0" xfId="0">
      <alignment horizontal="center" vertical="center" wrapText="1"/>
    </xf>
    <xf numFmtId="0" fontId="14" fillId="9" borderId="0" applyAlignment="1" pivotButton="0" quotePrefix="0" xfId="0">
      <alignment horizontal="left" vertical="center" wrapText="1"/>
    </xf>
    <xf numFmtId="0" fontId="37" fillId="4" borderId="0" applyAlignment="1" pivotButton="0" quotePrefix="0" xfId="0">
      <alignment vertical="top" wrapText="1"/>
    </xf>
    <xf numFmtId="0" fontId="22" fillId="6" borderId="0" applyAlignment="1" pivotButton="0" quotePrefix="0" xfId="0">
      <alignment horizontal="left" vertical="center" wrapText="1"/>
    </xf>
    <xf numFmtId="0" fontId="22" fillId="9" borderId="0" applyAlignment="1" pivotButton="0" quotePrefix="0" xfId="0">
      <alignment horizontal="left" vertical="center" wrapText="1"/>
    </xf>
    <xf numFmtId="0" fontId="21" fillId="5" borderId="0" applyAlignment="1" pivotButton="0" quotePrefix="0" xfId="0">
      <alignment horizontal="center" vertical="center" wrapText="1"/>
    </xf>
    <xf numFmtId="0" fontId="34" fillId="9" borderId="1" applyAlignment="1" pivotButton="0" quotePrefix="0" xfId="0">
      <alignment horizontal="center" vertical="center" wrapText="1"/>
    </xf>
    <xf numFmtId="0" fontId="22" fillId="9" borderId="1" applyAlignment="1" pivotButton="0" quotePrefix="0" xfId="0">
      <alignment vertical="top" wrapText="1"/>
    </xf>
    <xf numFmtId="172" fontId="22" fillId="9" borderId="1" applyAlignment="1" pivotButton="0" quotePrefix="0" xfId="0">
      <alignment horizontal="center" vertical="center" wrapText="1"/>
    </xf>
    <xf numFmtId="0" fontId="6" fillId="9" borderId="1" applyAlignment="1" pivotButton="0" quotePrefix="0" xfId="0">
      <alignment vertical="top" wrapText="1"/>
    </xf>
    <xf numFmtId="170" fontId="22" fillId="7" borderId="1" applyAlignment="1" pivotButton="0" quotePrefix="0" xfId="0">
      <alignment vertical="top" wrapText="1"/>
    </xf>
    <xf numFmtId="0" fontId="23" fillId="0" borderId="0" pivotButton="0" quotePrefix="0" xfId="0"/>
    <xf numFmtId="173" fontId="22" fillId="7" borderId="1" applyAlignment="1" pivotButton="0" quotePrefix="0" xfId="0">
      <alignment vertical="top" wrapText="1"/>
    </xf>
    <xf numFmtId="0" fontId="26" fillId="10" borderId="1" applyAlignment="1" pivotButton="0" quotePrefix="0" xfId="0">
      <alignment vertical="top" wrapText="1"/>
    </xf>
    <xf numFmtId="170" fontId="22" fillId="9" borderId="1" applyAlignment="1" pivotButton="0" quotePrefix="0" xfId="0">
      <alignment vertical="top" wrapText="1"/>
    </xf>
    <xf numFmtId="0" fontId="22" fillId="11" borderId="1" applyAlignment="1" pivotButton="0" quotePrefix="0" xfId="0">
      <alignment horizontal="center" vertical="center" wrapText="1"/>
    </xf>
    <xf numFmtId="0" fontId="1" fillId="0" borderId="0" pivotButton="0" quotePrefix="0" xfId="0"/>
    <xf numFmtId="165" fontId="0" fillId="0" borderId="0" pivotButton="0" quotePrefix="0" xfId="0"/>
    <xf numFmtId="9" fontId="0" fillId="0" borderId="0" pivotButton="0" quotePrefix="0" xfId="0"/>
  </cellXfs>
  <cellStyles count="1">
    <cellStyle name="Normal" xfId="0" builtinId="0" hidden="0"/>
  </cellStyles>
  <dxfs count="24">
    <dxf>
      <font>
        <name val="Arial"/>
        <b val="1"/>
        <color rgb="00B91C1C"/>
      </font>
    </dxf>
    <dxf>
      <font>
        <name val="Arial"/>
        <b val="1"/>
        <color rgb="00047857"/>
      </font>
    </dxf>
    <dxf>
      <font>
        <name val="Arial"/>
        <b val="1"/>
        <color rgb="00B91C1C"/>
        <sz val="20"/>
      </font>
      <fill>
        <patternFill patternType="solid">
          <fgColor rgb="00FEE2E2"/>
          <bgColor rgb="00FEE2E2"/>
        </patternFill>
      </fill>
    </dxf>
    <dxf>
      <font>
        <name val="Arial"/>
        <b val="1"/>
        <color rgb="00047857"/>
        <sz val="20"/>
      </font>
      <fill>
        <patternFill patternType="solid">
          <fgColor rgb="00D1FAE5"/>
          <bgColor rgb="00D1FAE5"/>
        </patternFill>
      </fill>
    </dxf>
    <dxf>
      <font>
        <name val="Arial"/>
        <b val="1"/>
        <color rgb="00065F46"/>
      </font>
      <fill>
        <patternFill patternType="solid">
          <fgColor rgb="00C6F6D5"/>
          <bgColor rgb="00C6F6D5"/>
        </patternFill>
      </fill>
    </dxf>
    <dxf>
      <font>
        <name val="Arial"/>
        <b val="1"/>
        <color rgb="001E40AF"/>
      </font>
      <fill>
        <patternFill patternType="solid">
          <fgColor rgb="00DBEAFE"/>
          <bgColor rgb="00DBEAFE"/>
        </patternFill>
      </fill>
    </dxf>
    <dxf>
      <font>
        <name val="Arial"/>
        <b val="1"/>
        <color rgb="00991B1B"/>
      </font>
      <fill>
        <patternFill patternType="solid">
          <fgColor rgb="00FEE2E2"/>
          <bgColor rgb="00FEE2E2"/>
        </patternFill>
      </fill>
    </dxf>
    <dxf>
      <font>
        <name val="Arial"/>
        <b val="1"/>
        <color rgb="00374151"/>
      </font>
      <fill>
        <patternFill patternType="solid">
          <fgColor rgb="00E5E7EB"/>
          <bgColor rgb="00E5E7EB"/>
        </patternFill>
      </fill>
    </dxf>
    <dxf>
      <font>
        <name val="Arial"/>
        <b val="1"/>
        <color rgb="00047857"/>
      </font>
      <fill>
        <patternFill patternType="solid">
          <fgColor rgb="00D1FAE5"/>
          <bgColor rgb="00D1FAE5"/>
        </patternFill>
      </fill>
    </dxf>
    <dxf>
      <font>
        <name val="Arial"/>
        <b val="1"/>
        <color rgb="00B45309"/>
      </font>
    </dxf>
    <dxf>
      <font>
        <name val="Arial"/>
        <b val="1"/>
        <color rgb="00B91C1C"/>
      </font>
      <fill>
        <patternFill patternType="solid">
          <fgColor rgb="00FEE2E2"/>
          <bgColor rgb="00FEE2E2"/>
        </patternFill>
      </fill>
    </dxf>
    <dxf>
      <font>
        <name val="Arial"/>
        <b val="1"/>
        <color rgb="0092400E"/>
      </font>
      <fill>
        <patternFill patternType="solid">
          <fgColor rgb="00FEF3C7"/>
          <bgColor rgb="00FEF3C7"/>
        </patternFill>
      </fill>
    </dxf>
    <dxf>
      <fill>
        <patternFill patternType="solid">
          <fgColor rgb="00FEE2E2"/>
          <bgColor rgb="00FEE2E2"/>
        </patternFill>
      </fill>
    </dxf>
    <dxf>
      <fill>
        <patternFill patternType="solid">
          <fgColor rgb="00F0FDF4"/>
          <bgColor rgb="00F0FDF4"/>
        </patternFill>
      </fill>
    </dxf>
    <dxf>
      <fill>
        <patternFill patternType="solid">
          <fgColor rgb="00EFF6FF"/>
          <bgColor rgb="00EFF6FF"/>
        </patternFill>
      </fill>
    </dxf>
    <dxf>
      <fill>
        <patternFill patternType="solid">
          <fgColor rgb="00FFFBEB"/>
          <bgColor rgb="00FFFBEB"/>
        </patternFill>
      </fill>
    </dxf>
    <dxf>
      <font>
        <name val="Arial"/>
        <b val="1"/>
        <color rgb="00FFFFFF"/>
      </font>
      <fill>
        <patternFill patternType="solid">
          <fgColor rgb="00EF4444"/>
          <bgColor rgb="00EF4444"/>
        </patternFill>
      </fill>
    </dxf>
    <dxf>
      <fill>
        <patternFill patternType="solid">
          <fgColor rgb="00FDE68A"/>
          <bgColor rgb="00FDE68A"/>
        </patternFill>
      </fill>
    </dxf>
    <dxf>
      <font>
        <name val="Arial"/>
        <b val="1"/>
        <color rgb="00075985"/>
      </font>
      <fill>
        <patternFill patternType="solid">
          <fgColor rgb="00E0F2FE"/>
          <bgColor rgb="00E0F2FE"/>
        </patternFill>
      </fill>
    </dxf>
    <dxf>
      <font>
        <name val="Arial"/>
        <b val="1"/>
        <color rgb="0092400E"/>
      </font>
      <fill>
        <patternFill patternType="solid">
          <fgColor rgb="00FDE68A"/>
          <bgColor rgb="00FDE68A"/>
        </patternFill>
      </fill>
    </dxf>
    <dxf>
      <font>
        <name val="Arial"/>
        <b val="1"/>
        <color rgb="00065F46"/>
        <sz val="14"/>
      </font>
      <fill>
        <patternFill patternType="solid">
          <fgColor rgb="00C6F6D5"/>
          <bgColor rgb="00C6F6D5"/>
        </patternFill>
      </fill>
    </dxf>
    <dxf>
      <font>
        <name val="Arial"/>
        <b val="1"/>
        <color rgb="001E40AF"/>
        <sz val="14"/>
      </font>
      <fill>
        <patternFill patternType="solid">
          <fgColor rgb="00DBEAFE"/>
          <bgColor rgb="00DBEAFE"/>
        </patternFill>
      </fill>
    </dxf>
    <dxf>
      <font>
        <name val="Arial"/>
        <b val="1"/>
        <color rgb="00991B1B"/>
        <sz val="14"/>
      </font>
      <fill>
        <patternFill patternType="solid">
          <fgColor rgb="00FEE2E2"/>
          <bgColor rgb="00FEE2E2"/>
        </patternFill>
      </fill>
    </dxf>
    <dxf>
      <font>
        <name val="Arial"/>
        <b val="1"/>
        <color rgb="000F1B2D"/>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Phase completion: planned vs actual</a:t>
            </a:r>
          </a:p>
        </rich>
      </tx>
    </title>
    <plotArea>
      <barChart>
        <barDir val="col"/>
        <grouping val="clustered"/>
        <ser>
          <idx val="0"/>
          <order val="0"/>
          <tx>
            <strRef>
              <f>'Executive Dashboard'!M20</f>
            </strRef>
          </tx>
          <spPr>
            <a:solidFill xmlns:a="http://schemas.openxmlformats.org/drawingml/2006/main">
              <a:srgbClr val="CBD5E1"/>
            </a:solidFill>
            <a:ln xmlns:a="http://schemas.openxmlformats.org/drawingml/2006/main">
              <a:prstDash val="solid"/>
            </a:ln>
          </spPr>
          <cat>
            <numRef>
              <f>'Executive Dashboard'!$B$21:$B$26</f>
            </numRef>
          </cat>
          <val>
            <numRef>
              <f>'Executive Dashboard'!$M$21:$M$26</f>
            </numRef>
          </val>
        </ser>
        <ser>
          <idx val="1"/>
          <order val="1"/>
          <tx>
            <strRef>
              <f>'Executive Dashboard'!N20</f>
            </strRef>
          </tx>
          <spPr>
            <a:solidFill xmlns:a="http://schemas.openxmlformats.org/drawingml/2006/main">
              <a:srgbClr val="10B981"/>
            </a:solidFill>
            <a:ln xmlns:a="http://schemas.openxmlformats.org/drawingml/2006/main">
              <a:prstDash val="solid"/>
            </a:ln>
          </spPr>
          <cat>
            <numRef>
              <f>'Executive Dashboard'!$B$21:$B$26</f>
            </numRef>
          </cat>
          <val>
            <numRef>
              <f>'Executive Dashboard'!$N$21:$N$26</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Task status distribution</a:t>
            </a:r>
          </a:p>
        </rich>
      </tx>
    </title>
    <plotArea>
      <doughnutChart>
        <varyColors val="1"/>
        <ser>
          <idx val="0"/>
          <order val="0"/>
          <tx>
            <strRef>
              <f>'Executive Dashboard'!K30</f>
            </strRef>
          </tx>
          <spPr>
            <a:ln xmlns:a="http://schemas.openxmlformats.org/drawingml/2006/main">
              <a:prstDash val="solid"/>
            </a:ln>
          </spPr>
          <dPt>
            <idx val="0"/>
            <spPr>
              <a:solidFill xmlns:a="http://schemas.openxmlformats.org/drawingml/2006/main">
                <a:srgbClr val="9CA3AF"/>
              </a:solidFill>
              <a:ln xmlns:a="http://schemas.openxmlformats.org/drawingml/2006/main">
                <a:prstDash val="solid"/>
              </a:ln>
            </spPr>
          </dPt>
          <dPt>
            <idx val="1"/>
            <spPr>
              <a:solidFill xmlns:a="http://schemas.openxmlformats.org/drawingml/2006/main">
                <a:srgbClr val="3B82F6"/>
              </a:solidFill>
              <a:ln xmlns:a="http://schemas.openxmlformats.org/drawingml/2006/main">
                <a:prstDash val="solid"/>
              </a:ln>
            </spPr>
          </dPt>
          <dPt>
            <idx val="2"/>
            <spPr>
              <a:solidFill xmlns:a="http://schemas.openxmlformats.org/drawingml/2006/main">
                <a:srgbClr val="EF4444"/>
              </a:solidFill>
              <a:ln xmlns:a="http://schemas.openxmlformats.org/drawingml/2006/main">
                <a:prstDash val="solid"/>
              </a:ln>
            </spPr>
          </dPt>
          <dPt>
            <idx val="3"/>
            <spPr>
              <a:solidFill xmlns:a="http://schemas.openxmlformats.org/drawingml/2006/main">
                <a:srgbClr val="F59E0B"/>
              </a:solidFill>
              <a:ln xmlns:a="http://schemas.openxmlformats.org/drawingml/2006/main">
                <a:prstDash val="solid"/>
              </a:ln>
            </spPr>
          </dPt>
          <dPt>
            <idx val="4"/>
            <spPr>
              <a:solidFill xmlns:a="http://schemas.openxmlformats.org/drawingml/2006/main">
                <a:srgbClr val="FCD34D"/>
              </a:solidFill>
              <a:ln xmlns:a="http://schemas.openxmlformats.org/drawingml/2006/main">
                <a:prstDash val="solid"/>
              </a:ln>
            </spPr>
          </dPt>
          <dPt>
            <idx val="5"/>
            <spPr>
              <a:solidFill xmlns:a="http://schemas.openxmlformats.org/drawingml/2006/main">
                <a:srgbClr val="10B981"/>
              </a:solidFill>
              <a:ln xmlns:a="http://schemas.openxmlformats.org/drawingml/2006/main">
                <a:prstDash val="solid"/>
              </a:ln>
            </spPr>
          </dPt>
          <cat>
            <numRef>
              <f>'Executive Dashboard'!$J$31:$J$36</f>
            </numRef>
          </cat>
          <val>
            <numRef>
              <f>'Executive Dashboard'!$K$31:$K$36</f>
            </numRef>
          </val>
        </ser>
        <firstSliceAng val="0"/>
        <holeSize val="55"/>
      </doughnutChart>
    </plotArea>
    <legend>
      <legendPos val="r"/>
    </legend>
    <plotVisOnly val="1"/>
    <dispBlanksAs val="gap"/>
  </chart>
</chartSpace>
</file>

<file path=xl/comments/comment1.xml><?xml version="1.0" encoding="utf-8"?>
<comments xmlns="http://schemas.openxmlformats.org/spreadsheetml/2006/main">
  <authors>
    <author>Tracker</author>
  </authors>
  <commentList>
    <comment ref="D7" authorId="0" shapeId="0">
      <text>
        <t>Leave blank to use today's date. Enter a date to view the project 'as of' that day.</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40</row>
      <rowOff>0</rowOff>
    </from>
    <ext cx="52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40</row>
      <rowOff>0</rowOff>
    </from>
    <ext cx="45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tblTasks" displayName="tblTasks" ref="A5:AC146" headerRowCount="1">
  <autoFilter ref="A5:AC146"/>
  <tableColumns count="29">
    <tableColumn id="1" name="Task ID"/>
    <tableColumn id="2" name="Phase ▾"/>
    <tableColumn id="3" name="Module ▾"/>
    <tableColumn id="4" name="Task Name"/>
    <tableColumn id="5" name="Detailed Description"/>
    <tableColumn id="6" name="Priority ▾"/>
    <tableColumn id="7" name="Status ▾"/>
    <tableColumn id="8" name="Start Date ▾"/>
    <tableColumn id="9" name="Due Date ▾"/>
    <tableColumn id="10" name="Completion % ▾"/>
    <tableColumn id="11" name="Dependencies ▾"/>
    <tableColumn id="12" name="Environment ▾"/>
    <tableColumn id="13" name="Related WordPress Files"/>
    <tableColumn id="14" name="Testing Checklist"/>
    <tableColumn id="15" name="Acceptance Criteria"/>
    <tableColumn id="16" name="Blocker / Issue ▾"/>
    <tableColumn id="17" name="Notes ▾"/>
    <tableColumn id="18" name="Completion Date ▾"/>
    <tableColumn id="19" name="External Requirement ▾"/>
    <tableColumn id="20" name="Test Result ▾"/>
    <tableColumn id="21" name="ƒ Effective %"/>
    <tableColumn id="22" name="ƒ Planned %"/>
    <tableColumn id="23" name="ƒ Days Left"/>
    <tableColumn id="24" name="ƒ Overdue"/>
    <tableColumn id="25" name="ƒ Dependency Check"/>
    <tableColumn id="26" name="ƒ Phase Key"/>
    <tableColumn id="27" name="ƒ Upcoming Key"/>
    <tableColumn id="28" name="ƒ Blocker Key"/>
    <tableColumn id="29" name="ƒ Alert"/>
  </tableColumns>
  <tableStyleInfo name="TableStyleLight1" showRowStripes="0"/>
</table>
</file>

<file path=xl/tables/table2.xml><?xml version="1.0" encoding="utf-8"?>
<table xmlns="http://schemas.openxmlformats.org/spreadsheetml/2006/main" id="2" name="tblQA" displayName="tblQA" ref="A31:K141" headerRowCount="1">
  <autoFilter ref="A31:K141"/>
  <tableColumns count="11">
    <tableColumn id="1" name="QA ID"/>
    <tableColumn id="2" name="Area"/>
    <tableColumn id="3" name="Test Case"/>
    <tableColumn id="4" name="Expected Result"/>
    <tableColumn id="5" name="Page / URL"/>
    <tableColumn id="6" name="Device / Browser"/>
    <tableColumn id="7" name="Priority"/>
    <tableColumn id="8" name="Linked Task"/>
    <tableColumn id="9" name="Result"/>
    <tableColumn id="10" name="Tested On"/>
    <tableColumn id="11" name="Defect / Notes"/>
  </tableColumns>
  <tableStyleInfo name="TableStyleLight1"/>
</table>
</file>

<file path=xl/tables/table3.xml><?xml version="1.0" encoding="utf-8"?>
<table xmlns="http://schemas.openxmlformats.org/spreadsheetml/2006/main" id="3" name="tblDeploy" displayName="tblDeploy" ref="A6:I45" headerRowCount="1">
  <autoFilter ref="A6:I45"/>
  <tableColumns count="9">
    <tableColumn id="1" name="Step"/>
    <tableColumn id="2" name="Stage"/>
    <tableColumn id="3" name="Action"/>
    <tableColumn id="4" name="Verification"/>
    <tableColumn id="5" name="Tool / Location"/>
    <tableColumn id="6" name="Owner"/>
    <tableColumn id="7" name="Status"/>
    <tableColumn id="8" name="Done At"/>
    <tableColumn id="9" name="Notes"/>
  </tableColumns>
  <tableStyleInfo name="TableStyleLight1"/>
</table>
</file>

<file path=xl/tables/table4.xml><?xml version="1.0" encoding="utf-8"?>
<table xmlns="http://schemas.openxmlformats.org/spreadsheetml/2006/main" id="4" name="tblRisks" displayName="tblRisks" ref="A5:K33" headerRowCount="1">
  <autoFilter ref="A5:K33"/>
  <tableColumns count="11">
    <tableColumn id="1" name="Risk ID"/>
    <tableColumn id="2" name="Related Phase"/>
    <tableColumn id="3" name="Description"/>
    <tableColumn id="4" name="Severity"/>
    <tableColumn id="5" name="Likelihood"/>
    <tableColumn id="6" name="Impact"/>
    <tableColumn id="7" name="Mitigation"/>
    <tableColumn id="8" name="Owner"/>
    <tableColumn id="9" name="Status"/>
    <tableColumn id="10" name="Resolution"/>
    <tableColumn id="11" name="Date Raised"/>
  </tableColumns>
  <tableStyleInfo name="TableStyleLight1"/>
</table>
</file>

<file path=xl/tables/table5.xml><?xml version="1.0" encoding="utf-8"?>
<table xmlns="http://schemas.openxmlformats.org/spreadsheetml/2006/main" id="5" name="tblReqMap" displayName="tblReqMap" ref="A5:G72" headerRowCount="1">
  <autoFilter ref="A5:G72"/>
  <tableColumns count="7">
    <tableColumn id="1" name="Req #"/>
    <tableColumn id="2" name="Phase"/>
    <tableColumn id="3" name="Requirement (from brief)"/>
    <tableColumn id="4" name="Mapped Task IDs"/>
    <tableColumn id="5" name="ƒ Tasks"/>
    <tableColumn id="6" name="ƒ Done"/>
    <tableColumn id="7" name="ƒ Coverage"/>
  </tableColumns>
  <tableStyleInfo name="TableStyleLight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ltijaramagazine.com/" TargetMode="External" Id="rId1"/><Relationship Type="http://schemas.openxmlformats.org/officeDocument/2006/relationships/hyperlink" Target="https://chocolate-jellyfish-822708.hostingersite.com/" TargetMode="External" Id="rId2"/><Relationship Type="http://schemas.openxmlformats.org/officeDocument/2006/relationships/hyperlink" Target="#'Master Tracker'!A1" TargetMode="External" Id="rId3"/><Relationship Type="http://schemas.openxmlformats.org/officeDocument/2006/relationships/hyperlink" Target="#'P1 Theme Foundation'!A1" TargetMode="External" Id="rId4"/><Relationship Type="http://schemas.openxmlformats.org/officeDocument/2006/relationships/hyperlink" Target="#'P2 Homepage &amp; Sections'!A1" TargetMode="External" Id="rId5"/><Relationship Type="http://schemas.openxmlformats.org/officeDocument/2006/relationships/hyperlink" Target="#'P3 Editorial Templates'!A1" TargetMode="External" Id="rId6"/><Relationship Type="http://schemas.openxmlformats.org/officeDocument/2006/relationships/hyperlink" Target="#'P4 Issues Archive'!A1" TargetMode="External" Id="rId7"/><Relationship Type="http://schemas.openxmlformats.org/officeDocument/2006/relationships/hyperlink" Target="#'P5 Auth Subs AdOps'!A1" TargetMode="External" Id="rId8"/><Relationship Type="http://schemas.openxmlformats.org/officeDocument/2006/relationships/hyperlink" Target="#'P6 Cleanup &amp; Cutover'!A1" TargetMode="External" Id="rId9"/><Relationship Type="http://schemas.openxmlformats.org/officeDocument/2006/relationships/hyperlink" Target="#'QA &amp; Testing'!A1" TargetMode="External" Id="rId10"/><Relationship Type="http://schemas.openxmlformats.org/officeDocument/2006/relationships/hyperlink" Target="#'Deployment &amp; Rollback'!A1" TargetMode="External" Id="rId11"/><Relationship Type="http://schemas.openxmlformats.org/officeDocument/2006/relationships/hyperlink" Target="#'Risks &amp; Blockers'!A1" TargetMode="External" Id="rId12"/><Relationship Type="http://schemas.openxmlformats.org/officeDocument/2006/relationships/hyperlink" Target="#'Requirement Map'!A1" TargetMode="External" Id="rId13"/><Relationship Type="http://schemas.openxmlformats.org/officeDocument/2006/relationships/hyperlink" Target="#'P1 Theme Foundation'!A1" TargetMode="External" Id="rId14"/><Relationship Type="http://schemas.openxmlformats.org/officeDocument/2006/relationships/hyperlink" Target="#'P2 Homepage &amp; Sections'!A1" TargetMode="External" Id="rId15"/><Relationship Type="http://schemas.openxmlformats.org/officeDocument/2006/relationships/hyperlink" Target="#'P3 Editorial Templates'!A1" TargetMode="External" Id="rId16"/><Relationship Type="http://schemas.openxmlformats.org/officeDocument/2006/relationships/hyperlink" Target="#'P4 Issues Archive'!A1" TargetMode="External" Id="rId17"/><Relationship Type="http://schemas.openxmlformats.org/officeDocument/2006/relationships/hyperlink" Target="#'P5 Auth Subs AdOps'!A1" TargetMode="External" Id="rId18"/><Relationship Type="http://schemas.openxmlformats.org/officeDocument/2006/relationships/hyperlink" Target="#'P6 Cleanup &amp; Cutover'!A1" TargetMode="External" Id="rId19"/><Relationship Type="http://schemas.openxmlformats.org/officeDocument/2006/relationships/drawing" Target="/xl/drawings/drawing1.xml" Id="rId20"/><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Executive Dashboard'!A1" TargetMode="External" Id="rId1"/><Relationship Type="http://schemas.openxmlformats.org/officeDocument/2006/relationships/hyperlink" Target="https://chocolate-jellyfish-822708.hostingersite.com/" TargetMode="External" Id="rId2"/><Relationship Type="http://schemas.openxmlformats.org/officeDocument/2006/relationships/hyperlink" Target="https://altijaramagazine.com/" TargetMode="External" Id="rId3"/><Relationship Type="http://schemas.openxmlformats.org/officeDocument/2006/relationships/table" Target="/xl/tables/table1.xml" Id="rId4"/></Relationships>
</file>

<file path=xl/worksheets/_rels/sheet3.xml.rels><Relationships xmlns="http://schemas.openxmlformats.org/package/2006/relationships"><Relationship Type="http://schemas.openxmlformats.org/officeDocument/2006/relationships/hyperlink" Target="#'Executive Dashboard'!A1" TargetMode="External" Id="rId1"/><Relationship Type="http://schemas.openxmlformats.org/officeDocument/2006/relationships/hyperlink" Target="#'Master Tracker'!A1" TargetMode="External" Id="rId2"/><Relationship Type="http://schemas.openxmlformats.org/officeDocument/2006/relationships/hyperlink" Target="https://chocolate-jellyfish-822708.hostingersite.com/" TargetMode="External" Id="rId3"/></Relationships>
</file>

<file path=xl/worksheets/_rels/sheet4.xml.rels><Relationships xmlns="http://schemas.openxmlformats.org/package/2006/relationships"><Relationship Type="http://schemas.openxmlformats.org/officeDocument/2006/relationships/hyperlink" Target="#'Executive Dashboard'!A1" TargetMode="External" Id="rId1"/><Relationship Type="http://schemas.openxmlformats.org/officeDocument/2006/relationships/hyperlink" Target="#'Master Tracker'!A1" TargetMode="External" Id="rId2"/><Relationship Type="http://schemas.openxmlformats.org/officeDocument/2006/relationships/hyperlink" Target="https://chocolate-jellyfish-822708.hostingersite.com/" TargetMode="External" Id="rId3"/></Relationships>
</file>

<file path=xl/worksheets/_rels/sheet5.xml.rels><Relationships xmlns="http://schemas.openxmlformats.org/package/2006/relationships"><Relationship Type="http://schemas.openxmlformats.org/officeDocument/2006/relationships/hyperlink" Target="#'Executive Dashboard'!A1" TargetMode="External" Id="rId1"/><Relationship Type="http://schemas.openxmlformats.org/officeDocument/2006/relationships/hyperlink" Target="#'Master Tracker'!A1" TargetMode="External" Id="rId2"/><Relationship Type="http://schemas.openxmlformats.org/officeDocument/2006/relationships/hyperlink" Target="https://chocolate-jellyfish-822708.hostingersite.com/" TargetMode="External" Id="rId3"/></Relationships>
</file>

<file path=xl/worksheets/_rels/sheet6.xml.rels><Relationships xmlns="http://schemas.openxmlformats.org/package/2006/relationships"><Relationship Type="http://schemas.openxmlformats.org/officeDocument/2006/relationships/hyperlink" Target="#'Executive Dashboard'!A1" TargetMode="External" Id="rId1"/><Relationship Type="http://schemas.openxmlformats.org/officeDocument/2006/relationships/hyperlink" Target="#'Master Tracker'!A1" TargetMode="External" Id="rId2"/><Relationship Type="http://schemas.openxmlformats.org/officeDocument/2006/relationships/hyperlink" Target="https://chocolate-jellyfish-822708.hostingersite.com/" TargetMode="External" Id="rId3"/></Relationships>
</file>

<file path=xl/worksheets/_rels/sheet7.xml.rels><Relationships xmlns="http://schemas.openxmlformats.org/package/2006/relationships"><Relationship Type="http://schemas.openxmlformats.org/officeDocument/2006/relationships/hyperlink" Target="#'Executive Dashboard'!A1" TargetMode="External" Id="rId1"/><Relationship Type="http://schemas.openxmlformats.org/officeDocument/2006/relationships/hyperlink" Target="#'Master Tracker'!A1" TargetMode="External" Id="rId2"/><Relationship Type="http://schemas.openxmlformats.org/officeDocument/2006/relationships/hyperlink" Target="https://chocolate-jellyfish-822708.hostingersite.com/" TargetMode="External" Id="rId3"/></Relationships>
</file>

<file path=xl/worksheets/_rels/sheet8.xml.rels><Relationships xmlns="http://schemas.openxmlformats.org/package/2006/relationships"><Relationship Type="http://schemas.openxmlformats.org/officeDocument/2006/relationships/hyperlink" Target="#'Executive Dashboard'!A1" TargetMode="External" Id="rId1"/><Relationship Type="http://schemas.openxmlformats.org/officeDocument/2006/relationships/hyperlink" Target="#'Master Tracker'!A1" TargetMode="External" Id="rId2"/><Relationship Type="http://schemas.openxmlformats.org/officeDocument/2006/relationships/hyperlink" Target="https://chocolate-jellyfish-822708.hostingersite.com/" TargetMode="External" Id="rId3"/></Relationships>
</file>

<file path=xl/worksheets/_rels/sheet9.xml.rels><Relationships xmlns="http://schemas.openxmlformats.org/package/2006/relationships"><Relationship Type="http://schemas.openxmlformats.org/officeDocument/2006/relationships/hyperlink" Target="#'Executive Dashboard'!A1" TargetMode="External" Id="rId1"/><Relationship Type="http://schemas.openxmlformats.org/officeDocument/2006/relationships/hyperlink" Target="https://chocolate-jellyfish-822708.hostingersite.com/" TargetMode="External" Id="rId2"/><Relationship Type="http://schemas.openxmlformats.org/officeDocument/2006/relationships/hyperlink" Target="#'Master Tracker'!A46" TargetMode="External" Id="rId3"/><Relationship Type="http://schemas.openxmlformats.org/officeDocument/2006/relationships/hyperlink" Target="#'Master Tracker'!A46" TargetMode="External" Id="rId4"/><Relationship Type="http://schemas.openxmlformats.org/officeDocument/2006/relationships/hyperlink" Target="#'Master Tracker'!A46" TargetMode="External" Id="rId5"/><Relationship Type="http://schemas.openxmlformats.org/officeDocument/2006/relationships/hyperlink" Target="#'Master Tracker'!A47" TargetMode="External" Id="rId6"/><Relationship Type="http://schemas.openxmlformats.org/officeDocument/2006/relationships/hyperlink" Target="#'Master Tracker'!A47" TargetMode="External" Id="rId7"/><Relationship Type="http://schemas.openxmlformats.org/officeDocument/2006/relationships/hyperlink" Target="#'Master Tracker'!A47" TargetMode="External" Id="rId8"/><Relationship Type="http://schemas.openxmlformats.org/officeDocument/2006/relationships/hyperlink" Target="#'Master Tracker'!A55" TargetMode="External" Id="rId9"/><Relationship Type="http://schemas.openxmlformats.org/officeDocument/2006/relationships/hyperlink" Target="#'Master Tracker'!A55" TargetMode="External" Id="rId10"/><Relationship Type="http://schemas.openxmlformats.org/officeDocument/2006/relationships/hyperlink" Target="#'Master Tracker'!A55" TargetMode="External" Id="rId11"/><Relationship Type="http://schemas.openxmlformats.org/officeDocument/2006/relationships/hyperlink" Target="#'Master Tracker'!A54" TargetMode="External" Id="rId12"/><Relationship Type="http://schemas.openxmlformats.org/officeDocument/2006/relationships/hyperlink" Target="#'Master Tracker'!A54" TargetMode="External" Id="rId13"/><Relationship Type="http://schemas.openxmlformats.org/officeDocument/2006/relationships/hyperlink" Target="#'Master Tracker'!A54" TargetMode="External" Id="rId14"/><Relationship Type="http://schemas.openxmlformats.org/officeDocument/2006/relationships/hyperlink" Target="#'Master Tracker'!A68" TargetMode="External" Id="rId15"/><Relationship Type="http://schemas.openxmlformats.org/officeDocument/2006/relationships/hyperlink" Target="#'Master Tracker'!A68" TargetMode="External" Id="rId16"/><Relationship Type="http://schemas.openxmlformats.org/officeDocument/2006/relationships/hyperlink" Target="#'Master Tracker'!A68" TargetMode="External" Id="rId17"/><Relationship Type="http://schemas.openxmlformats.org/officeDocument/2006/relationships/hyperlink" Target="#'Master Tracker'!A70" TargetMode="External" Id="rId18"/><Relationship Type="http://schemas.openxmlformats.org/officeDocument/2006/relationships/hyperlink" Target="#'Master Tracker'!A70" TargetMode="External" Id="rId19"/><Relationship Type="http://schemas.openxmlformats.org/officeDocument/2006/relationships/hyperlink" Target="#'Master Tracker'!A70" TargetMode="External" Id="rId20"/><Relationship Type="http://schemas.openxmlformats.org/officeDocument/2006/relationships/hyperlink" Target="#'Master Tracker'!A88" TargetMode="External" Id="rId21"/><Relationship Type="http://schemas.openxmlformats.org/officeDocument/2006/relationships/hyperlink" Target="#'Master Tracker'!A88" TargetMode="External" Id="rId22"/><Relationship Type="http://schemas.openxmlformats.org/officeDocument/2006/relationships/hyperlink" Target="#'Master Tracker'!A88" TargetMode="External" Id="rId23"/><Relationship Type="http://schemas.openxmlformats.org/officeDocument/2006/relationships/hyperlink" Target="#'Master Tracker'!A92" TargetMode="External" Id="rId24"/><Relationship Type="http://schemas.openxmlformats.org/officeDocument/2006/relationships/hyperlink" Target="#'Master Tracker'!A92" TargetMode="External" Id="rId25"/><Relationship Type="http://schemas.openxmlformats.org/officeDocument/2006/relationships/hyperlink" Target="#'Master Tracker'!A92" TargetMode="External" Id="rId26"/><Relationship Type="http://schemas.openxmlformats.org/officeDocument/2006/relationships/hyperlink" Target="#'Master Tracker'!A93" TargetMode="External" Id="rId27"/><Relationship Type="http://schemas.openxmlformats.org/officeDocument/2006/relationships/hyperlink" Target="#'Master Tracker'!A93" TargetMode="External" Id="rId28"/><Relationship Type="http://schemas.openxmlformats.org/officeDocument/2006/relationships/hyperlink" Target="#'Master Tracker'!A93" TargetMode="External" Id="rId29"/><Relationship Type="http://schemas.openxmlformats.org/officeDocument/2006/relationships/hyperlink" Target="#'Master Tracker'!A25" TargetMode="External" Id="rId30"/><Relationship Type="http://schemas.openxmlformats.org/officeDocument/2006/relationships/hyperlink" Target="#'Master Tracker'!A26" TargetMode="External" Id="rId31"/><Relationship Type="http://schemas.openxmlformats.org/officeDocument/2006/relationships/hyperlink" Target="#'Master Tracker'!A27" TargetMode="External" Id="rId32"/><Relationship Type="http://schemas.openxmlformats.org/officeDocument/2006/relationships/hyperlink" Target="#'Master Tracker'!A28" TargetMode="External" Id="rId33"/><Relationship Type="http://schemas.openxmlformats.org/officeDocument/2006/relationships/hyperlink" Target="#'Master Tracker'!A29" TargetMode="External" Id="rId34"/><Relationship Type="http://schemas.openxmlformats.org/officeDocument/2006/relationships/hyperlink" Target="#'Master Tracker'!A30" TargetMode="External" Id="rId35"/><Relationship Type="http://schemas.openxmlformats.org/officeDocument/2006/relationships/hyperlink" Target="#'Master Tracker'!A32" TargetMode="External" Id="rId36"/><Relationship Type="http://schemas.openxmlformats.org/officeDocument/2006/relationships/hyperlink" Target="#'Master Tracker'!A44" TargetMode="External" Id="rId37"/><Relationship Type="http://schemas.openxmlformats.org/officeDocument/2006/relationships/hyperlink" Target="#'Master Tracker'!A14" TargetMode="External" Id="rId38"/><Relationship Type="http://schemas.openxmlformats.org/officeDocument/2006/relationships/hyperlink" Target="#'Master Tracker'!A14" TargetMode="External" Id="rId39"/><Relationship Type="http://schemas.openxmlformats.org/officeDocument/2006/relationships/hyperlink" Target="#'Master Tracker'!A14" TargetMode="External" Id="rId40"/><Relationship Type="http://schemas.openxmlformats.org/officeDocument/2006/relationships/hyperlink" Target="#'Master Tracker'!A14" TargetMode="External" Id="rId41"/><Relationship Type="http://schemas.openxmlformats.org/officeDocument/2006/relationships/hyperlink" Target="#'Master Tracker'!A14" TargetMode="External" Id="rId42"/><Relationship Type="http://schemas.openxmlformats.org/officeDocument/2006/relationships/hyperlink" Target="#'Master Tracker'!A107" TargetMode="External" Id="rId43"/><Relationship Type="http://schemas.openxmlformats.org/officeDocument/2006/relationships/hyperlink" Target="#'Master Tracker'!A107" TargetMode="External" Id="rId44"/><Relationship Type="http://schemas.openxmlformats.org/officeDocument/2006/relationships/hyperlink" Target="#'Master Tracker'!A107" TargetMode="External" Id="rId45"/><Relationship Type="http://schemas.openxmlformats.org/officeDocument/2006/relationships/hyperlink" Target="#'Master Tracker'!A107" TargetMode="External" Id="rId46"/><Relationship Type="http://schemas.openxmlformats.org/officeDocument/2006/relationships/hyperlink" Target="#'Master Tracker'!A107" TargetMode="External" Id="rId47"/><Relationship Type="http://schemas.openxmlformats.org/officeDocument/2006/relationships/hyperlink" Target="#'Master Tracker'!A107" TargetMode="External" Id="rId48"/><Relationship Type="http://schemas.openxmlformats.org/officeDocument/2006/relationships/hyperlink" Target="#'Master Tracker'!A78" TargetMode="External" Id="rId49"/><Relationship Type="http://schemas.openxmlformats.org/officeDocument/2006/relationships/hyperlink" Target="#'Master Tracker'!A78" TargetMode="External" Id="rId50"/><Relationship Type="http://schemas.openxmlformats.org/officeDocument/2006/relationships/hyperlink" Target="#'Master Tracker'!A78" TargetMode="External" Id="rId51"/><Relationship Type="http://schemas.openxmlformats.org/officeDocument/2006/relationships/hyperlink" Target="#'Master Tracker'!A79" TargetMode="External" Id="rId52"/><Relationship Type="http://schemas.openxmlformats.org/officeDocument/2006/relationships/hyperlink" Target="#'Master Tracker'!A80" TargetMode="External" Id="rId53"/><Relationship Type="http://schemas.openxmlformats.org/officeDocument/2006/relationships/hyperlink" Target="#'Master Tracker'!A86" TargetMode="External" Id="rId54"/><Relationship Type="http://schemas.openxmlformats.org/officeDocument/2006/relationships/hyperlink" Target="#'Master Tracker'!A86" TargetMode="External" Id="rId55"/><Relationship Type="http://schemas.openxmlformats.org/officeDocument/2006/relationships/hyperlink" Target="#'Master Tracker'!A85" TargetMode="External" Id="rId56"/><Relationship Type="http://schemas.openxmlformats.org/officeDocument/2006/relationships/hyperlink" Target="#'Master Tracker'!A81" TargetMode="External" Id="rId57"/><Relationship Type="http://schemas.openxmlformats.org/officeDocument/2006/relationships/hyperlink" Target="#'Master Tracker'!A81" TargetMode="External" Id="rId58"/><Relationship Type="http://schemas.openxmlformats.org/officeDocument/2006/relationships/hyperlink" Target="#'Master Tracker'!A81" TargetMode="External" Id="rId59"/><Relationship Type="http://schemas.openxmlformats.org/officeDocument/2006/relationships/hyperlink" Target="#'Master Tracker'!A81" TargetMode="External" Id="rId60"/><Relationship Type="http://schemas.openxmlformats.org/officeDocument/2006/relationships/hyperlink" Target="#'Master Tracker'!A81" TargetMode="External" Id="rId61"/><Relationship Type="http://schemas.openxmlformats.org/officeDocument/2006/relationships/hyperlink" Target="#'Master Tracker'!A83" TargetMode="External" Id="rId62"/><Relationship Type="http://schemas.openxmlformats.org/officeDocument/2006/relationships/hyperlink" Target="#'Master Tracker'!A83" TargetMode="External" Id="rId63"/><Relationship Type="http://schemas.openxmlformats.org/officeDocument/2006/relationships/hyperlink" Target="#'Master Tracker'!A83" TargetMode="External" Id="rId64"/><Relationship Type="http://schemas.openxmlformats.org/officeDocument/2006/relationships/hyperlink" Target="#'Master Tracker'!A83" TargetMode="External" Id="rId65"/><Relationship Type="http://schemas.openxmlformats.org/officeDocument/2006/relationships/hyperlink" Target="#'Master Tracker'!A83" TargetMode="External" Id="rId66"/><Relationship Type="http://schemas.openxmlformats.org/officeDocument/2006/relationships/hyperlink" Target="#'Master Tracker'!A83" TargetMode="External" Id="rId67"/><Relationship Type="http://schemas.openxmlformats.org/officeDocument/2006/relationships/hyperlink" Target="#'Master Tracker'!A83" TargetMode="External" Id="rId68"/><Relationship Type="http://schemas.openxmlformats.org/officeDocument/2006/relationships/hyperlink" Target="#'Master Tracker'!A103" TargetMode="External" Id="rId69"/><Relationship Type="http://schemas.openxmlformats.org/officeDocument/2006/relationships/hyperlink" Target="#'Master Tracker'!A103" TargetMode="External" Id="rId70"/><Relationship Type="http://schemas.openxmlformats.org/officeDocument/2006/relationships/hyperlink" Target="#'Master Tracker'!A103" TargetMode="External" Id="rId71"/><Relationship Type="http://schemas.openxmlformats.org/officeDocument/2006/relationships/hyperlink" Target="#'Master Tracker'!A103" TargetMode="External" Id="rId72"/><Relationship Type="http://schemas.openxmlformats.org/officeDocument/2006/relationships/hyperlink" Target="#'Master Tracker'!A103" TargetMode="External" Id="rId73"/><Relationship Type="http://schemas.openxmlformats.org/officeDocument/2006/relationships/hyperlink" Target="#'Master Tracker'!A103" TargetMode="External" Id="rId74"/><Relationship Type="http://schemas.openxmlformats.org/officeDocument/2006/relationships/hyperlink" Target="#'Master Tracker'!A103" TargetMode="External" Id="rId75"/><Relationship Type="http://schemas.openxmlformats.org/officeDocument/2006/relationships/hyperlink" Target="#'Master Tracker'!A103" TargetMode="External" Id="rId76"/><Relationship Type="http://schemas.openxmlformats.org/officeDocument/2006/relationships/hyperlink" Target="#'Master Tracker'!A102" TargetMode="External" Id="rId77"/><Relationship Type="http://schemas.openxmlformats.org/officeDocument/2006/relationships/hyperlink" Target="#'Master Tracker'!A102" TargetMode="External" Id="rId78"/><Relationship Type="http://schemas.openxmlformats.org/officeDocument/2006/relationships/hyperlink" Target="#'Master Tracker'!A102" TargetMode="External" Id="rId79"/><Relationship Type="http://schemas.openxmlformats.org/officeDocument/2006/relationships/hyperlink" Target="#'Master Tracker'!A102" TargetMode="External" Id="rId80"/><Relationship Type="http://schemas.openxmlformats.org/officeDocument/2006/relationships/hyperlink" Target="#'Master Tracker'!A102" TargetMode="External" Id="rId81"/><Relationship Type="http://schemas.openxmlformats.org/officeDocument/2006/relationships/hyperlink" Target="#'Master Tracker'!A105" TargetMode="External" Id="rId82"/><Relationship Type="http://schemas.openxmlformats.org/officeDocument/2006/relationships/hyperlink" Target="#'Master Tracker'!A105" TargetMode="External" Id="rId83"/><Relationship Type="http://schemas.openxmlformats.org/officeDocument/2006/relationships/hyperlink" Target="#'Master Tracker'!A105" TargetMode="External" Id="rId84"/><Relationship Type="http://schemas.openxmlformats.org/officeDocument/2006/relationships/hyperlink" Target="#'Master Tracker'!A105" TargetMode="External" Id="rId85"/><Relationship Type="http://schemas.openxmlformats.org/officeDocument/2006/relationships/hyperlink" Target="#'Master Tracker'!A105" TargetMode="External" Id="rId86"/><Relationship Type="http://schemas.openxmlformats.org/officeDocument/2006/relationships/hyperlink" Target="#'Master Tracker'!A105" TargetMode="External" Id="rId87"/><Relationship Type="http://schemas.openxmlformats.org/officeDocument/2006/relationships/hyperlink" Target="#'Master Tracker'!A109" TargetMode="External" Id="rId88"/><Relationship Type="http://schemas.openxmlformats.org/officeDocument/2006/relationships/hyperlink" Target="#'Master Tracker'!A109" TargetMode="External" Id="rId89"/><Relationship Type="http://schemas.openxmlformats.org/officeDocument/2006/relationships/hyperlink" Target="#'Master Tracker'!A109" TargetMode="External" Id="rId90"/><Relationship Type="http://schemas.openxmlformats.org/officeDocument/2006/relationships/hyperlink" Target="#'Master Tracker'!A109" TargetMode="External" Id="rId91"/><Relationship Type="http://schemas.openxmlformats.org/officeDocument/2006/relationships/hyperlink" Target="#'Master Tracker'!A109" TargetMode="External" Id="rId92"/><Relationship Type="http://schemas.openxmlformats.org/officeDocument/2006/relationships/hyperlink" Target="#'Master Tracker'!A109" TargetMode="External" Id="rId93"/><Relationship Type="http://schemas.openxmlformats.org/officeDocument/2006/relationships/hyperlink" Target="#'Master Tracker'!A109" TargetMode="External" Id="rId94"/><Relationship Type="http://schemas.openxmlformats.org/officeDocument/2006/relationships/hyperlink" Target="#'Master Tracker'!A109" TargetMode="External" Id="rId95"/><Relationship Type="http://schemas.openxmlformats.org/officeDocument/2006/relationships/hyperlink" Target="#'Master Tracker'!A91" TargetMode="External" Id="rId96"/><Relationship Type="http://schemas.openxmlformats.org/officeDocument/2006/relationships/hyperlink" Target="#'Master Tracker'!A91" TargetMode="External" Id="rId97"/><Relationship Type="http://schemas.openxmlformats.org/officeDocument/2006/relationships/hyperlink" Target="#'Master Tracker'!A91" TargetMode="External" Id="rId98"/><Relationship Type="http://schemas.openxmlformats.org/officeDocument/2006/relationships/hyperlink" Target="#'Master Tracker'!A91" TargetMode="External" Id="rId99"/><Relationship Type="http://schemas.openxmlformats.org/officeDocument/2006/relationships/hyperlink" Target="#'Master Tracker'!A91" TargetMode="External" Id="rId100"/><Relationship Type="http://schemas.openxmlformats.org/officeDocument/2006/relationships/hyperlink" Target="#'Master Tracker'!A74" TargetMode="External" Id="rId101"/><Relationship Type="http://schemas.openxmlformats.org/officeDocument/2006/relationships/hyperlink" Target="#'Master Tracker'!A74" TargetMode="External" Id="rId102"/><Relationship Type="http://schemas.openxmlformats.org/officeDocument/2006/relationships/hyperlink" Target="#'Master Tracker'!A74" TargetMode="External" Id="rId103"/><Relationship Type="http://schemas.openxmlformats.org/officeDocument/2006/relationships/hyperlink" Target="#'Master Tracker'!A74" TargetMode="External" Id="rId104"/><Relationship Type="http://schemas.openxmlformats.org/officeDocument/2006/relationships/hyperlink" Target="#'Master Tracker'!A74" TargetMode="External" Id="rId105"/><Relationship Type="http://schemas.openxmlformats.org/officeDocument/2006/relationships/hyperlink" Target="#'Master Tracker'!A74" TargetMode="External" Id="rId106"/><Relationship Type="http://schemas.openxmlformats.org/officeDocument/2006/relationships/hyperlink" Target="#'Master Tracker'!A108" TargetMode="External" Id="rId107"/><Relationship Type="http://schemas.openxmlformats.org/officeDocument/2006/relationships/hyperlink" Target="#'Master Tracker'!A108" TargetMode="External" Id="rId108"/><Relationship Type="http://schemas.openxmlformats.org/officeDocument/2006/relationships/hyperlink" Target="#'Master Tracker'!A108" TargetMode="External" Id="rId109"/><Relationship Type="http://schemas.openxmlformats.org/officeDocument/2006/relationships/hyperlink" Target="#'Master Tracker'!A108" TargetMode="External" Id="rId110"/><Relationship Type="http://schemas.openxmlformats.org/officeDocument/2006/relationships/hyperlink" Target="#'Master Tracker'!A108" TargetMode="External" Id="rId111"/><Relationship Type="http://schemas.openxmlformats.org/officeDocument/2006/relationships/hyperlink" Target="#'Master Tracker'!A108" TargetMode="External" Id="rId112"/><Relationship Type="http://schemas.openxmlformats.org/officeDocument/2006/relationships/table" Target="/xl/tables/table2.xml" Id="rId113"/></Relationships>
</file>

<file path=xl/worksheets/_rels/sheet10.xml.rels><Relationships xmlns="http://schemas.openxmlformats.org/package/2006/relationships"><Relationship Type="http://schemas.openxmlformats.org/officeDocument/2006/relationships/hyperlink" Target="#'Executive Dashboard'!A1" TargetMode="External" Id="rId1"/><Relationship Type="http://schemas.openxmlformats.org/officeDocument/2006/relationships/hyperlink" Target="https://altijaramagazine.com/" TargetMode="External" Id="rId2"/><Relationship Type="http://schemas.openxmlformats.org/officeDocument/2006/relationships/table" Target="/xl/tables/table3.xml" Id="rId3"/></Relationships>
</file>

<file path=xl/worksheets/_rels/sheet11.xml.rels><Relationships xmlns="http://schemas.openxmlformats.org/package/2006/relationships"><Relationship Type="http://schemas.openxmlformats.org/officeDocument/2006/relationships/hyperlink" Target="#'Executive Dashboard'!A1" TargetMode="External" Id="rId1"/><Relationship Type="http://schemas.openxmlformats.org/officeDocument/2006/relationships/table" Target="/xl/tables/table4.xml" Id="rId2"/></Relationships>
</file>

<file path=xl/worksheets/_rels/sheet12.xml.rels><Relationships xmlns="http://schemas.openxmlformats.org/package/2006/relationships"><Relationship Type="http://schemas.openxmlformats.org/officeDocument/2006/relationships/hyperlink" Target="#'Executive Dashboard'!A1" TargetMode="External" Id="rId1"/><Relationship Type="http://schemas.openxmlformats.org/officeDocument/2006/relationships/table" Target="/xl/tables/table5.xml" Id="rId2"/></Relationships>
</file>

<file path=xl/worksheets/sheet1.xml><?xml version="1.0" encoding="utf-8"?>
<worksheet xmlns="http://schemas.openxmlformats.org/spreadsheetml/2006/main">
  <sheetPr>
    <tabColor rgb="0010B981"/>
    <outlinePr summaryBelow="1" summaryRight="1"/>
    <pageSetUpPr fitToPage="1"/>
  </sheetPr>
  <dimension ref="A1:T78"/>
  <sheetViews>
    <sheetView showGridLines="0" zoomScale="90" workbookViewId="0">
      <pane ySplit="4" topLeftCell="A5" activePane="bottomLeft" state="frozen"/>
      <selection pane="bottomLeft" activeCell="A1" sqref="A1"/>
    </sheetView>
  </sheetViews>
  <sheetFormatPr baseColWidth="8" defaultRowHeight="15"/>
  <cols>
    <col width="2" customWidth="1" min="1" max="1"/>
    <col width="10.5" customWidth="1" min="2" max="2"/>
    <col width="12.5" customWidth="1" min="3" max="3"/>
    <col width="12.5" customWidth="1" min="4" max="4"/>
    <col width="12.5" customWidth="1" min="5" max="5"/>
    <col width="14"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2" customWidth="1" min="18" max="18"/>
    <col hidden="1" width="13" customWidth="1" min="19" max="19"/>
    <col hidden="1" width="13" customWidth="1" min="20" max="20"/>
  </cols>
  <sheetData>
    <row r="1" ht="34" customHeight="1">
      <c r="A1" s="1" t="inlineStr">
        <is>
          <t xml:space="preserve">  ALTIJARA MAGAZINE TRANSFORMATION  ·  EXECUTIVE DASHBOARD</t>
        </is>
      </c>
      <c r="B1" s="2" t="n"/>
      <c r="C1" s="2" t="n"/>
      <c r="D1" s="2" t="n"/>
      <c r="E1" s="2" t="n"/>
      <c r="F1" s="2" t="n"/>
      <c r="G1" s="2" t="n"/>
      <c r="H1" s="2" t="n"/>
      <c r="I1" s="2" t="n"/>
      <c r="J1" s="2" t="n"/>
      <c r="K1" s="2" t="n"/>
      <c r="L1" s="2" t="n"/>
      <c r="M1" s="2" t="n"/>
      <c r="N1" s="2" t="n"/>
      <c r="O1" s="2" t="n"/>
      <c r="P1" s="2" t="n"/>
      <c r="Q1" s="2" t="n"/>
      <c r="R1" s="2" t="n"/>
    </row>
    <row r="2" ht="20" customHeight="1">
      <c r="A2" s="3" t="inlineStr">
        <is>
          <t xml:space="preserve">  Client: O2 Nations   ·   Solo Full-Stack Developer   ·   Build 12–25 Oct   ·   QA &amp; Deployment Prep 26–31 Oct   ·   Final deadline 1 Nov 2026</t>
        </is>
      </c>
      <c r="B2" s="4" t="n"/>
      <c r="C2" s="4" t="n"/>
      <c r="D2" s="4" t="n"/>
      <c r="E2" s="4" t="n"/>
      <c r="F2" s="4" t="n"/>
      <c r="G2" s="4" t="n"/>
      <c r="H2" s="4" t="n"/>
      <c r="I2" s="4" t="n"/>
      <c r="J2" s="4" t="n"/>
      <c r="K2" s="4" t="n"/>
      <c r="L2" s="4" t="n"/>
      <c r="M2" s="4" t="n"/>
      <c r="N2" s="4" t="n"/>
      <c r="O2" s="4" t="n"/>
      <c r="P2" s="4" t="n"/>
      <c r="Q2" s="4" t="n"/>
      <c r="R2" s="4" t="n"/>
    </row>
    <row r="3">
      <c r="B3" s="5" t="inlineStr">
        <is>
          <t>Production (do not touch):</t>
        </is>
      </c>
      <c r="E3" s="6" t="inlineStr">
        <is>
          <t>https://altijaramagazine.com/</t>
        </is>
      </c>
      <c r="J3" s="5" t="inlineStr">
        <is>
          <t>Staging (all work here):</t>
        </is>
      </c>
      <c r="M3" s="7" t="inlineStr">
        <is>
          <t>https://chocolate-jellyfish-822708.hostingersite.com/</t>
        </is>
      </c>
    </row>
    <row r="4">
      <c r="B4" s="5" t="inlineStr">
        <is>
          <t>Go to ▸</t>
        </is>
      </c>
      <c r="C4" s="8" t="inlineStr">
        <is>
          <t>Master</t>
        </is>
      </c>
      <c r="D4" s="8" t="inlineStr">
        <is>
          <t>P1</t>
        </is>
      </c>
      <c r="E4" s="8" t="inlineStr">
        <is>
          <t>P2</t>
        </is>
      </c>
      <c r="F4" s="8" t="inlineStr">
        <is>
          <t>P3</t>
        </is>
      </c>
      <c r="G4" s="8" t="inlineStr">
        <is>
          <t>P4</t>
        </is>
      </c>
      <c r="H4" s="8" t="inlineStr">
        <is>
          <t>P5</t>
        </is>
      </c>
      <c r="I4" s="8" t="inlineStr">
        <is>
          <t>P6</t>
        </is>
      </c>
      <c r="J4" s="8" t="inlineStr">
        <is>
          <t>QA</t>
        </is>
      </c>
      <c r="K4" s="8" t="inlineStr">
        <is>
          <t>Deploy</t>
        </is>
      </c>
      <c r="L4" s="8" t="inlineStr">
        <is>
          <t>Risks</t>
        </is>
      </c>
      <c r="M4" s="8" t="inlineStr">
        <is>
          <t>Req Map</t>
        </is>
      </c>
    </row>
    <row r="6" ht="22" customHeight="1">
      <c r="B6" s="9" t="inlineStr">
        <is>
          <t xml:space="preserve">  CONTROL PANEL   (yellow cells are editable — everything else is calculated)</t>
        </is>
      </c>
      <c r="C6" s="10" t="n"/>
      <c r="D6" s="10" t="n"/>
      <c r="E6" s="10" t="n"/>
      <c r="F6" s="10" t="n"/>
      <c r="G6" s="10" t="n"/>
      <c r="H6" s="10" t="n"/>
      <c r="I6" s="10" t="n"/>
      <c r="J6" s="10" t="n"/>
      <c r="K6" s="10" t="n"/>
      <c r="L6" s="10" t="n"/>
      <c r="M6" s="10" t="n"/>
      <c r="N6" s="10" t="n"/>
      <c r="O6" s="10" t="n"/>
      <c r="P6" s="10" t="n"/>
      <c r="Q6" s="10" t="n"/>
    </row>
    <row r="7" ht="24" customHeight="1">
      <c r="B7" s="11" t="inlineStr">
        <is>
          <t>Status date override</t>
        </is>
      </c>
      <c r="D7" s="12" t="n"/>
      <c r="F7" s="11" t="inlineStr">
        <is>
          <t>Effective status date</t>
        </is>
      </c>
      <c r="H7" s="13">
        <f>IF(D7="",TODAY(),D7)</f>
        <v/>
      </c>
      <c r="L7" s="11" t="inlineStr">
        <is>
          <t>Final deadline</t>
        </is>
      </c>
      <c r="N7" s="14" t="n">
        <v>46327</v>
      </c>
    </row>
    <row r="9" ht="22" customHeight="1">
      <c r="B9" s="9" t="inlineStr">
        <is>
          <t xml:space="preserve">  PROGRESS OVERVIEW</t>
        </is>
      </c>
      <c r="C9" s="10" t="n"/>
      <c r="D9" s="10" t="n"/>
      <c r="E9" s="10" t="n"/>
      <c r="F9" s="10" t="n"/>
      <c r="G9" s="10" t="n"/>
      <c r="H9" s="10" t="n"/>
      <c r="I9" s="10" t="n"/>
      <c r="J9" s="10" t="n"/>
      <c r="K9" s="10" t="n"/>
      <c r="L9" s="10" t="n"/>
      <c r="M9" s="10" t="n"/>
      <c r="N9" s="10" t="n"/>
      <c r="O9" s="10" t="n"/>
      <c r="P9" s="10" t="n"/>
      <c r="Q9" s="10" t="n"/>
    </row>
    <row r="10">
      <c r="B10" s="15" t="inlineStr">
        <is>
          <t>OVERALL COMPLETION</t>
        </is>
      </c>
      <c r="C10" s="16" t="n"/>
      <c r="D10" s="17" t="n"/>
      <c r="E10" s="15" t="inlineStr">
        <is>
          <t>PLANNED BY STATUS DATE</t>
        </is>
      </c>
      <c r="F10" s="16" t="n"/>
      <c r="G10" s="17" t="n"/>
      <c r="H10" s="15" t="inlineStr">
        <is>
          <t>SCHEDULE VARIANCE</t>
        </is>
      </c>
      <c r="I10" s="16" t="n"/>
      <c r="J10" s="17" t="n"/>
      <c r="K10" s="15" t="inlineStr">
        <is>
          <t>DAYS TO 1 NOV</t>
        </is>
      </c>
      <c r="L10" s="16" t="n"/>
      <c r="M10" s="17" t="n"/>
      <c r="N10" s="15" t="inlineStr">
        <is>
          <t>SCHEDULE HEALTH</t>
        </is>
      </c>
      <c r="O10" s="16" t="n"/>
      <c r="P10" s="17" t="n"/>
    </row>
    <row r="11" ht="40" customHeight="1">
      <c r="B11" s="18">
        <f>IFERROR(SUMPRODUCT(('Master Tracker'!$A$6:$A$400&lt;&gt;"")*'Master Tracker'!$U$6:$U$400)/COUNTIF('Master Tracker'!$A$6:$A$400,"?*"),0)</f>
        <v/>
      </c>
      <c r="C11" s="19" t="n"/>
      <c r="D11" s="20" t="n"/>
      <c r="E11" s="18">
        <f>IFERROR(SUMPRODUCT(('Master Tracker'!$A$6:$A$400&lt;&gt;"")*'Master Tracker'!$V$6:$V$400)/COUNTIF('Master Tracker'!$A$6:$A$400,"?*"),0)</f>
        <v/>
      </c>
      <c r="F11" s="19" t="n"/>
      <c r="G11" s="20" t="n"/>
      <c r="H11" s="21">
        <f>B11-E11</f>
        <v/>
      </c>
      <c r="I11" s="19" t="n"/>
      <c r="J11" s="20" t="n"/>
      <c r="K11" s="22">
        <f>Deadline-StatusDate</f>
        <v/>
      </c>
      <c r="L11" s="19" t="n"/>
      <c r="M11" s="20" t="n"/>
      <c r="N11" s="23">
        <f>IF(OR(N16&gt;0,L16&gt;0),"AT RISK",IF(B11-E11&lt;-0.05,"BEHIND","ON TRACK"))</f>
        <v/>
      </c>
      <c r="O11" s="19" t="n"/>
      <c r="P11" s="20" t="n"/>
    </row>
    <row r="12">
      <c r="B12" s="24" t="inlineStr">
        <is>
          <t>average task completion</t>
        </is>
      </c>
      <c r="C12" s="25" t="n"/>
      <c r="D12" s="26" t="n"/>
      <c r="E12" s="24" t="inlineStr">
        <is>
          <t>baseline schedule</t>
        </is>
      </c>
      <c r="F12" s="25" t="n"/>
      <c r="G12" s="26" t="n"/>
      <c r="H12" s="24" t="inlineStr">
        <is>
          <t>actual − planned</t>
        </is>
      </c>
      <c r="I12" s="25" t="n"/>
      <c r="J12" s="26" t="n"/>
      <c r="K12" s="24" t="inlineStr">
        <is>
          <t>calendar days</t>
        </is>
      </c>
      <c r="L12" s="25" t="n"/>
      <c r="M12" s="26" t="n"/>
      <c r="N12" s="24" t="inlineStr">
        <is>
          <t>overdue, blocked &amp; variance</t>
        </is>
      </c>
      <c r="O12" s="25" t="n"/>
      <c r="P12" s="26" t="n"/>
    </row>
    <row r="13" ht="22" customHeight="1">
      <c r="B13" s="27">
        <f>"Overall  "&amp;REPT("█",ROUND(B11*60,0))&amp;REPT("░",60-ROUND(B11*60,0))&amp;"  "&amp;TEXT(B11,"0%")&amp;"   |   Planned "&amp;TEXT(E11,"0%")</f>
        <v/>
      </c>
    </row>
    <row r="15">
      <c r="B15" s="28" t="inlineStr">
        <is>
          <t>TOTAL TASKS</t>
        </is>
      </c>
      <c r="C15" s="29" t="n"/>
      <c r="D15" s="30" t="inlineStr">
        <is>
          <t>COMPLETED</t>
        </is>
      </c>
      <c r="E15" s="31" t="n"/>
      <c r="F15" s="32" t="inlineStr">
        <is>
          <t>IN PROGRESS</t>
        </is>
      </c>
      <c r="G15" s="33" t="n"/>
      <c r="H15" s="34" t="inlineStr">
        <is>
          <t>NOT STARTED</t>
        </is>
      </c>
      <c r="I15" s="35" t="n"/>
      <c r="J15" s="36" t="inlineStr">
        <is>
          <t>REVIEW / TESTING</t>
        </is>
      </c>
      <c r="K15" s="37" t="n"/>
      <c r="L15" s="38" t="inlineStr">
        <is>
          <t>BLOCKED</t>
        </is>
      </c>
      <c r="M15" s="39" t="n"/>
      <c r="N15" s="38" t="inlineStr">
        <is>
          <t>OVERDUE</t>
        </is>
      </c>
      <c r="O15" s="39" t="n"/>
      <c r="P15" s="28" t="inlineStr">
        <is>
          <t>OPEN P0</t>
        </is>
      </c>
      <c r="Q15" s="29" t="n"/>
    </row>
    <row r="16" ht="34" customHeight="1">
      <c r="B16" s="40">
        <f>COUNTIF('Master Tracker'!$A$6:$A$400,"?*")</f>
        <v/>
      </c>
      <c r="C16" s="41" t="n"/>
      <c r="D16" s="42">
        <f>COUNTIFS('Master Tracker'!$G$6:$G$400,"Completed",'Master Tracker'!$A$6:$A$400,"?*")</f>
        <v/>
      </c>
      <c r="E16" s="41" t="n"/>
      <c r="F16" s="43">
        <f>COUNTIFS('Master Tracker'!$G$6:$G$400,"In Progress",'Master Tracker'!$A$6:$A$400,"?*")</f>
        <v/>
      </c>
      <c r="G16" s="41" t="n"/>
      <c r="H16" s="44">
        <f>COUNTIFS('Master Tracker'!$G$6:$G$400,"Not Started",'Master Tracker'!$A$6:$A$400,"?*")</f>
        <v/>
      </c>
      <c r="I16" s="41" t="n"/>
      <c r="J16" s="45">
        <f>COUNTIFS('Master Tracker'!$G$6:$G$400,"In Review",'Master Tracker'!$A$6:$A$400,"?*")+COUNTIFS('Master Tracker'!$G$6:$G$400,"Testing",'Master Tracker'!$A$6:$A$400,"?*")</f>
        <v/>
      </c>
      <c r="K16" s="41" t="n"/>
      <c r="L16" s="46">
        <f>COUNTIFS('Master Tracker'!$G$6:$G$400,"Blocked",'Master Tracker'!$A$6:$A$400,"?*")</f>
        <v/>
      </c>
      <c r="M16" s="41" t="n"/>
      <c r="N16" s="46">
        <f>COUNTIF('Master Tracker'!$X$6:$X$400,"OVERDUE")</f>
        <v/>
      </c>
      <c r="O16" s="41" t="n"/>
      <c r="P16" s="40">
        <f>COUNTIFS('Master Tracker'!$F$6:$F$400,"P0",'Master Tracker'!$G$6:$G$400,"&lt;&gt;Completed",'Master Tracker'!$A$6:$A$400,"?*")</f>
        <v/>
      </c>
      <c r="Q16" s="41" t="n"/>
    </row>
    <row r="17">
      <c r="B17" s="47" t="inlineStr">
        <is>
          <t>in scope</t>
        </is>
      </c>
      <c r="C17" s="41" t="n"/>
      <c r="D17" s="47">
        <f>IF($B$16=0,"",TEXT(D16/$B$16,"0%")&amp;" of tasks")</f>
        <v/>
      </c>
      <c r="E17" s="41" t="n"/>
      <c r="F17" s="47">
        <f>IF($B$16=0,"",TEXT(F16/$B$16,"0%")&amp;" of tasks")</f>
        <v/>
      </c>
      <c r="G17" s="41" t="n"/>
      <c r="H17" s="47">
        <f>IF($B$16=0,"",TEXT(H16/$B$16,"0%")&amp;" of tasks")</f>
        <v/>
      </c>
      <c r="I17" s="41" t="n"/>
      <c r="J17" s="47">
        <f>IF($B$16=0,"",TEXT(J16/$B$16,"0%")&amp;" of tasks")</f>
        <v/>
      </c>
      <c r="K17" s="41" t="n"/>
      <c r="L17" s="47">
        <f>IF($B$16=0,"",TEXT(L16/$B$16,"0%")&amp;" of tasks")</f>
        <v/>
      </c>
      <c r="M17" s="41" t="n"/>
      <c r="N17" s="47">
        <f>IF($B$16=0,"",TEXT(N16/$B$16,"0%")&amp;" of tasks")</f>
        <v/>
      </c>
      <c r="O17" s="41" t="n"/>
      <c r="P17" s="47">
        <f>IF($B$16=0,"",TEXT(P16/$B$16,"0%")&amp;" of tasks")</f>
        <v/>
      </c>
      <c r="Q17" s="41" t="n"/>
    </row>
    <row r="19" ht="22" customHeight="1">
      <c r="B19" s="9" t="inlineStr">
        <is>
          <t xml:space="preserve">  PHASE PROGRESS   (click a phase name to open its tracker)</t>
        </is>
      </c>
      <c r="C19" s="10" t="n"/>
      <c r="D19" s="10" t="n"/>
      <c r="E19" s="10" t="n"/>
      <c r="F19" s="10" t="n"/>
      <c r="G19" s="10" t="n"/>
      <c r="H19" s="10" t="n"/>
      <c r="I19" s="10" t="n"/>
      <c r="J19" s="10" t="n"/>
      <c r="K19" s="10" t="n"/>
      <c r="L19" s="10" t="n"/>
      <c r="M19" s="10" t="n"/>
      <c r="N19" s="10" t="n"/>
      <c r="O19" s="10" t="n"/>
      <c r="P19" s="10" t="n"/>
      <c r="Q19" s="10" t="n"/>
    </row>
    <row r="20">
      <c r="B20" s="48" t="inlineStr">
        <is>
          <t>Phase</t>
        </is>
      </c>
      <c r="C20" s="48" t="inlineStr">
        <is>
          <t>Phase name</t>
        </is>
      </c>
      <c r="D20" s="49" t="n"/>
      <c r="E20" s="50" t="n"/>
      <c r="F20" s="48" t="inlineStr">
        <is>
          <t>Window</t>
        </is>
      </c>
      <c r="G20" s="48" t="inlineStr">
        <is>
          <t>Tasks</t>
        </is>
      </c>
      <c r="H20" s="48" t="inlineStr">
        <is>
          <t>Done</t>
        </is>
      </c>
      <c r="I20" s="48" t="inlineStr">
        <is>
          <t>Blocked</t>
        </is>
      </c>
      <c r="J20" s="48" t="inlineStr">
        <is>
          <t>Overdue</t>
        </is>
      </c>
      <c r="K20" s="48" t="inlineStr">
        <is>
          <t>In Prog.</t>
        </is>
      </c>
      <c r="L20" s="48" t="inlineStr">
        <is>
          <t>Open P0</t>
        </is>
      </c>
      <c r="M20" s="48" t="inlineStr">
        <is>
          <t>Planned %</t>
        </is>
      </c>
      <c r="N20" s="48" t="inlineStr">
        <is>
          <t>Actual %</t>
        </is>
      </c>
      <c r="O20" s="48" t="inlineStr">
        <is>
          <t>Progress</t>
        </is>
      </c>
      <c r="P20" s="50" t="n"/>
      <c r="Q20" s="48" t="inlineStr">
        <is>
          <t>Health</t>
        </is>
      </c>
    </row>
    <row r="21">
      <c r="B21" s="51" t="inlineStr">
        <is>
          <t>P1</t>
        </is>
      </c>
      <c r="C21" s="52" t="inlineStr">
        <is>
          <t>Theme Foundation &amp; Asset Pipeline</t>
        </is>
      </c>
      <c r="D21" s="53" t="n"/>
      <c r="E21" s="53" t="n"/>
      <c r="F21" s="53">
        <f>TEXT(_xlfn.MINIFS('Master Tracker'!$H$6:$H$400,'Master Tracker'!$B$6:$B$400,"Phase 1"),"dd mmm")&amp;" – "&amp;TEXT(_xlfn.MAXIFS('Master Tracker'!$I$6:$I$400,'Master Tracker'!$B$6:$B$400,"Phase 1"),"dd mmm")</f>
        <v/>
      </c>
      <c r="G21" s="53">
        <f>COUNTIFS('Master Tracker'!$B$6:$B$400,"Phase 1",'Master Tracker'!$A$6:$A$400,"?*")</f>
        <v/>
      </c>
      <c r="H21" s="53">
        <f>COUNTIFS('Master Tracker'!$B$6:$B$400,"Phase 1",'Master Tracker'!$G$6:$G$400,"Completed")</f>
        <v/>
      </c>
      <c r="I21" s="53">
        <f>COUNTIFS('Master Tracker'!$B$6:$B$400,"Phase 1",'Master Tracker'!$G$6:$G$400,"Blocked")</f>
        <v/>
      </c>
      <c r="J21" s="53">
        <f>COUNTIFS('Master Tracker'!$B$6:$B$400,"Phase 1",'Master Tracker'!$X$6:$X$400,"OVERDUE")</f>
        <v/>
      </c>
      <c r="K21" s="53">
        <f>COUNTIFS('Master Tracker'!$B$6:$B$400,"Phase 1",'Master Tracker'!$G$6:$G$400,"In Progress")</f>
        <v/>
      </c>
      <c r="L21" s="53">
        <f>COUNTIFS('Master Tracker'!$B$6:$B$400,"Phase 1",'Master Tracker'!$F$6:$F$400,"P0",'Master Tracker'!$G$6:$G$400,"&lt;&gt;Completed",'Master Tracker'!$A$6:$A$400,"?*")</f>
        <v/>
      </c>
      <c r="M21" s="54">
        <f>IFERROR(SUMPRODUCT(('Master Tracker'!$B$6:$B$400="Phase 1")*'Master Tracker'!$V$6:$V$400)/G21,0)</f>
        <v/>
      </c>
      <c r="N21" s="54">
        <f>IFERROR(SUMPRODUCT(('Master Tracker'!$B$6:$B$400="Phase 1")*'Master Tracker'!$U$6:$U$400)/G21,0)</f>
        <v/>
      </c>
      <c r="O21" s="55">
        <f>REPT("█",ROUND(N21*14,0))&amp;REPT("░",14-ROUND(N21*14,0))</f>
        <v/>
      </c>
      <c r="P21" s="53" t="n"/>
      <c r="Q21" s="53">
        <f>IF(G21=0,"—",IF(H21=G21,"Complete",IF(I21&gt;0,"Blocked",IF(J21&gt;0,"Behind",IF(N21+0.1&lt;M21,"Behind",IF(N21&gt;0,"On Track","Not Started"))))))</f>
        <v/>
      </c>
    </row>
    <row r="22">
      <c r="B22" s="56" t="inlineStr">
        <is>
          <t>P2</t>
        </is>
      </c>
      <c r="C22" s="57" t="inlineStr">
        <is>
          <t>Homepage &amp; Dynamic Section Manager</t>
        </is>
      </c>
      <c r="D22" s="58" t="n"/>
      <c r="E22" s="58" t="n"/>
      <c r="F22" s="58">
        <f>TEXT(_xlfn.MINIFS('Master Tracker'!$H$6:$H$400,'Master Tracker'!$B$6:$B$400,"Phase 2"),"dd mmm")&amp;" – "&amp;TEXT(_xlfn.MAXIFS('Master Tracker'!$I$6:$I$400,'Master Tracker'!$B$6:$B$400,"Phase 2"),"dd mmm")</f>
        <v/>
      </c>
      <c r="G22" s="58">
        <f>COUNTIFS('Master Tracker'!$B$6:$B$400,"Phase 2",'Master Tracker'!$A$6:$A$400,"?*")</f>
        <v/>
      </c>
      <c r="H22" s="58">
        <f>COUNTIFS('Master Tracker'!$B$6:$B$400,"Phase 2",'Master Tracker'!$G$6:$G$400,"Completed")</f>
        <v/>
      </c>
      <c r="I22" s="58">
        <f>COUNTIFS('Master Tracker'!$B$6:$B$400,"Phase 2",'Master Tracker'!$G$6:$G$400,"Blocked")</f>
        <v/>
      </c>
      <c r="J22" s="58">
        <f>COUNTIFS('Master Tracker'!$B$6:$B$400,"Phase 2",'Master Tracker'!$X$6:$X$400,"OVERDUE")</f>
        <v/>
      </c>
      <c r="K22" s="58">
        <f>COUNTIFS('Master Tracker'!$B$6:$B$400,"Phase 2",'Master Tracker'!$G$6:$G$400,"In Progress")</f>
        <v/>
      </c>
      <c r="L22" s="58">
        <f>COUNTIFS('Master Tracker'!$B$6:$B$400,"Phase 2",'Master Tracker'!$F$6:$F$400,"P0",'Master Tracker'!$G$6:$G$400,"&lt;&gt;Completed",'Master Tracker'!$A$6:$A$400,"?*")</f>
        <v/>
      </c>
      <c r="M22" s="59">
        <f>IFERROR(SUMPRODUCT(('Master Tracker'!$B$6:$B$400="Phase 2")*'Master Tracker'!$V$6:$V$400)/G22,0)</f>
        <v/>
      </c>
      <c r="N22" s="59">
        <f>IFERROR(SUMPRODUCT(('Master Tracker'!$B$6:$B$400="Phase 2")*'Master Tracker'!$U$6:$U$400)/G22,0)</f>
        <v/>
      </c>
      <c r="O22" s="60">
        <f>REPT("█",ROUND(N22*14,0))&amp;REPT("░",14-ROUND(N22*14,0))</f>
        <v/>
      </c>
      <c r="P22" s="58" t="n"/>
      <c r="Q22" s="58">
        <f>IF(G22=0,"—",IF(H22=G22,"Complete",IF(I22&gt;0,"Blocked",IF(J22&gt;0,"Behind",IF(N22+0.1&lt;M22,"Behind",IF(N22&gt;0,"On Track","Not Started"))))))</f>
        <v/>
      </c>
    </row>
    <row r="23">
      <c r="B23" s="51" t="inlineStr">
        <is>
          <t>P3</t>
        </is>
      </c>
      <c r="C23" s="52" t="inlineStr">
        <is>
          <t>Editorial &amp; Taxonomy Templates</t>
        </is>
      </c>
      <c r="D23" s="53" t="n"/>
      <c r="E23" s="53" t="n"/>
      <c r="F23" s="53">
        <f>TEXT(_xlfn.MINIFS('Master Tracker'!$H$6:$H$400,'Master Tracker'!$B$6:$B$400,"Phase 3"),"dd mmm")&amp;" – "&amp;TEXT(_xlfn.MAXIFS('Master Tracker'!$I$6:$I$400,'Master Tracker'!$B$6:$B$400,"Phase 3"),"dd mmm")</f>
        <v/>
      </c>
      <c r="G23" s="53">
        <f>COUNTIFS('Master Tracker'!$B$6:$B$400,"Phase 3",'Master Tracker'!$A$6:$A$400,"?*")</f>
        <v/>
      </c>
      <c r="H23" s="53">
        <f>COUNTIFS('Master Tracker'!$B$6:$B$400,"Phase 3",'Master Tracker'!$G$6:$G$400,"Completed")</f>
        <v/>
      </c>
      <c r="I23" s="53">
        <f>COUNTIFS('Master Tracker'!$B$6:$B$400,"Phase 3",'Master Tracker'!$G$6:$G$400,"Blocked")</f>
        <v/>
      </c>
      <c r="J23" s="53">
        <f>COUNTIFS('Master Tracker'!$B$6:$B$400,"Phase 3",'Master Tracker'!$X$6:$X$400,"OVERDUE")</f>
        <v/>
      </c>
      <c r="K23" s="53">
        <f>COUNTIFS('Master Tracker'!$B$6:$B$400,"Phase 3",'Master Tracker'!$G$6:$G$400,"In Progress")</f>
        <v/>
      </c>
      <c r="L23" s="53">
        <f>COUNTIFS('Master Tracker'!$B$6:$B$400,"Phase 3",'Master Tracker'!$F$6:$F$400,"P0",'Master Tracker'!$G$6:$G$400,"&lt;&gt;Completed",'Master Tracker'!$A$6:$A$400,"?*")</f>
        <v/>
      </c>
      <c r="M23" s="54">
        <f>IFERROR(SUMPRODUCT(('Master Tracker'!$B$6:$B$400="Phase 3")*'Master Tracker'!$V$6:$V$400)/G23,0)</f>
        <v/>
      </c>
      <c r="N23" s="54">
        <f>IFERROR(SUMPRODUCT(('Master Tracker'!$B$6:$B$400="Phase 3")*'Master Tracker'!$U$6:$U$400)/G23,0)</f>
        <v/>
      </c>
      <c r="O23" s="55">
        <f>REPT("█",ROUND(N23*14,0))&amp;REPT("░",14-ROUND(N23*14,0))</f>
        <v/>
      </c>
      <c r="P23" s="53" t="n"/>
      <c r="Q23" s="53">
        <f>IF(G23=0,"—",IF(H23=G23,"Complete",IF(I23&gt;0,"Blocked",IF(J23&gt;0,"Behind",IF(N23+0.1&lt;M23,"Behind",IF(N23&gt;0,"On Track","Not Started"))))))</f>
        <v/>
      </c>
    </row>
    <row r="24">
      <c r="B24" s="56" t="inlineStr">
        <is>
          <t>P4</t>
        </is>
      </c>
      <c r="C24" s="57" t="inlineStr">
        <is>
          <t>Digital Issues Archive &amp; CPT Engine</t>
        </is>
      </c>
      <c r="D24" s="58" t="n"/>
      <c r="E24" s="58" t="n"/>
      <c r="F24" s="58">
        <f>TEXT(_xlfn.MINIFS('Master Tracker'!$H$6:$H$400,'Master Tracker'!$B$6:$B$400,"Phase 4"),"dd mmm")&amp;" – "&amp;TEXT(_xlfn.MAXIFS('Master Tracker'!$I$6:$I$400,'Master Tracker'!$B$6:$B$400,"Phase 4"),"dd mmm")</f>
        <v/>
      </c>
      <c r="G24" s="58">
        <f>COUNTIFS('Master Tracker'!$B$6:$B$400,"Phase 4",'Master Tracker'!$A$6:$A$400,"?*")</f>
        <v/>
      </c>
      <c r="H24" s="58">
        <f>COUNTIFS('Master Tracker'!$B$6:$B$400,"Phase 4",'Master Tracker'!$G$6:$G$400,"Completed")</f>
        <v/>
      </c>
      <c r="I24" s="58">
        <f>COUNTIFS('Master Tracker'!$B$6:$B$400,"Phase 4",'Master Tracker'!$G$6:$G$400,"Blocked")</f>
        <v/>
      </c>
      <c r="J24" s="58">
        <f>COUNTIFS('Master Tracker'!$B$6:$B$400,"Phase 4",'Master Tracker'!$X$6:$X$400,"OVERDUE")</f>
        <v/>
      </c>
      <c r="K24" s="58">
        <f>COUNTIFS('Master Tracker'!$B$6:$B$400,"Phase 4",'Master Tracker'!$G$6:$G$400,"In Progress")</f>
        <v/>
      </c>
      <c r="L24" s="58">
        <f>COUNTIFS('Master Tracker'!$B$6:$B$400,"Phase 4",'Master Tracker'!$F$6:$F$400,"P0",'Master Tracker'!$G$6:$G$400,"&lt;&gt;Completed",'Master Tracker'!$A$6:$A$400,"?*")</f>
        <v/>
      </c>
      <c r="M24" s="59">
        <f>IFERROR(SUMPRODUCT(('Master Tracker'!$B$6:$B$400="Phase 4")*'Master Tracker'!$V$6:$V$400)/G24,0)</f>
        <v/>
      </c>
      <c r="N24" s="59">
        <f>IFERROR(SUMPRODUCT(('Master Tracker'!$B$6:$B$400="Phase 4")*'Master Tracker'!$U$6:$U$400)/G24,0)</f>
        <v/>
      </c>
      <c r="O24" s="60">
        <f>REPT("█",ROUND(N24*14,0))&amp;REPT("░",14-ROUND(N24*14,0))</f>
        <v/>
      </c>
      <c r="P24" s="58" t="n"/>
      <c r="Q24" s="58">
        <f>IF(G24=0,"—",IF(H24=G24,"Complete",IF(I24&gt;0,"Blocked",IF(J24&gt;0,"Behind",IF(N24+0.1&lt;M24,"Behind",IF(N24&gt;0,"On Track","Not Started"))))))</f>
        <v/>
      </c>
    </row>
    <row r="25">
      <c r="B25" s="51" t="inlineStr">
        <is>
          <t>P5</t>
        </is>
      </c>
      <c r="C25" s="52" t="inlineStr">
        <is>
          <t>Auth, Subscriptions, AdOps &amp; Leads</t>
        </is>
      </c>
      <c r="D25" s="53" t="n"/>
      <c r="E25" s="53" t="n"/>
      <c r="F25" s="53">
        <f>TEXT(_xlfn.MINIFS('Master Tracker'!$H$6:$H$400,'Master Tracker'!$B$6:$B$400,"Phase 5"),"dd mmm")&amp;" – "&amp;TEXT(_xlfn.MAXIFS('Master Tracker'!$I$6:$I$400,'Master Tracker'!$B$6:$B$400,"Phase 5"),"dd mmm")</f>
        <v/>
      </c>
      <c r="G25" s="53">
        <f>COUNTIFS('Master Tracker'!$B$6:$B$400,"Phase 5",'Master Tracker'!$A$6:$A$400,"?*")</f>
        <v/>
      </c>
      <c r="H25" s="53">
        <f>COUNTIFS('Master Tracker'!$B$6:$B$400,"Phase 5",'Master Tracker'!$G$6:$G$400,"Completed")</f>
        <v/>
      </c>
      <c r="I25" s="53">
        <f>COUNTIFS('Master Tracker'!$B$6:$B$400,"Phase 5",'Master Tracker'!$G$6:$G$400,"Blocked")</f>
        <v/>
      </c>
      <c r="J25" s="53">
        <f>COUNTIFS('Master Tracker'!$B$6:$B$400,"Phase 5",'Master Tracker'!$X$6:$X$400,"OVERDUE")</f>
        <v/>
      </c>
      <c r="K25" s="53">
        <f>COUNTIFS('Master Tracker'!$B$6:$B$400,"Phase 5",'Master Tracker'!$G$6:$G$400,"In Progress")</f>
        <v/>
      </c>
      <c r="L25" s="53">
        <f>COUNTIFS('Master Tracker'!$B$6:$B$400,"Phase 5",'Master Tracker'!$F$6:$F$400,"P0",'Master Tracker'!$G$6:$G$400,"&lt;&gt;Completed",'Master Tracker'!$A$6:$A$400,"?*")</f>
        <v/>
      </c>
      <c r="M25" s="54">
        <f>IFERROR(SUMPRODUCT(('Master Tracker'!$B$6:$B$400="Phase 5")*'Master Tracker'!$V$6:$V$400)/G25,0)</f>
        <v/>
      </c>
      <c r="N25" s="54">
        <f>IFERROR(SUMPRODUCT(('Master Tracker'!$B$6:$B$400="Phase 5")*'Master Tracker'!$U$6:$U$400)/G25,0)</f>
        <v/>
      </c>
      <c r="O25" s="55">
        <f>REPT("█",ROUND(N25*14,0))&amp;REPT("░",14-ROUND(N25*14,0))</f>
        <v/>
      </c>
      <c r="P25" s="53" t="n"/>
      <c r="Q25" s="53">
        <f>IF(G25=0,"—",IF(H25=G25,"Complete",IF(I25&gt;0,"Blocked",IF(J25&gt;0,"Behind",IF(N25+0.1&lt;M25,"Behind",IF(N25&gt;0,"On Track","Not Started"))))))</f>
        <v/>
      </c>
    </row>
    <row r="26">
      <c r="B26" s="56" t="inlineStr">
        <is>
          <t>P6</t>
        </is>
      </c>
      <c r="C26" s="57" t="inlineStr">
        <is>
          <t>Database Cleanup, Crawl Audit &amp; Cutover</t>
        </is>
      </c>
      <c r="D26" s="58" t="n"/>
      <c r="E26" s="58" t="n"/>
      <c r="F26" s="58">
        <f>TEXT(_xlfn.MINIFS('Master Tracker'!$H$6:$H$400,'Master Tracker'!$B$6:$B$400,"Phase 6"),"dd mmm")&amp;" – "&amp;TEXT(_xlfn.MAXIFS('Master Tracker'!$I$6:$I$400,'Master Tracker'!$B$6:$B$400,"Phase 6"),"dd mmm")</f>
        <v/>
      </c>
      <c r="G26" s="58">
        <f>COUNTIFS('Master Tracker'!$B$6:$B$400,"Phase 6",'Master Tracker'!$A$6:$A$400,"?*")</f>
        <v/>
      </c>
      <c r="H26" s="58">
        <f>COUNTIFS('Master Tracker'!$B$6:$B$400,"Phase 6",'Master Tracker'!$G$6:$G$400,"Completed")</f>
        <v/>
      </c>
      <c r="I26" s="58">
        <f>COUNTIFS('Master Tracker'!$B$6:$B$400,"Phase 6",'Master Tracker'!$G$6:$G$400,"Blocked")</f>
        <v/>
      </c>
      <c r="J26" s="58">
        <f>COUNTIFS('Master Tracker'!$B$6:$B$400,"Phase 6",'Master Tracker'!$X$6:$X$400,"OVERDUE")</f>
        <v/>
      </c>
      <c r="K26" s="58">
        <f>COUNTIFS('Master Tracker'!$B$6:$B$400,"Phase 6",'Master Tracker'!$G$6:$G$400,"In Progress")</f>
        <v/>
      </c>
      <c r="L26" s="58">
        <f>COUNTIFS('Master Tracker'!$B$6:$B$400,"Phase 6",'Master Tracker'!$F$6:$F$400,"P0",'Master Tracker'!$G$6:$G$400,"&lt;&gt;Completed",'Master Tracker'!$A$6:$A$400,"?*")</f>
        <v/>
      </c>
      <c r="M26" s="59">
        <f>IFERROR(SUMPRODUCT(('Master Tracker'!$B$6:$B$400="Phase 6")*'Master Tracker'!$V$6:$V$400)/G26,0)</f>
        <v/>
      </c>
      <c r="N26" s="59">
        <f>IFERROR(SUMPRODUCT(('Master Tracker'!$B$6:$B$400="Phase 6")*'Master Tracker'!$U$6:$U$400)/G26,0)</f>
        <v/>
      </c>
      <c r="O26" s="60">
        <f>REPT("█",ROUND(N26*14,0))&amp;REPT("░",14-ROUND(N26*14,0))</f>
        <v/>
      </c>
      <c r="P26" s="58" t="n"/>
      <c r="Q26" s="58">
        <f>IF(G26=0,"—",IF(H26=G26,"Complete",IF(I26&gt;0,"Blocked",IF(J26&gt;0,"Behind",IF(N26+0.1&lt;M26,"Behind",IF(N26&gt;0,"On Track","Not Started"))))))</f>
        <v/>
      </c>
    </row>
    <row r="27">
      <c r="B27" s="61" t="inlineStr">
        <is>
          <t>TOTAL</t>
        </is>
      </c>
      <c r="C27" s="61" t="n"/>
      <c r="D27" s="61" t="n"/>
      <c r="E27" s="61" t="n"/>
      <c r="F27" s="61" t="n"/>
      <c r="G27" s="61">
        <f>SUM(G21:G26)</f>
        <v/>
      </c>
      <c r="H27" s="61">
        <f>SUM(H21:H26)</f>
        <v/>
      </c>
      <c r="I27" s="61">
        <f>SUM(I21:I26)</f>
        <v/>
      </c>
      <c r="J27" s="61">
        <f>SUM(J21:J26)</f>
        <v/>
      </c>
      <c r="K27" s="61">
        <f>SUM(K21:K26)</f>
        <v/>
      </c>
      <c r="L27" s="61">
        <f>SUM(L21:L26)</f>
        <v/>
      </c>
      <c r="M27" s="62">
        <f>E11</f>
        <v/>
      </c>
      <c r="N27" s="62">
        <f>B11</f>
        <v/>
      </c>
      <c r="O27" s="61" t="n"/>
      <c r="P27" s="61" t="n"/>
      <c r="Q27" s="61" t="n"/>
    </row>
    <row r="29" ht="22" customHeight="1">
      <c r="B29" s="9" t="inlineStr">
        <is>
          <t xml:space="preserve">  PRIORITY BREAKDOWN</t>
        </is>
      </c>
      <c r="C29" s="10" t="n"/>
      <c r="D29" s="10" t="n"/>
      <c r="E29" s="10" t="n"/>
      <c r="F29" s="10" t="n"/>
      <c r="G29" s="10" t="n"/>
      <c r="H29" s="10" t="n"/>
      <c r="J29" s="9" t="inlineStr">
        <is>
          <t xml:space="preserve">  STATUS MIX</t>
        </is>
      </c>
      <c r="K29" s="10" t="n"/>
      <c r="L29" s="10" t="n"/>
      <c r="N29" s="9" t="inlineStr">
        <is>
          <t xml:space="preserve">  OPEN EXTERNAL DEPENDENCIES</t>
        </is>
      </c>
      <c r="O29" s="10" t="n"/>
      <c r="P29" s="10" t="n"/>
      <c r="Q29" s="10" t="n"/>
    </row>
    <row r="30">
      <c r="B30" s="48" t="inlineStr">
        <is>
          <t>Priority</t>
        </is>
      </c>
      <c r="C30" s="49" t="n"/>
      <c r="D30" s="50" t="n"/>
      <c r="E30" s="48" t="inlineStr">
        <is>
          <t>Tasks</t>
        </is>
      </c>
      <c r="F30" s="48" t="inlineStr">
        <is>
          <t>Completed</t>
        </is>
      </c>
      <c r="G30" s="48" t="inlineStr">
        <is>
          <t>Open</t>
        </is>
      </c>
      <c r="H30" s="48" t="inlineStr">
        <is>
          <t>% Done</t>
        </is>
      </c>
      <c r="J30" s="48" t="inlineStr">
        <is>
          <t>Status</t>
        </is>
      </c>
      <c r="K30" s="48" t="inlineStr">
        <is>
          <t>Count</t>
        </is>
      </c>
      <c r="L30" s="48" t="inlineStr">
        <is>
          <t>%</t>
        </is>
      </c>
      <c r="N30" s="48" t="inlineStr">
        <is>
          <t>Type</t>
        </is>
      </c>
      <c r="O30" s="50" t="n"/>
      <c r="P30" s="48" t="inlineStr">
        <is>
          <t>Open</t>
        </is>
      </c>
      <c r="Q30" s="48" t="inlineStr">
        <is>
          <t>Next due</t>
        </is>
      </c>
    </row>
    <row r="31">
      <c r="B31" s="63" t="inlineStr">
        <is>
          <t>P0 · Must-have for launch</t>
        </is>
      </c>
      <c r="C31" s="58" t="n"/>
      <c r="D31" s="58" t="n"/>
      <c r="E31" s="58">
        <f>COUNTIFS('Master Tracker'!$F$6:$F$400,"P0",'Master Tracker'!$A$6:$A$400,"?*")</f>
        <v/>
      </c>
      <c r="F31" s="58">
        <f>COUNTIFS('Master Tracker'!$F$6:$F$400,"P0",'Master Tracker'!$G$6:$G$400,"Completed")</f>
        <v/>
      </c>
      <c r="G31" s="58">
        <f>E31-F31</f>
        <v/>
      </c>
      <c r="H31" s="59">
        <f>IFERROR(F31/E31,0)</f>
        <v/>
      </c>
      <c r="J31" s="64" t="inlineStr">
        <is>
          <t>Not Started</t>
        </is>
      </c>
      <c r="K31" s="64">
        <f>COUNTIFS('Master Tracker'!$G$6:$G$400,"Not Started",'Master Tracker'!$A$6:$A$400,"?*")</f>
        <v/>
      </c>
      <c r="L31" s="65">
        <f>IFERROR(K31/$B$16,0)</f>
        <v/>
      </c>
      <c r="N31" s="58" t="inlineStr">
        <is>
          <t>Credentials</t>
        </is>
      </c>
      <c r="O31" s="58" t="n"/>
      <c r="P31" s="58">
        <f>COUNTIFS('Master Tracker'!$S$6:$S$400,"Credentials",'Master Tracker'!$G$6:$G$400,"&lt;&gt;Completed",'Master Tracker'!$A$6:$A$400,"?*")</f>
        <v/>
      </c>
      <c r="Q31" s="66">
        <f>IF(P31=0,"—",_xlfn.MINIFS('Master Tracker'!$I$6:$I$400,'Master Tracker'!$S$6:$S$400,"Credentials",'Master Tracker'!$G$6:$G$400,"&lt;&gt;Completed"))</f>
        <v/>
      </c>
    </row>
    <row r="32">
      <c r="B32" s="67" t="inlineStr">
        <is>
          <t>P1 · Important</t>
        </is>
      </c>
      <c r="C32" s="53" t="n"/>
      <c r="D32" s="53" t="n"/>
      <c r="E32" s="53">
        <f>COUNTIFS('Master Tracker'!$F$6:$F$400,"P1",'Master Tracker'!$A$6:$A$400,"?*")</f>
        <v/>
      </c>
      <c r="F32" s="53">
        <f>COUNTIFS('Master Tracker'!$F$6:$F$400,"P1",'Master Tracker'!$G$6:$G$400,"Completed")</f>
        <v/>
      </c>
      <c r="G32" s="53">
        <f>E32-F32</f>
        <v/>
      </c>
      <c r="H32" s="54">
        <f>IFERROR(F32/E32,0)</f>
        <v/>
      </c>
      <c r="J32" s="68" t="inlineStr">
        <is>
          <t>In Progress</t>
        </is>
      </c>
      <c r="K32" s="68">
        <f>COUNTIFS('Master Tracker'!$G$6:$G$400,"In Progress",'Master Tracker'!$A$6:$A$400,"?*")</f>
        <v/>
      </c>
      <c r="L32" s="69">
        <f>IFERROR(K32/$B$16,0)</f>
        <v/>
      </c>
      <c r="N32" s="53" t="inlineStr">
        <is>
          <t>Payment Approval</t>
        </is>
      </c>
      <c r="O32" s="53" t="n"/>
      <c r="P32" s="53">
        <f>COUNTIFS('Master Tracker'!$S$6:$S$400,"Payment Approval",'Master Tracker'!$G$6:$G$400,"&lt;&gt;Completed",'Master Tracker'!$A$6:$A$400,"?*")</f>
        <v/>
      </c>
      <c r="Q32" s="70">
        <f>IF(P32=0,"—",_xlfn.MINIFS('Master Tracker'!$I$6:$I$400,'Master Tracker'!$S$6:$S$400,"Payment Approval",'Master Tracker'!$G$6:$G$400,"&lt;&gt;Completed"))</f>
        <v/>
      </c>
    </row>
    <row r="33">
      <c r="B33" s="63" t="inlineStr">
        <is>
          <t>P2 · Nice-to-have / deferrable</t>
        </is>
      </c>
      <c r="C33" s="58" t="n"/>
      <c r="D33" s="58" t="n"/>
      <c r="E33" s="58">
        <f>COUNTIFS('Master Tracker'!$F$6:$F$400,"P2",'Master Tracker'!$A$6:$A$400,"?*")</f>
        <v/>
      </c>
      <c r="F33" s="58">
        <f>COUNTIFS('Master Tracker'!$F$6:$F$400,"P2",'Master Tracker'!$G$6:$G$400,"Completed")</f>
        <v/>
      </c>
      <c r="G33" s="58">
        <f>E33-F33</f>
        <v/>
      </c>
      <c r="H33" s="59">
        <f>IFERROR(F33/E33,0)</f>
        <v/>
      </c>
      <c r="J33" s="71" t="inlineStr">
        <is>
          <t>Blocked</t>
        </is>
      </c>
      <c r="K33" s="71">
        <f>COUNTIFS('Master Tracker'!$G$6:$G$400,"Blocked",'Master Tracker'!$A$6:$A$400,"?*")</f>
        <v/>
      </c>
      <c r="L33" s="72">
        <f>IFERROR(K33/$B$16,0)</f>
        <v/>
      </c>
      <c r="N33" s="58" t="inlineStr">
        <is>
          <t>Historical Assets</t>
        </is>
      </c>
      <c r="O33" s="58" t="n"/>
      <c r="P33" s="58">
        <f>COUNTIFS('Master Tracker'!$S$6:$S$400,"Historical Assets",'Master Tracker'!$G$6:$G$400,"&lt;&gt;Completed",'Master Tracker'!$A$6:$A$400,"?*")</f>
        <v/>
      </c>
      <c r="Q33" s="66">
        <f>IF(P33=0,"—",_xlfn.MINIFS('Master Tracker'!$I$6:$I$400,'Master Tracker'!$S$6:$S$400,"Historical Assets",'Master Tracker'!$G$6:$G$400,"&lt;&gt;Completed"))</f>
        <v/>
      </c>
    </row>
    <row r="34">
      <c r="J34" s="73" t="inlineStr">
        <is>
          <t>In Review</t>
        </is>
      </c>
      <c r="K34" s="73">
        <f>COUNTIFS('Master Tracker'!$G$6:$G$400,"In Review",'Master Tracker'!$A$6:$A$400,"?*")</f>
        <v/>
      </c>
      <c r="L34" s="74">
        <f>IFERROR(K34/$B$16,0)</f>
        <v/>
      </c>
      <c r="N34" s="53" t="inlineStr">
        <is>
          <t>Server Access</t>
        </is>
      </c>
      <c r="O34" s="53" t="n"/>
      <c r="P34" s="53">
        <f>COUNTIFS('Master Tracker'!$S$6:$S$400,"Server Access",'Master Tracker'!$G$6:$G$400,"&lt;&gt;Completed",'Master Tracker'!$A$6:$A$400,"?*")</f>
        <v/>
      </c>
      <c r="Q34" s="70">
        <f>IF(P34=0,"—",_xlfn.MINIFS('Master Tracker'!$I$6:$I$400,'Master Tracker'!$S$6:$S$400,"Server Access",'Master Tracker'!$G$6:$G$400,"&lt;&gt;Completed"))</f>
        <v/>
      </c>
    </row>
    <row r="35">
      <c r="B35" s="75">
        <f>IF(N16+L16=0,"✓ No overdue or blocked tasks.","⚠ "&amp;N16&amp;" overdue and "&amp;L16&amp;" blocked task(s). See the lists below and the Master Tracker Alert column.")</f>
        <v/>
      </c>
      <c r="J35" s="73" t="inlineStr">
        <is>
          <t>Testing</t>
        </is>
      </c>
      <c r="K35" s="73">
        <f>COUNTIFS('Master Tracker'!$G$6:$G$400,"Testing",'Master Tracker'!$A$6:$A$400,"?*")</f>
        <v/>
      </c>
      <c r="L35" s="74">
        <f>IFERROR(K35/$B$16,0)</f>
        <v/>
      </c>
      <c r="N35" s="58" t="inlineStr">
        <is>
          <t>Client Content</t>
        </is>
      </c>
      <c r="O35" s="58" t="n"/>
      <c r="P35" s="58">
        <f>COUNTIFS('Master Tracker'!$S$6:$S$400,"Client Content",'Master Tracker'!$G$6:$G$400,"&lt;&gt;Completed",'Master Tracker'!$A$6:$A$400,"?*")</f>
        <v/>
      </c>
      <c r="Q35" s="66">
        <f>IF(P35=0,"—",_xlfn.MINIFS('Master Tracker'!$I$6:$I$400,'Master Tracker'!$S$6:$S$400,"Client Content",'Master Tracker'!$G$6:$G$400,"&lt;&gt;Completed"))</f>
        <v/>
      </c>
    </row>
    <row r="36">
      <c r="J36" s="76" t="inlineStr">
        <is>
          <t>Completed</t>
        </is>
      </c>
      <c r="K36" s="76">
        <f>COUNTIFS('Master Tracker'!$G$6:$G$400,"Completed",'Master Tracker'!$A$6:$A$400,"?*")</f>
        <v/>
      </c>
      <c r="L36" s="77">
        <f>IFERROR(K36/$B$16,0)</f>
        <v/>
      </c>
    </row>
    <row r="37">
      <c r="J37" s="71" t="inlineStr">
        <is>
          <t>Overdue</t>
        </is>
      </c>
      <c r="K37" s="71">
        <f>N16</f>
        <v/>
      </c>
      <c r="L37" s="72">
        <f>IFERROR(K37/$B$16,0)</f>
        <v/>
      </c>
    </row>
    <row r="40" ht="22" customHeight="1">
      <c r="B40" s="9" t="inlineStr">
        <is>
          <t xml:space="preserve">  CHARTS   (update automatically from the Master Tracker)</t>
        </is>
      </c>
      <c r="C40" s="10" t="n"/>
      <c r="D40" s="10" t="n"/>
      <c r="E40" s="10" t="n"/>
      <c r="F40" s="10" t="n"/>
      <c r="G40" s="10" t="n"/>
      <c r="H40" s="10" t="n"/>
      <c r="I40" s="10" t="n"/>
      <c r="J40" s="10" t="n"/>
      <c r="K40" s="10" t="n"/>
      <c r="L40" s="10" t="n"/>
      <c r="M40" s="10" t="n"/>
      <c r="N40" s="10" t="n"/>
      <c r="O40" s="10" t="n"/>
      <c r="P40" s="10" t="n"/>
      <c r="Q40" s="10" t="n"/>
    </row>
    <row r="58" ht="22" customHeight="1">
      <c r="B58" s="9" t="inlineStr">
        <is>
          <t xml:space="preserve">  UPCOMING DEADLINES   (next open tasks by due date)</t>
        </is>
      </c>
      <c r="C58" s="10" t="n"/>
      <c r="D58" s="10" t="n"/>
      <c r="E58" s="10" t="n"/>
      <c r="F58" s="10" t="n"/>
      <c r="G58" s="10" t="n"/>
      <c r="H58" s="10" t="n"/>
      <c r="I58" s="10" t="n"/>
      <c r="K58" s="9" t="inlineStr">
        <is>
          <t xml:space="preserve">  CRITICAL BLOCKERS   (Blocked status or blocker text)</t>
        </is>
      </c>
      <c r="L58" s="10" t="n"/>
      <c r="M58" s="10" t="n"/>
      <c r="N58" s="10" t="n"/>
      <c r="O58" s="10" t="n"/>
      <c r="P58" s="10" t="n"/>
      <c r="Q58" s="10" t="n"/>
    </row>
    <row r="59">
      <c r="B59" s="48" t="inlineStr">
        <is>
          <t>ID</t>
        </is>
      </c>
      <c r="C59" s="48" t="inlineStr">
        <is>
          <t>Task</t>
        </is>
      </c>
      <c r="D59" s="49" t="n"/>
      <c r="E59" s="50" t="n"/>
      <c r="F59" s="48" t="inlineStr">
        <is>
          <t>Phase</t>
        </is>
      </c>
      <c r="G59" s="48" t="inlineStr">
        <is>
          <t>Due</t>
        </is>
      </c>
      <c r="H59" s="48" t="inlineStr">
        <is>
          <t>Days</t>
        </is>
      </c>
      <c r="I59" s="48" t="inlineStr">
        <is>
          <t>Status</t>
        </is>
      </c>
      <c r="K59" s="48" t="inlineStr">
        <is>
          <t>ID</t>
        </is>
      </c>
      <c r="L59" s="48" t="inlineStr">
        <is>
          <t>Task</t>
        </is>
      </c>
      <c r="M59" s="50" t="n"/>
      <c r="N59" s="48" t="inlineStr">
        <is>
          <t>Status</t>
        </is>
      </c>
      <c r="O59" s="48" t="inlineStr">
        <is>
          <t>Blocker / Issue</t>
        </is>
      </c>
      <c r="P59" s="49" t="n"/>
      <c r="Q59" s="50" t="n"/>
    </row>
    <row r="60">
      <c r="B60" s="53">
        <f>IF($S60="","",INDEX('Master Tracker'!$A$6:$A$400,$S60))</f>
        <v/>
      </c>
      <c r="C60" s="78">
        <f>IF($S60="","",INDEX('Master Tracker'!$D$6:$D$400,$S60))</f>
        <v/>
      </c>
      <c r="D60" s="53" t="n"/>
      <c r="E60" s="53" t="n"/>
      <c r="F60" s="53">
        <f>IF($S60="","",INDEX('Master Tracker'!$B$6:$B$400,$S60))</f>
        <v/>
      </c>
      <c r="G60" s="70">
        <f>IF($S60="","",INDEX('Master Tracker'!$I$6:$I$400,$S60))</f>
        <v/>
      </c>
      <c r="H60" s="53">
        <f>IF($S60="","",INDEX('Master Tracker'!$W$6:$W$400,$S60))</f>
        <v/>
      </c>
      <c r="I60" s="53">
        <f>IF($S60="","",INDEX('Master Tracker'!$G$6:$G$400,$S60))</f>
        <v/>
      </c>
      <c r="K60" s="53">
        <f>IF($T60="","",INDEX('Master Tracker'!$A:$A,$T60))</f>
        <v/>
      </c>
      <c r="L60" s="78">
        <f>IF($T60="","",INDEX('Master Tracker'!$D:$D,$T60))</f>
        <v/>
      </c>
      <c r="M60" s="53" t="n"/>
      <c r="N60" s="53">
        <f>IF($T60="","",INDEX('Master Tracker'!$G:$G,$T60))</f>
        <v/>
      </c>
      <c r="O60" s="78">
        <f>IF($T60="","",INDEX('Master Tracker'!$P:$P,$T60))</f>
        <v/>
      </c>
      <c r="P60" s="53" t="n"/>
      <c r="Q60" s="53" t="n"/>
      <c r="S60">
        <f>IFERROR(MATCH(SMALL('Master Tracker'!$AA$6:$AA$400,1),'Master Tracker'!$AA$6:$AA$400,0),"")</f>
        <v/>
      </c>
      <c r="T60">
        <f>IFERROR(SMALL('Master Tracker'!$AB$6:$AB$400,1),"")</f>
        <v/>
      </c>
    </row>
    <row r="61">
      <c r="B61" s="58">
        <f>IF($S61="","",INDEX('Master Tracker'!$A$6:$A$400,$S61))</f>
        <v/>
      </c>
      <c r="C61" s="79">
        <f>IF($S61="","",INDEX('Master Tracker'!$D$6:$D$400,$S61))</f>
        <v/>
      </c>
      <c r="D61" s="58" t="n"/>
      <c r="E61" s="58" t="n"/>
      <c r="F61" s="58">
        <f>IF($S61="","",INDEX('Master Tracker'!$B$6:$B$400,$S61))</f>
        <v/>
      </c>
      <c r="G61" s="66">
        <f>IF($S61="","",INDEX('Master Tracker'!$I$6:$I$400,$S61))</f>
        <v/>
      </c>
      <c r="H61" s="58">
        <f>IF($S61="","",INDEX('Master Tracker'!$W$6:$W$400,$S61))</f>
        <v/>
      </c>
      <c r="I61" s="58">
        <f>IF($S61="","",INDEX('Master Tracker'!$G$6:$G$400,$S61))</f>
        <v/>
      </c>
      <c r="K61" s="58">
        <f>IF($T61="","",INDEX('Master Tracker'!$A:$A,$T61))</f>
        <v/>
      </c>
      <c r="L61" s="79">
        <f>IF($T61="","",INDEX('Master Tracker'!$D:$D,$T61))</f>
        <v/>
      </c>
      <c r="M61" s="58" t="n"/>
      <c r="N61" s="58">
        <f>IF($T61="","",INDEX('Master Tracker'!$G:$G,$T61))</f>
        <v/>
      </c>
      <c r="O61" s="79">
        <f>IF($T61="","",INDEX('Master Tracker'!$P:$P,$T61))</f>
        <v/>
      </c>
      <c r="P61" s="58" t="n"/>
      <c r="Q61" s="58" t="n"/>
      <c r="S61">
        <f>IFERROR(MATCH(SMALL('Master Tracker'!$AA$6:$AA$400,2),'Master Tracker'!$AA$6:$AA$400,0),"")</f>
        <v/>
      </c>
      <c r="T61">
        <f>IFERROR(SMALL('Master Tracker'!$AB$6:$AB$400,2),"")</f>
        <v/>
      </c>
    </row>
    <row r="62">
      <c r="B62" s="53">
        <f>IF($S62="","",INDEX('Master Tracker'!$A$6:$A$400,$S62))</f>
        <v/>
      </c>
      <c r="C62" s="78">
        <f>IF($S62="","",INDEX('Master Tracker'!$D$6:$D$400,$S62))</f>
        <v/>
      </c>
      <c r="D62" s="53" t="n"/>
      <c r="E62" s="53" t="n"/>
      <c r="F62" s="53">
        <f>IF($S62="","",INDEX('Master Tracker'!$B$6:$B$400,$S62))</f>
        <v/>
      </c>
      <c r="G62" s="70">
        <f>IF($S62="","",INDEX('Master Tracker'!$I$6:$I$400,$S62))</f>
        <v/>
      </c>
      <c r="H62" s="53">
        <f>IF($S62="","",INDEX('Master Tracker'!$W$6:$W$400,$S62))</f>
        <v/>
      </c>
      <c r="I62" s="53">
        <f>IF($S62="","",INDEX('Master Tracker'!$G$6:$G$400,$S62))</f>
        <v/>
      </c>
      <c r="K62" s="53">
        <f>IF($T62="","",INDEX('Master Tracker'!$A:$A,$T62))</f>
        <v/>
      </c>
      <c r="L62" s="78">
        <f>IF($T62="","",INDEX('Master Tracker'!$D:$D,$T62))</f>
        <v/>
      </c>
      <c r="M62" s="53" t="n"/>
      <c r="N62" s="53">
        <f>IF($T62="","",INDEX('Master Tracker'!$G:$G,$T62))</f>
        <v/>
      </c>
      <c r="O62" s="78">
        <f>IF($T62="","",INDEX('Master Tracker'!$P:$P,$T62))</f>
        <v/>
      </c>
      <c r="P62" s="53" t="n"/>
      <c r="Q62" s="53" t="n"/>
      <c r="S62">
        <f>IFERROR(MATCH(SMALL('Master Tracker'!$AA$6:$AA$400,3),'Master Tracker'!$AA$6:$AA$400,0),"")</f>
        <v/>
      </c>
      <c r="T62">
        <f>IFERROR(SMALL('Master Tracker'!$AB$6:$AB$400,3),"")</f>
        <v/>
      </c>
    </row>
    <row r="63">
      <c r="B63" s="58">
        <f>IF($S63="","",INDEX('Master Tracker'!$A$6:$A$400,$S63))</f>
        <v/>
      </c>
      <c r="C63" s="79">
        <f>IF($S63="","",INDEX('Master Tracker'!$D$6:$D$400,$S63))</f>
        <v/>
      </c>
      <c r="D63" s="58" t="n"/>
      <c r="E63" s="58" t="n"/>
      <c r="F63" s="58">
        <f>IF($S63="","",INDEX('Master Tracker'!$B$6:$B$400,$S63))</f>
        <v/>
      </c>
      <c r="G63" s="66">
        <f>IF($S63="","",INDEX('Master Tracker'!$I$6:$I$400,$S63))</f>
        <v/>
      </c>
      <c r="H63" s="58">
        <f>IF($S63="","",INDEX('Master Tracker'!$W$6:$W$400,$S63))</f>
        <v/>
      </c>
      <c r="I63" s="58">
        <f>IF($S63="","",INDEX('Master Tracker'!$G$6:$G$400,$S63))</f>
        <v/>
      </c>
      <c r="K63" s="58">
        <f>IF($T63="","",INDEX('Master Tracker'!$A:$A,$T63))</f>
        <v/>
      </c>
      <c r="L63" s="79">
        <f>IF($T63="","",INDEX('Master Tracker'!$D:$D,$T63))</f>
        <v/>
      </c>
      <c r="M63" s="58" t="n"/>
      <c r="N63" s="58">
        <f>IF($T63="","",INDEX('Master Tracker'!$G:$G,$T63))</f>
        <v/>
      </c>
      <c r="O63" s="79">
        <f>IF($T63="","",INDEX('Master Tracker'!$P:$P,$T63))</f>
        <v/>
      </c>
      <c r="P63" s="58" t="n"/>
      <c r="Q63" s="58" t="n"/>
      <c r="S63">
        <f>IFERROR(MATCH(SMALL('Master Tracker'!$AA$6:$AA$400,4),'Master Tracker'!$AA$6:$AA$400,0),"")</f>
        <v/>
      </c>
      <c r="T63">
        <f>IFERROR(SMALL('Master Tracker'!$AB$6:$AB$400,4),"")</f>
        <v/>
      </c>
    </row>
    <row r="64">
      <c r="B64" s="53">
        <f>IF($S64="","",INDEX('Master Tracker'!$A$6:$A$400,$S64))</f>
        <v/>
      </c>
      <c r="C64" s="78">
        <f>IF($S64="","",INDEX('Master Tracker'!$D$6:$D$400,$S64))</f>
        <v/>
      </c>
      <c r="D64" s="53" t="n"/>
      <c r="E64" s="53" t="n"/>
      <c r="F64" s="53">
        <f>IF($S64="","",INDEX('Master Tracker'!$B$6:$B$400,$S64))</f>
        <v/>
      </c>
      <c r="G64" s="70">
        <f>IF($S64="","",INDEX('Master Tracker'!$I$6:$I$400,$S64))</f>
        <v/>
      </c>
      <c r="H64" s="53">
        <f>IF($S64="","",INDEX('Master Tracker'!$W$6:$W$400,$S64))</f>
        <v/>
      </c>
      <c r="I64" s="53">
        <f>IF($S64="","",INDEX('Master Tracker'!$G$6:$G$400,$S64))</f>
        <v/>
      </c>
      <c r="K64" s="53">
        <f>IF($T64="","",INDEX('Master Tracker'!$A:$A,$T64))</f>
        <v/>
      </c>
      <c r="L64" s="78">
        <f>IF($T64="","",INDEX('Master Tracker'!$D:$D,$T64))</f>
        <v/>
      </c>
      <c r="M64" s="53" t="n"/>
      <c r="N64" s="53">
        <f>IF($T64="","",INDEX('Master Tracker'!$G:$G,$T64))</f>
        <v/>
      </c>
      <c r="O64" s="78">
        <f>IF($T64="","",INDEX('Master Tracker'!$P:$P,$T64))</f>
        <v/>
      </c>
      <c r="P64" s="53" t="n"/>
      <c r="Q64" s="53" t="n"/>
      <c r="S64">
        <f>IFERROR(MATCH(SMALL('Master Tracker'!$AA$6:$AA$400,5),'Master Tracker'!$AA$6:$AA$400,0),"")</f>
        <v/>
      </c>
      <c r="T64">
        <f>IFERROR(SMALL('Master Tracker'!$AB$6:$AB$400,5),"")</f>
        <v/>
      </c>
    </row>
    <row r="65">
      <c r="B65" s="58">
        <f>IF($S65="","",INDEX('Master Tracker'!$A$6:$A$400,$S65))</f>
        <v/>
      </c>
      <c r="C65" s="79">
        <f>IF($S65="","",INDEX('Master Tracker'!$D$6:$D$400,$S65))</f>
        <v/>
      </c>
      <c r="D65" s="58" t="n"/>
      <c r="E65" s="58" t="n"/>
      <c r="F65" s="58">
        <f>IF($S65="","",INDEX('Master Tracker'!$B$6:$B$400,$S65))</f>
        <v/>
      </c>
      <c r="G65" s="66">
        <f>IF($S65="","",INDEX('Master Tracker'!$I$6:$I$400,$S65))</f>
        <v/>
      </c>
      <c r="H65" s="58">
        <f>IF($S65="","",INDEX('Master Tracker'!$W$6:$W$400,$S65))</f>
        <v/>
      </c>
      <c r="I65" s="58">
        <f>IF($S65="","",INDEX('Master Tracker'!$G$6:$G$400,$S65))</f>
        <v/>
      </c>
      <c r="K65" s="58">
        <f>IF($T65="","",INDEX('Master Tracker'!$A:$A,$T65))</f>
        <v/>
      </c>
      <c r="L65" s="79">
        <f>IF($T65="","",INDEX('Master Tracker'!$D:$D,$T65))</f>
        <v/>
      </c>
      <c r="M65" s="58" t="n"/>
      <c r="N65" s="58">
        <f>IF($T65="","",INDEX('Master Tracker'!$G:$G,$T65))</f>
        <v/>
      </c>
      <c r="O65" s="79">
        <f>IF($T65="","",INDEX('Master Tracker'!$P:$P,$T65))</f>
        <v/>
      </c>
      <c r="P65" s="58" t="n"/>
      <c r="Q65" s="58" t="n"/>
      <c r="S65">
        <f>IFERROR(MATCH(SMALL('Master Tracker'!$AA$6:$AA$400,6),'Master Tracker'!$AA$6:$AA$400,0),"")</f>
        <v/>
      </c>
      <c r="T65">
        <f>IFERROR(SMALL('Master Tracker'!$AB$6:$AB$400,6),"")</f>
        <v/>
      </c>
    </row>
    <row r="66">
      <c r="B66" s="53">
        <f>IF($S66="","",INDEX('Master Tracker'!$A$6:$A$400,$S66))</f>
        <v/>
      </c>
      <c r="C66" s="78">
        <f>IF($S66="","",INDEX('Master Tracker'!$D$6:$D$400,$S66))</f>
        <v/>
      </c>
      <c r="D66" s="53" t="n"/>
      <c r="E66" s="53" t="n"/>
      <c r="F66" s="53">
        <f>IF($S66="","",INDEX('Master Tracker'!$B$6:$B$400,$S66))</f>
        <v/>
      </c>
      <c r="G66" s="70">
        <f>IF($S66="","",INDEX('Master Tracker'!$I$6:$I$400,$S66))</f>
        <v/>
      </c>
      <c r="H66" s="53">
        <f>IF($S66="","",INDEX('Master Tracker'!$W$6:$W$400,$S66))</f>
        <v/>
      </c>
      <c r="I66" s="53">
        <f>IF($S66="","",INDEX('Master Tracker'!$G$6:$G$400,$S66))</f>
        <v/>
      </c>
      <c r="K66" s="53">
        <f>IF($T66="","",INDEX('Master Tracker'!$A:$A,$T66))</f>
        <v/>
      </c>
      <c r="L66" s="78">
        <f>IF($T66="","",INDEX('Master Tracker'!$D:$D,$T66))</f>
        <v/>
      </c>
      <c r="M66" s="53" t="n"/>
      <c r="N66" s="53">
        <f>IF($T66="","",INDEX('Master Tracker'!$G:$G,$T66))</f>
        <v/>
      </c>
      <c r="O66" s="78">
        <f>IF($T66="","",INDEX('Master Tracker'!$P:$P,$T66))</f>
        <v/>
      </c>
      <c r="P66" s="53" t="n"/>
      <c r="Q66" s="53" t="n"/>
      <c r="S66">
        <f>IFERROR(MATCH(SMALL('Master Tracker'!$AA$6:$AA$400,7),'Master Tracker'!$AA$6:$AA$400,0),"")</f>
        <v/>
      </c>
      <c r="T66">
        <f>IFERROR(SMALL('Master Tracker'!$AB$6:$AB$400,7),"")</f>
        <v/>
      </c>
    </row>
    <row r="67">
      <c r="B67" s="58">
        <f>IF($S67="","",INDEX('Master Tracker'!$A$6:$A$400,$S67))</f>
        <v/>
      </c>
      <c r="C67" s="79">
        <f>IF($S67="","",INDEX('Master Tracker'!$D$6:$D$400,$S67))</f>
        <v/>
      </c>
      <c r="D67" s="58" t="n"/>
      <c r="E67" s="58" t="n"/>
      <c r="F67" s="58">
        <f>IF($S67="","",INDEX('Master Tracker'!$B$6:$B$400,$S67))</f>
        <v/>
      </c>
      <c r="G67" s="66">
        <f>IF($S67="","",INDEX('Master Tracker'!$I$6:$I$400,$S67))</f>
        <v/>
      </c>
      <c r="H67" s="58">
        <f>IF($S67="","",INDEX('Master Tracker'!$W$6:$W$400,$S67))</f>
        <v/>
      </c>
      <c r="I67" s="58">
        <f>IF($S67="","",INDEX('Master Tracker'!$G$6:$G$400,$S67))</f>
        <v/>
      </c>
      <c r="K67" s="58">
        <f>IF($T67="","",INDEX('Master Tracker'!$A:$A,$T67))</f>
        <v/>
      </c>
      <c r="L67" s="79">
        <f>IF($T67="","",INDEX('Master Tracker'!$D:$D,$T67))</f>
        <v/>
      </c>
      <c r="M67" s="58" t="n"/>
      <c r="N67" s="58">
        <f>IF($T67="","",INDEX('Master Tracker'!$G:$G,$T67))</f>
        <v/>
      </c>
      <c r="O67" s="79">
        <f>IF($T67="","",INDEX('Master Tracker'!$P:$P,$T67))</f>
        <v/>
      </c>
      <c r="P67" s="58" t="n"/>
      <c r="Q67" s="58" t="n"/>
      <c r="S67">
        <f>IFERROR(MATCH(SMALL('Master Tracker'!$AA$6:$AA$400,8),'Master Tracker'!$AA$6:$AA$400,0),"")</f>
        <v/>
      </c>
      <c r="T67">
        <f>IFERROR(SMALL('Master Tracker'!$AB$6:$AB$400,8),"")</f>
        <v/>
      </c>
    </row>
    <row r="68">
      <c r="B68" s="53">
        <f>IF($S68="","",INDEX('Master Tracker'!$A$6:$A$400,$S68))</f>
        <v/>
      </c>
      <c r="C68" s="78">
        <f>IF($S68="","",INDEX('Master Tracker'!$D$6:$D$400,$S68))</f>
        <v/>
      </c>
      <c r="D68" s="53" t="n"/>
      <c r="E68" s="53" t="n"/>
      <c r="F68" s="53">
        <f>IF($S68="","",INDEX('Master Tracker'!$B$6:$B$400,$S68))</f>
        <v/>
      </c>
      <c r="G68" s="70">
        <f>IF($S68="","",INDEX('Master Tracker'!$I$6:$I$400,$S68))</f>
        <v/>
      </c>
      <c r="H68" s="53">
        <f>IF($S68="","",INDEX('Master Tracker'!$W$6:$W$400,$S68))</f>
        <v/>
      </c>
      <c r="I68" s="53">
        <f>IF($S68="","",INDEX('Master Tracker'!$G$6:$G$400,$S68))</f>
        <v/>
      </c>
      <c r="K68" s="53">
        <f>IF($T68="","",INDEX('Master Tracker'!$A:$A,$T68))</f>
        <v/>
      </c>
      <c r="L68" s="78">
        <f>IF($T68="","",INDEX('Master Tracker'!$D:$D,$T68))</f>
        <v/>
      </c>
      <c r="M68" s="53" t="n"/>
      <c r="N68" s="53">
        <f>IF($T68="","",INDEX('Master Tracker'!$G:$G,$T68))</f>
        <v/>
      </c>
      <c r="O68" s="78">
        <f>IF($T68="","",INDEX('Master Tracker'!$P:$P,$T68))</f>
        <v/>
      </c>
      <c r="P68" s="53" t="n"/>
      <c r="Q68" s="53" t="n"/>
      <c r="S68">
        <f>IFERROR(MATCH(SMALL('Master Tracker'!$AA$6:$AA$400,9),'Master Tracker'!$AA$6:$AA$400,0),"")</f>
        <v/>
      </c>
      <c r="T68">
        <f>IFERROR(SMALL('Master Tracker'!$AB$6:$AB$400,9),"")</f>
        <v/>
      </c>
    </row>
    <row r="69">
      <c r="B69" s="58">
        <f>IF($S69="","",INDEX('Master Tracker'!$A$6:$A$400,$S69))</f>
        <v/>
      </c>
      <c r="C69" s="79">
        <f>IF($S69="","",INDEX('Master Tracker'!$D$6:$D$400,$S69))</f>
        <v/>
      </c>
      <c r="D69" s="58" t="n"/>
      <c r="E69" s="58" t="n"/>
      <c r="F69" s="58">
        <f>IF($S69="","",INDEX('Master Tracker'!$B$6:$B$400,$S69))</f>
        <v/>
      </c>
      <c r="G69" s="66">
        <f>IF($S69="","",INDEX('Master Tracker'!$I$6:$I$400,$S69))</f>
        <v/>
      </c>
      <c r="H69" s="58">
        <f>IF($S69="","",INDEX('Master Tracker'!$W$6:$W$400,$S69))</f>
        <v/>
      </c>
      <c r="I69" s="58">
        <f>IF($S69="","",INDEX('Master Tracker'!$G$6:$G$400,$S69))</f>
        <v/>
      </c>
      <c r="K69" s="58">
        <f>IF($T69="","",INDEX('Master Tracker'!$A:$A,$T69))</f>
        <v/>
      </c>
      <c r="L69" s="79">
        <f>IF($T69="","",INDEX('Master Tracker'!$D:$D,$T69))</f>
        <v/>
      </c>
      <c r="M69" s="58" t="n"/>
      <c r="N69" s="58">
        <f>IF($T69="","",INDEX('Master Tracker'!$G:$G,$T69))</f>
        <v/>
      </c>
      <c r="O69" s="79">
        <f>IF($T69="","",INDEX('Master Tracker'!$P:$P,$T69))</f>
        <v/>
      </c>
      <c r="P69" s="58" t="n"/>
      <c r="Q69" s="58" t="n"/>
      <c r="S69">
        <f>IFERROR(MATCH(SMALL('Master Tracker'!$AA$6:$AA$400,10),'Master Tracker'!$AA$6:$AA$400,0),"")</f>
        <v/>
      </c>
      <c r="T69">
        <f>IFERROR(SMALL('Master Tracker'!$AB$6:$AB$400,10),"")</f>
        <v/>
      </c>
    </row>
    <row r="70">
      <c r="K70" s="80">
        <f>IF(COUNT(T60:T69)=0,"✓ No blockers recorded",IF(COUNT('Master Tracker'!AB6:AB400)&gt;10,"+ more blockers — filter Master Tracker by Status = Blocked",""))</f>
        <v/>
      </c>
    </row>
    <row r="72" ht="22" customHeight="1">
      <c r="B72" s="9" t="inlineStr">
        <is>
          <t xml:space="preserve">  HOW TO USE</t>
        </is>
      </c>
      <c r="C72" s="10" t="n"/>
      <c r="D72" s="10" t="n"/>
      <c r="E72" s="10" t="n"/>
      <c r="F72" s="10" t="n"/>
      <c r="G72" s="10" t="n"/>
      <c r="H72" s="10" t="n"/>
      <c r="I72" s="10" t="n"/>
      <c r="J72" s="10" t="n"/>
      <c r="K72" s="10" t="n"/>
      <c r="L72" s="10" t="n"/>
      <c r="M72" s="10" t="n"/>
      <c r="N72" s="10" t="n"/>
      <c r="O72" s="10" t="n"/>
      <c r="P72" s="10" t="n"/>
      <c r="Q72" s="10" t="n"/>
    </row>
    <row r="73" ht="18" customHeight="1">
      <c r="B73" s="81" t="inlineStr">
        <is>
          <t>1. Update Status, Completion %, Actual Hours and Completion Date only in the Master Tracker (white / yellow cells). Every other sheet updates automatically.</t>
        </is>
      </c>
    </row>
    <row r="74" ht="18" customHeight="1">
      <c r="B74" s="81" t="inlineStr">
        <is>
          <t>2. Columns headed with ƒ (gray cells) are formulas — do not type over them. Yellow cells are editable inputs.</t>
        </is>
      </c>
    </row>
    <row r="75" ht="18" customHeight="1">
      <c r="B75" s="81" t="inlineStr">
        <is>
          <t>3. Overall completion = average of all tasks: Completed = 100%, Not Started = 0%, otherwise the Completion % you enter (capped at 99%).</t>
        </is>
      </c>
    </row>
    <row r="76" ht="18" customHeight="1">
      <c r="B76" s="81" t="inlineStr">
        <is>
          <t>4. Planned % = how far each task is through its Start→Due window on the status date. Change dates in the Master Tracker to re-baseline.</t>
        </is>
      </c>
    </row>
    <row r="77" ht="18" customHeight="1">
      <c r="B77" s="81" t="inlineStr">
        <is>
          <t>5. Source note: built from the project brief. The 13-page Engineering Directive PDF was not available when generated — reconcile acceptance criteria against it (Risk R-01).</t>
        </is>
      </c>
    </row>
    <row r="78" ht="18" customHeight="1">
      <c r="B78" s="81" t="inlineStr">
        <is>
          <t>6. Spare blank rows at the bottom of the Master Tracker are pre-wired for new tasks: give them an ID like P3-17 and a Phase, and they flow into every view.</t>
        </is>
      </c>
    </row>
  </sheetData>
  <mergeCells count="126">
    <mergeCell ref="B11:D11"/>
    <mergeCell ref="L17:M17"/>
    <mergeCell ref="O65:Q65"/>
    <mergeCell ref="F16:G16"/>
    <mergeCell ref="B40:Q40"/>
    <mergeCell ref="L66:M66"/>
    <mergeCell ref="C21:E21"/>
    <mergeCell ref="H11:J11"/>
    <mergeCell ref="C60:E60"/>
    <mergeCell ref="L68:M68"/>
    <mergeCell ref="F15:G15"/>
    <mergeCell ref="A2:R2"/>
    <mergeCell ref="C23:E23"/>
    <mergeCell ref="O62:Q62"/>
    <mergeCell ref="O26:P26"/>
    <mergeCell ref="B30:D30"/>
    <mergeCell ref="D7:E7"/>
    <mergeCell ref="K10:M10"/>
    <mergeCell ref="O25:P25"/>
    <mergeCell ref="N31:O31"/>
    <mergeCell ref="J29:L29"/>
    <mergeCell ref="N15:O15"/>
    <mergeCell ref="P15:Q15"/>
    <mergeCell ref="H15:I15"/>
    <mergeCell ref="L65:M65"/>
    <mergeCell ref="B29:H29"/>
    <mergeCell ref="C27:F27"/>
    <mergeCell ref="C20:E20"/>
    <mergeCell ref="C25:E25"/>
    <mergeCell ref="K11:M11"/>
    <mergeCell ref="B16:C16"/>
    <mergeCell ref="N35:O35"/>
    <mergeCell ref="L7:M7"/>
    <mergeCell ref="N7:O7"/>
    <mergeCell ref="L16:M16"/>
    <mergeCell ref="N16:O16"/>
    <mergeCell ref="C22:E22"/>
    <mergeCell ref="B6:Q6"/>
    <mergeCell ref="K12:M12"/>
    <mergeCell ref="C59:E59"/>
    <mergeCell ref="B10:D10"/>
    <mergeCell ref="O59:Q59"/>
    <mergeCell ref="E3:H3"/>
    <mergeCell ref="N10:P10"/>
    <mergeCell ref="C61:E61"/>
    <mergeCell ref="O64:Q64"/>
    <mergeCell ref="O61:Q61"/>
    <mergeCell ref="F17:G17"/>
    <mergeCell ref="B72:Q72"/>
    <mergeCell ref="H17:I17"/>
    <mergeCell ref="O21:P21"/>
    <mergeCell ref="L69:M69"/>
    <mergeCell ref="C24:E24"/>
    <mergeCell ref="N30:O30"/>
    <mergeCell ref="B15:C15"/>
    <mergeCell ref="L59:M59"/>
    <mergeCell ref="B31:D31"/>
    <mergeCell ref="D15:E15"/>
    <mergeCell ref="C26:E26"/>
    <mergeCell ref="A1:R1"/>
    <mergeCell ref="N29:Q29"/>
    <mergeCell ref="N12:P12"/>
    <mergeCell ref="L61:M61"/>
    <mergeCell ref="C63:E63"/>
    <mergeCell ref="B19:Q19"/>
    <mergeCell ref="E10:G10"/>
    <mergeCell ref="O63:Q63"/>
    <mergeCell ref="B7:C7"/>
    <mergeCell ref="B9:Q9"/>
    <mergeCell ref="N32:O32"/>
    <mergeCell ref="O69:Q69"/>
    <mergeCell ref="F7:G7"/>
    <mergeCell ref="E11:G11"/>
    <mergeCell ref="O20:P20"/>
    <mergeCell ref="B75:Q75"/>
    <mergeCell ref="N33:O33"/>
    <mergeCell ref="B17:C17"/>
    <mergeCell ref="D17:E17"/>
    <mergeCell ref="C67:E67"/>
    <mergeCell ref="O22:P22"/>
    <mergeCell ref="N17:O17"/>
    <mergeCell ref="P17:Q17"/>
    <mergeCell ref="O67:Q67"/>
    <mergeCell ref="H16:I16"/>
    <mergeCell ref="J16:K16"/>
    <mergeCell ref="C69:E69"/>
    <mergeCell ref="E12:G12"/>
    <mergeCell ref="M3:Q3"/>
    <mergeCell ref="L60:M60"/>
    <mergeCell ref="C62:E62"/>
    <mergeCell ref="N11:P11"/>
    <mergeCell ref="H10:J10"/>
    <mergeCell ref="O23:P23"/>
    <mergeCell ref="C64:E64"/>
    <mergeCell ref="B73:Q73"/>
    <mergeCell ref="B12:D12"/>
    <mergeCell ref="L67:M67"/>
    <mergeCell ref="K70:Q70"/>
    <mergeCell ref="O24:P24"/>
    <mergeCell ref="B74:Q74"/>
    <mergeCell ref="B58:I58"/>
    <mergeCell ref="B76:Q76"/>
    <mergeCell ref="J15:K15"/>
    <mergeCell ref="L62:M62"/>
    <mergeCell ref="B35:H37"/>
    <mergeCell ref="L15:M15"/>
    <mergeCell ref="H12:J12"/>
    <mergeCell ref="O60:Q60"/>
    <mergeCell ref="B33:D33"/>
    <mergeCell ref="L64:M64"/>
    <mergeCell ref="D16:E16"/>
    <mergeCell ref="C66:E66"/>
    <mergeCell ref="H7:I7"/>
    <mergeCell ref="P16:Q16"/>
    <mergeCell ref="B32:D32"/>
    <mergeCell ref="O66:Q66"/>
    <mergeCell ref="L63:M63"/>
    <mergeCell ref="B77:Q77"/>
    <mergeCell ref="C68:E68"/>
    <mergeCell ref="O68:Q68"/>
    <mergeCell ref="N34:O34"/>
    <mergeCell ref="K58:Q58"/>
    <mergeCell ref="B13:Q13"/>
    <mergeCell ref="B78:Q78"/>
    <mergeCell ref="C65:E65"/>
    <mergeCell ref="J17:K17"/>
  </mergeCells>
  <conditionalFormatting sqref="H11">
    <cfRule type="expression" priority="1" dxfId="0">
      <formula>H11&lt;0</formula>
    </cfRule>
    <cfRule type="expression" priority="2" dxfId="1">
      <formula>H11&gt;=0</formula>
    </cfRule>
  </conditionalFormatting>
  <conditionalFormatting sqref="N11">
    <cfRule type="expression" priority="3" dxfId="2">
      <formula>N11&lt;&gt;"ON TRACK"</formula>
    </cfRule>
    <cfRule type="expression" priority="4" dxfId="3">
      <formula>N11="ON TRACK"</formula>
    </cfRule>
  </conditionalFormatting>
  <conditionalFormatting sqref="Q21:Q26">
    <cfRule type="expression" priority="5" dxfId="4">
      <formula>$Q21="Complete"</formula>
    </cfRule>
    <cfRule type="expression" priority="6" dxfId="5">
      <formula>$Q21="On Track"</formula>
    </cfRule>
    <cfRule type="expression" priority="7" dxfId="6">
      <formula>$Q21="Behind"</formula>
    </cfRule>
    <cfRule type="expression" priority="8" dxfId="6">
      <formula>$Q21="Blocked"</formula>
    </cfRule>
    <cfRule type="expression" priority="9" dxfId="7">
      <formula>$Q21="Not Started"</formula>
    </cfRule>
  </conditionalFormatting>
  <conditionalFormatting sqref="H31:H33">
    <cfRule type="dataBar" priority="10">
      <dataBar>
        <cfvo type="num" val="0"/>
        <cfvo type="num" val="1"/>
        <color rgb="0010B981"/>
      </dataBar>
    </cfRule>
  </conditionalFormatting>
  <conditionalFormatting sqref="B35:H37">
    <cfRule type="expression" priority="11" dxfId="8">
      <formula>$N$16+$L$16=0</formula>
    </cfRule>
  </conditionalFormatting>
  <conditionalFormatting sqref="P31:P35">
    <cfRule type="expression" priority="12" dxfId="9">
      <formula>P31&gt;0</formula>
    </cfRule>
  </conditionalFormatting>
  <conditionalFormatting sqref="H60:H69">
    <cfRule type="expression" priority="13" dxfId="10">
      <formula>AND(H60&lt;&gt;"",H60&lt;=2)</formula>
    </cfRule>
  </conditionalFormatting>
  <conditionalFormatting sqref="I60:I69">
    <cfRule type="expression" priority="14" dxfId="4">
      <formula>$I60="Completed"</formula>
    </cfRule>
    <cfRule type="expression" priority="15" dxfId="5">
      <formula>$I60="In Progress"</formula>
    </cfRule>
    <cfRule type="expression" priority="16" dxfId="11">
      <formula>$I60="Testing"</formula>
    </cfRule>
    <cfRule type="expression" priority="17" dxfId="11">
      <formula>$I60="In Review"</formula>
    </cfRule>
    <cfRule type="expression" priority="18" dxfId="6">
      <formula>$I60="Blocked"</formula>
    </cfRule>
    <cfRule type="expression" priority="19" dxfId="7">
      <formula>$I60="Not Started"</formula>
    </cfRule>
  </conditionalFormatting>
  <conditionalFormatting sqref="N60:N69">
    <cfRule type="expression" priority="20" dxfId="4">
      <formula>$N60="Completed"</formula>
    </cfRule>
    <cfRule type="expression" priority="21" dxfId="5">
      <formula>$N60="In Progress"</formula>
    </cfRule>
    <cfRule type="expression" priority="22" dxfId="11">
      <formula>$N60="Testing"</formula>
    </cfRule>
    <cfRule type="expression" priority="23" dxfId="11">
      <formula>$N60="In Review"</formula>
    </cfRule>
    <cfRule type="expression" priority="24" dxfId="6">
      <formula>$N60="Blocked"</formula>
    </cfRule>
    <cfRule type="expression" priority="25" dxfId="7">
      <formula>$N60="Not Started"</formula>
    </cfRule>
  </conditionalFormatting>
  <dataValidations count="1">
    <dataValidation sqref="D7" showDropDown="0" showInputMessage="0" showErrorMessage="1" allowBlank="1" errorTitle="Custom value" error="This value is not in the list — click OK to keep it." type="list" errorStyle="information">
      <formula1>=Lists!$S$2:$S$62</formula1>
    </dataValidation>
  </dataValidations>
  <hyperlinks>
    <hyperlink xmlns:r="http://schemas.openxmlformats.org/officeDocument/2006/relationships" ref="E3" r:id="rId1"/>
    <hyperlink xmlns:r="http://schemas.openxmlformats.org/officeDocument/2006/relationships" ref="M3" r:id="rId2"/>
    <hyperlink xmlns:r="http://schemas.openxmlformats.org/officeDocument/2006/relationships" ref="C4" r:id="rId3"/>
    <hyperlink xmlns:r="http://schemas.openxmlformats.org/officeDocument/2006/relationships" ref="D4" r:id="rId4"/>
    <hyperlink xmlns:r="http://schemas.openxmlformats.org/officeDocument/2006/relationships" ref="E4" r:id="rId5"/>
    <hyperlink xmlns:r="http://schemas.openxmlformats.org/officeDocument/2006/relationships" ref="F4" r:id="rId6"/>
    <hyperlink xmlns:r="http://schemas.openxmlformats.org/officeDocument/2006/relationships" ref="G4" r:id="rId7"/>
    <hyperlink xmlns:r="http://schemas.openxmlformats.org/officeDocument/2006/relationships" ref="H4" r:id="rId8"/>
    <hyperlink xmlns:r="http://schemas.openxmlformats.org/officeDocument/2006/relationships" ref="I4" r:id="rId9"/>
    <hyperlink xmlns:r="http://schemas.openxmlformats.org/officeDocument/2006/relationships" ref="J4" r:id="rId10"/>
    <hyperlink xmlns:r="http://schemas.openxmlformats.org/officeDocument/2006/relationships" ref="K4" r:id="rId11"/>
    <hyperlink xmlns:r="http://schemas.openxmlformats.org/officeDocument/2006/relationships" ref="L4" r:id="rId12"/>
    <hyperlink xmlns:r="http://schemas.openxmlformats.org/officeDocument/2006/relationships" ref="M4" r:id="rId13"/>
    <hyperlink xmlns:r="http://schemas.openxmlformats.org/officeDocument/2006/relationships" ref="C21" r:id="rId14"/>
    <hyperlink xmlns:r="http://schemas.openxmlformats.org/officeDocument/2006/relationships" ref="C22" r:id="rId15"/>
    <hyperlink xmlns:r="http://schemas.openxmlformats.org/officeDocument/2006/relationships" ref="C23" r:id="rId16"/>
    <hyperlink xmlns:r="http://schemas.openxmlformats.org/officeDocument/2006/relationships" ref="C24" r:id="rId17"/>
    <hyperlink xmlns:r="http://schemas.openxmlformats.org/officeDocument/2006/relationships" ref="C25" r:id="rId18"/>
    <hyperlink xmlns:r="http://schemas.openxmlformats.org/officeDocument/2006/relationships" ref="C26" r:id="rId19"/>
  </hyperlinks>
  <pageMargins left="0.75" right="0.75" top="1" bottom="1" header="0.5" footer="0.5"/>
  <pageSetup orientation="landscape" fitToHeight="0" fitToWidth="1"/>
  <drawing xmlns:r="http://schemas.openxmlformats.org/officeDocument/2006/relationships" r:id="rId20"/>
  <legacyDrawing xmlns:r="http://schemas.openxmlformats.org/officeDocument/2006/relationships" r:id="anysvml"/>
</worksheet>
</file>

<file path=xl/worksheets/sheet2.xml><?xml version="1.0" encoding="utf-8"?>
<worksheet xmlns="http://schemas.openxmlformats.org/spreadsheetml/2006/main">
  <sheetPr>
    <tabColor rgb="000F1B2D"/>
    <outlinePr summaryBelow="1" summaryRight="1"/>
    <pageSetUpPr fitToPage="1"/>
  </sheetPr>
  <dimension ref="A1:AC146"/>
  <sheetViews>
    <sheetView showGridLines="0" zoomScale="9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16" customWidth="1" min="3" max="3"/>
    <col width="34" customWidth="1" min="4" max="4"/>
    <col width="60" customWidth="1" min="5" max="5"/>
    <col width="8" customWidth="1" min="6" max="6"/>
    <col width="13" customWidth="1" min="7" max="7"/>
    <col width="11" customWidth="1" min="8" max="8"/>
    <col width="11" customWidth="1" min="9" max="9"/>
    <col width="10" customWidth="1" min="10" max="10"/>
    <col width="16" customWidth="1" min="11" max="11"/>
    <col width="18" customWidth="1" min="12" max="12"/>
    <col width="32" customWidth="1" min="13" max="13"/>
    <col width="40" customWidth="1" min="14" max="14"/>
    <col width="40" customWidth="1" min="15" max="15"/>
    <col width="26" customWidth="1" min="16" max="16"/>
    <col width="26" customWidth="1" min="17" max="17"/>
    <col width="12" customWidth="1" min="18" max="18"/>
    <col width="15" customWidth="1" min="19" max="19"/>
    <col width="11" customWidth="1" min="20" max="20"/>
    <col width="9" customWidth="1" min="21" max="21"/>
    <col width="9" customWidth="1" min="22" max="22"/>
    <col width="8" customWidth="1" min="23" max="23"/>
    <col width="10" customWidth="1" min="24" max="24"/>
    <col width="15" customWidth="1" min="25" max="25"/>
    <col hidden="1" width="9" customWidth="1" min="26" max="26"/>
    <col hidden="1" width="9" customWidth="1" min="27" max="27"/>
    <col hidden="1" width="8" customWidth="1" min="28" max="28"/>
    <col width="12" customWidth="1" min="29" max="29"/>
  </cols>
  <sheetData>
    <row r="1" ht="34" customHeight="1">
      <c r="A1" s="1" t="inlineStr">
        <is>
          <t xml:space="preserve">  MASTER PROJECT TRACKER  ·  single source of truth</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row>
    <row r="2" ht="20" customHeight="1">
      <c r="A2" s="3" t="inlineStr">
        <is>
          <t xml:space="preserve">  Edit tasks here only — dashboard, phase sheets and requirement map recalculate automatically.</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row>
    <row r="3">
      <c r="A3" s="82" t="inlineStr">
        <is>
          <t>Legend:</t>
        </is>
      </c>
      <c r="B3" s="83" t="inlineStr">
        <is>
          <t>Editable</t>
        </is>
      </c>
      <c r="C3" s="84" t="inlineStr">
        <is>
          <t>ƒ Calculated</t>
        </is>
      </c>
      <c r="D3" s="85" t="inlineStr">
        <is>
          <t>Status colors →</t>
        </is>
      </c>
      <c r="E3" s="86" t="inlineStr">
        <is>
          <t>Completed  ·  In Progress  ·  In Review / Testing  ·  Blocked / Overdue  ·  Not Started</t>
        </is>
      </c>
      <c r="G3" s="87" t="inlineStr">
        <is>
          <t>← Dashboard</t>
        </is>
      </c>
      <c r="I3" s="7" t="inlineStr">
        <is>
          <t>Staging ↗</t>
        </is>
      </c>
      <c r="K3" s="6" t="inlineStr">
        <is>
          <t>Live ↗</t>
        </is>
      </c>
    </row>
    <row r="5" ht="32" customHeight="1">
      <c r="A5" s="61" t="inlineStr">
        <is>
          <t>Task ID</t>
        </is>
      </c>
      <c r="B5" s="61" t="inlineStr">
        <is>
          <t>Phase ▾</t>
        </is>
      </c>
      <c r="C5" s="61" t="inlineStr">
        <is>
          <t>Module ▾</t>
        </is>
      </c>
      <c r="D5" s="61" t="inlineStr">
        <is>
          <t>Task Name</t>
        </is>
      </c>
      <c r="E5" s="61" t="inlineStr">
        <is>
          <t>Detailed Description</t>
        </is>
      </c>
      <c r="F5" s="61" t="inlineStr">
        <is>
          <t>Priority ▾</t>
        </is>
      </c>
      <c r="G5" s="61" t="inlineStr">
        <is>
          <t>Status ▾</t>
        </is>
      </c>
      <c r="H5" s="61" t="inlineStr">
        <is>
          <t>Start Date ▾</t>
        </is>
      </c>
      <c r="I5" s="61" t="inlineStr">
        <is>
          <t>Due Date ▾</t>
        </is>
      </c>
      <c r="J5" s="61" t="inlineStr">
        <is>
          <t>Completion % ▾</t>
        </is>
      </c>
      <c r="K5" s="61" t="inlineStr">
        <is>
          <t>Dependencies ▾</t>
        </is>
      </c>
      <c r="L5" s="61" t="inlineStr">
        <is>
          <t>Environment ▾</t>
        </is>
      </c>
      <c r="M5" s="61" t="inlineStr">
        <is>
          <t>Related WordPress Files</t>
        </is>
      </c>
      <c r="N5" s="61" t="inlineStr">
        <is>
          <t>Testing Checklist</t>
        </is>
      </c>
      <c r="O5" s="61" t="inlineStr">
        <is>
          <t>Acceptance Criteria</t>
        </is>
      </c>
      <c r="P5" s="61" t="inlineStr">
        <is>
          <t>Blocker / Issue ▾</t>
        </is>
      </c>
      <c r="Q5" s="61" t="inlineStr">
        <is>
          <t>Notes ▾</t>
        </is>
      </c>
      <c r="R5" s="61" t="inlineStr">
        <is>
          <t>Completion Date ▾</t>
        </is>
      </c>
      <c r="S5" s="61" t="inlineStr">
        <is>
          <t>External Requirement ▾</t>
        </is>
      </c>
      <c r="T5" s="61" t="inlineStr">
        <is>
          <t>Test Result ▾</t>
        </is>
      </c>
      <c r="U5" s="88" t="inlineStr">
        <is>
          <t>ƒ Effective %</t>
        </is>
      </c>
      <c r="V5" s="88" t="inlineStr">
        <is>
          <t>ƒ Planned %</t>
        </is>
      </c>
      <c r="W5" s="88" t="inlineStr">
        <is>
          <t>ƒ Days Left</t>
        </is>
      </c>
      <c r="X5" s="88" t="inlineStr">
        <is>
          <t>ƒ Overdue</t>
        </is>
      </c>
      <c r="Y5" s="88" t="inlineStr">
        <is>
          <t>ƒ Dependency Check</t>
        </is>
      </c>
      <c r="Z5" s="88" t="inlineStr">
        <is>
          <t>ƒ Phase Key</t>
        </is>
      </c>
      <c r="AA5" s="88" t="inlineStr">
        <is>
          <t>ƒ Upcoming Key</t>
        </is>
      </c>
      <c r="AB5" s="88" t="inlineStr">
        <is>
          <t>ƒ Blocker Key</t>
        </is>
      </c>
      <c r="AC5" s="88" t="inlineStr">
        <is>
          <t>ƒ Alert</t>
        </is>
      </c>
    </row>
    <row r="6" ht="62" customHeight="1">
      <c r="A6" s="89" t="inlineStr">
        <is>
          <t>P1-01</t>
        </is>
      </c>
      <c r="B6" s="90" t="inlineStr">
        <is>
          <t>Phase 1</t>
        </is>
      </c>
      <c r="C6" s="91" t="inlineStr">
        <is>
          <t>Staging Setup</t>
        </is>
      </c>
      <c r="D6" s="91" t="inlineStr">
        <is>
          <t>Staging environment readiness audit</t>
        </is>
      </c>
      <c r="E6" s="91" t="inlineStr">
        <is>
          <t>Confirm Hostinger staging access (hPanel, SFTP/SSH, phpMyAdmin), PHP 8.1+, WordPress &amp; plugin versions, memory limits; enable WP_DEBUG_LOG; block indexing (noindex + password/IP protection); disable or trap outgoing mail so staging never emails real readers.</t>
        </is>
      </c>
      <c r="F6" s="90" t="inlineStr">
        <is>
          <t>P0</t>
        </is>
      </c>
      <c r="G6" s="92" t="inlineStr">
        <is>
          <t>Not Started</t>
        </is>
      </c>
      <c r="H6" s="93" t="n">
        <v>46307</v>
      </c>
      <c r="I6" s="93" t="n">
        <v>46307</v>
      </c>
      <c r="J6" s="94" t="n">
        <v>0</v>
      </c>
      <c r="K6" s="91" t="inlineStr">
        <is>
          <t>P6-02</t>
        </is>
      </c>
      <c r="L6" s="91" t="inlineStr">
        <is>
          <t>Staging (Hostinger)</t>
        </is>
      </c>
      <c r="M6" s="91" t="inlineStr">
        <is>
          <t>wp-config.php, .htaccess</t>
        </is>
      </c>
      <c r="N6" s="91" t="inlineStr">
        <is>
          <t>Log in via hPanel, SFTP and phpMyAdmin; confirm noindex header; send test mail is trapped</t>
        </is>
      </c>
      <c r="O6" s="91" t="inlineStr">
        <is>
          <t>Staging is reachable only by the team, not indexed, debug logging active, versions documented in Notes</t>
        </is>
      </c>
      <c r="P6" s="95" t="n"/>
      <c r="Q6" s="95" t="n"/>
      <c r="R6" s="96" t="n"/>
      <c r="S6" s="91" t="inlineStr">
        <is>
          <t>Server Access</t>
        </is>
      </c>
      <c r="T6" s="92" t="inlineStr">
        <is>
          <t>Not Tested</t>
        </is>
      </c>
      <c r="U6" s="97">
        <f>IF(A6="",0,IF(G6="Completed",1,IF(G6="Not Started",0,MIN(0.99,N(J6)))))</f>
        <v/>
      </c>
      <c r="V6" s="97">
        <f>IF(OR(A6="",H6="",I6=""),0,MAX(0,MIN(1,(StatusDate-H6+1)/(I6-H6+1))))</f>
        <v/>
      </c>
      <c r="W6" s="98">
        <f>IF(OR(A6="",I6="",G6="Completed"),"",I6-StatusDate)</f>
        <v/>
      </c>
      <c r="X6" s="99">
        <f>IF(A6="","",IF(AND(G6&lt;&gt;"Completed",I6&lt;&gt;"",I6&lt;StatusDate),"OVERDUE",""))</f>
        <v/>
      </c>
      <c r="Y6" s="99">
        <f>IF(OR(A6="",K6=""),"",IF(SUMPRODUCT(($A$6:$A$400&lt;&gt;"")*ISNUMBER(SEARCH($A$6:$A$400,K6))*($G$6:$G$400&lt;&gt;"Completed"))=0,"✓ Ready","⏳ "&amp;SUMPRODUCT(($A$6:$A$400&lt;&gt;"")*ISNUMBER(SEARCH($A$6:$A$400,K6))*($G$6:$G$400&lt;&gt;"Completed"))&amp;" open"))</f>
        <v/>
      </c>
      <c r="Z6" s="99">
        <f>IF(A6="","",B6&amp;"|"&amp;COUNTIFS($B$6:B6,B6,$A$6:A6,"?*"))</f>
        <v/>
      </c>
      <c r="AA6" s="99">
        <f>IF(OR(A6="",I6="",G6="Completed"),"",IF(I6&gt;=StatusDate,I6+ROW()/100000,""))</f>
        <v/>
      </c>
      <c r="AB6" s="99">
        <f>IF(A6="","",IF(AND(G6&lt;&gt;"Completed",OR(G6="Blocked",AND(TRIM(P6)&lt;&gt;"",P6&lt;&gt;"None"))),ROW(),""))</f>
        <v/>
      </c>
      <c r="AC6" s="99">
        <f>IF(A6="","",IF(G6="Completed","Done",IF(G6="Blocked","Blocked",IF(X6="OVERDUE","Overdue",IF(AND(W6&lt;&gt;"",W6&lt;=2),"Due soon",IF(AND(Y6&lt;&gt;"",LEFT(Y6,1)="⏳",G6&lt;&gt;"Not Started"),"Dependency open",IF(AND(S6&lt;&gt;"None",S6&lt;&gt;"",G6&lt;&gt;"Completed"),"External req.","On track")))))))</f>
        <v/>
      </c>
    </row>
    <row r="7" ht="62" customHeight="1">
      <c r="A7" s="89" t="inlineStr">
        <is>
          <t>P1-02</t>
        </is>
      </c>
      <c r="B7" s="90" t="inlineStr">
        <is>
          <t>Phase 1</t>
        </is>
      </c>
      <c r="C7" s="91" t="inlineStr">
        <is>
          <t>Theme Scaffold</t>
        </is>
      </c>
      <c r="D7" s="91" t="inlineStr">
        <is>
          <t>Create custom theme structure + Git repo</t>
        </is>
      </c>
      <c r="E7" s="91" t="inlineStr">
        <is>
          <t>Create /wp-content/themes/altijara/ with style.css header (Text Domain altijara, RTL), functions.php loader, inc/, template-parts/, assets/{css,js,fonts,img}, languages/. Initialise a remote Git repository for the theme as the backup of all staging work (no local environment).</t>
        </is>
      </c>
      <c r="F7" s="90" t="inlineStr">
        <is>
          <t>P0</t>
        </is>
      </c>
      <c r="G7" s="92" t="inlineStr">
        <is>
          <t>Completed</t>
        </is>
      </c>
      <c r="H7" s="93" t="n">
        <v>46307</v>
      </c>
      <c r="I7" s="93" t="n">
        <v>46307</v>
      </c>
      <c r="J7" s="94" t="n">
        <v>1</v>
      </c>
      <c r="K7" s="91" t="inlineStr">
        <is>
          <t>P1-01</t>
        </is>
      </c>
      <c r="L7" s="91" t="inlineStr">
        <is>
          <t>Staging (Hostinger)</t>
        </is>
      </c>
      <c r="M7" s="91" t="inlineStr">
        <is>
          <t>style.css, functions.php, inc/, template-parts/, assets/</t>
        </is>
      </c>
      <c r="N7" s="91" t="inlineStr">
        <is>
          <t>Theme listed in Appearance &gt; Themes; activates with no PHP notices; first commit pushed</t>
        </is>
      </c>
      <c r="O7" s="91" t="inlineStr">
        <is>
          <t>Folder structure in place, theme activates cleanly on staging, repository holds initial commit</t>
        </is>
      </c>
      <c r="P7" s="95" t="n"/>
      <c r="Q7" s="95" t="inlineStr">
        <is>
          <t>Theme 'altijara-theme' v2.2.2 (author O2Nations, screenshot.png); functions.php loads inc/ modules.</t>
        </is>
      </c>
      <c r="R7" s="96" t="n">
        <v>46306</v>
      </c>
      <c r="S7" s="91" t="inlineStr">
        <is>
          <t>None</t>
        </is>
      </c>
      <c r="T7" s="92" t="inlineStr">
        <is>
          <t>Not Tested</t>
        </is>
      </c>
      <c r="U7" s="97">
        <f>IF(A7="",0,IF(G7="Completed",1,IF(G7="Not Started",0,MIN(0.99,N(J7)))))</f>
        <v/>
      </c>
      <c r="V7" s="97">
        <f>IF(OR(A7="",H7="",I7=""),0,MAX(0,MIN(1,(StatusDate-H7+1)/(I7-H7+1))))</f>
        <v/>
      </c>
      <c r="W7" s="98">
        <f>IF(OR(A7="",I7="",G7="Completed"),"",I7-StatusDate)</f>
        <v/>
      </c>
      <c r="X7" s="99">
        <f>IF(A7="","",IF(AND(G7&lt;&gt;"Completed",I7&lt;&gt;"",I7&lt;StatusDate),"OVERDUE",""))</f>
        <v/>
      </c>
      <c r="Y7" s="99">
        <f>IF(OR(A7="",K7=""),"",IF(SUMPRODUCT(($A$6:$A$400&lt;&gt;"")*ISNUMBER(SEARCH($A$6:$A$400,K7))*($G$6:$G$400&lt;&gt;"Completed"))=0,"✓ Ready","⏳ "&amp;SUMPRODUCT(($A$6:$A$400&lt;&gt;"")*ISNUMBER(SEARCH($A$6:$A$400,K7))*($G$6:$G$400&lt;&gt;"Completed"))&amp;" open"))</f>
        <v/>
      </c>
      <c r="Z7" s="99">
        <f>IF(A7="","",B7&amp;"|"&amp;COUNTIFS($B$6:B7,B7,$A$6:A7,"?*"))</f>
        <v/>
      </c>
      <c r="AA7" s="99">
        <f>IF(OR(A7="",I7="",G7="Completed"),"",IF(I7&gt;=StatusDate,I7+ROW()/100000,""))</f>
        <v/>
      </c>
      <c r="AB7" s="99">
        <f>IF(A7="","",IF(AND(G7&lt;&gt;"Completed",OR(G7="Blocked",AND(TRIM(P7)&lt;&gt;"",P7&lt;&gt;"None"))),ROW(),""))</f>
        <v/>
      </c>
      <c r="AC7" s="99">
        <f>IF(A7="","",IF(G7="Completed","Done",IF(G7="Blocked","Blocked",IF(X7="OVERDUE","Overdue",IF(AND(W7&lt;&gt;"",W7&lt;=2),"Due soon",IF(AND(Y7&lt;&gt;"",LEFT(Y7,1)="⏳",G7&lt;&gt;"Not Started"),"Dependency open",IF(AND(S7&lt;&gt;"None",S7&lt;&gt;"",G7&lt;&gt;"Completed"),"External req.","On track")))))))</f>
        <v/>
      </c>
    </row>
    <row r="8" ht="62" customHeight="1">
      <c r="A8" s="89" t="inlineStr">
        <is>
          <t>P1-03</t>
        </is>
      </c>
      <c r="B8" s="90" t="inlineStr">
        <is>
          <t>Phase 1</t>
        </is>
      </c>
      <c r="C8" s="91" t="inlineStr">
        <is>
          <t>Theme Initialization</t>
        </is>
      </c>
      <c r="D8" s="91" t="inlineStr">
        <is>
          <t>Theme setup: supports, menus, image sizes</t>
        </is>
      </c>
      <c r="E8" s="91" t="inlineStr">
        <is>
          <t>inc/setup.php: add_theme_support (title-tag, post-thumbnails, html5, custom-logo, responsive-embeds, align-wide, editor-styles); register_nav_menus (primary, top-bar, footer, mobile); add_image_size (hero, card, thumb, issue-cover); load_theme_textdomain; content_width.</t>
        </is>
      </c>
      <c r="F8" s="90" t="inlineStr">
        <is>
          <t>P0</t>
        </is>
      </c>
      <c r="G8" s="92" t="inlineStr">
        <is>
          <t>In Progress</t>
        </is>
      </c>
      <c r="H8" s="93" t="n">
        <v>46307</v>
      </c>
      <c r="I8" s="93" t="n">
        <v>46307</v>
      </c>
      <c r="J8" s="94" t="n">
        <v>0.8</v>
      </c>
      <c r="K8" s="91" t="inlineStr">
        <is>
          <t>P1-02</t>
        </is>
      </c>
      <c r="L8" s="91" t="inlineStr">
        <is>
          <t>Staging (Hostinger)</t>
        </is>
      </c>
      <c r="M8" s="91" t="inlineStr">
        <is>
          <t>inc/setup.php, functions.php</t>
        </is>
      </c>
      <c r="N8" s="91" t="inlineStr">
        <is>
          <t>Menus appear in Appearance &gt; Menus; new upload generates all image sizes; single &lt;title&gt; tag</t>
        </is>
      </c>
      <c r="O8" s="91" t="inlineStr">
        <is>
          <t>All supports, menus and image sizes registered; no duplicate title tags</t>
        </is>
      </c>
      <c r="P8" s="95" t="n"/>
      <c r="Q8" s="95" t="inlineStr">
        <is>
          <t>Done: title-tag, thumbnails, HTML5, feeds, custom logo, menu blueprints on activation. Open: custom image sizes, responsive-embeds.</t>
        </is>
      </c>
      <c r="R8" s="96" t="n"/>
      <c r="S8" s="91" t="inlineStr">
        <is>
          <t>None</t>
        </is>
      </c>
      <c r="T8" s="92" t="inlineStr">
        <is>
          <t>Not Tested</t>
        </is>
      </c>
      <c r="U8" s="97">
        <f>IF(A8="",0,IF(G8="Completed",1,IF(G8="Not Started",0,MIN(0.99,N(J8)))))</f>
        <v/>
      </c>
      <c r="V8" s="97">
        <f>IF(OR(A8="",H8="",I8=""),0,MAX(0,MIN(1,(StatusDate-H8+1)/(I8-H8+1))))</f>
        <v/>
      </c>
      <c r="W8" s="98">
        <f>IF(OR(A8="",I8="",G8="Completed"),"",I8-StatusDate)</f>
        <v/>
      </c>
      <c r="X8" s="99">
        <f>IF(A8="","",IF(AND(G8&lt;&gt;"Completed",I8&lt;&gt;"",I8&lt;StatusDate),"OVERDUE",""))</f>
        <v/>
      </c>
      <c r="Y8" s="99">
        <f>IF(OR(A8="",K8=""),"",IF(SUMPRODUCT(($A$6:$A$400&lt;&gt;"")*ISNUMBER(SEARCH($A$6:$A$400,K8))*($G$6:$G$400&lt;&gt;"Completed"))=0,"✓ Ready","⏳ "&amp;SUMPRODUCT(($A$6:$A$400&lt;&gt;"")*ISNUMBER(SEARCH($A$6:$A$400,K8))*($G$6:$G$400&lt;&gt;"Completed"))&amp;" open"))</f>
        <v/>
      </c>
      <c r="Z8" s="99">
        <f>IF(A8="","",B8&amp;"|"&amp;COUNTIFS($B$6:B8,B8,$A$6:A8,"?*"))</f>
        <v/>
      </c>
      <c r="AA8" s="99">
        <f>IF(OR(A8="",I8="",G8="Completed"),"",IF(I8&gt;=StatusDate,I8+ROW()/100000,""))</f>
        <v/>
      </c>
      <c r="AB8" s="99">
        <f>IF(A8="","",IF(AND(G8&lt;&gt;"Completed",OR(G8="Blocked",AND(TRIM(P8)&lt;&gt;"",P8&lt;&gt;"None"))),ROW(),""))</f>
        <v/>
      </c>
      <c r="AC8" s="99">
        <f>IF(A8="","",IF(G8="Completed","Done",IF(G8="Blocked","Blocked",IF(X8="OVERDUE","Overdue",IF(AND(W8&lt;&gt;"",W8&lt;=2),"Due soon",IF(AND(Y8&lt;&gt;"",LEFT(Y8,1)="⏳",G8&lt;&gt;"Not Started"),"Dependency open",IF(AND(S8&lt;&gt;"None",S8&lt;&gt;"",G8&lt;&gt;"Completed"),"External req.","On track")))))))</f>
        <v/>
      </c>
    </row>
    <row r="9" ht="62" customHeight="1">
      <c r="A9" s="89" t="inlineStr">
        <is>
          <t>P1-04</t>
        </is>
      </c>
      <c r="B9" s="90" t="inlineStr">
        <is>
          <t>Phase 1</t>
        </is>
      </c>
      <c r="C9" s="91" t="inlineStr">
        <is>
          <t>Asset Pipeline</t>
        </is>
      </c>
      <c r="D9" s="91" t="inlineStr">
        <is>
          <t>Asset enqueue, versioning &amp; conditional loading</t>
        </is>
      </c>
      <c r="E9" s="91" t="inlineStr">
        <is>
          <t>inc/enqueue.php: enqueue CSS/JS with filemtime() cache-busting, per-template conditional loading, defer/module attributes, preload primary Arabic font, remove emoji script, no jQuery dependency on the front end.</t>
        </is>
      </c>
      <c r="F9" s="90" t="inlineStr">
        <is>
          <t>P0</t>
        </is>
      </c>
      <c r="G9" s="92" t="inlineStr">
        <is>
          <t>Completed</t>
        </is>
      </c>
      <c r="H9" s="93" t="n">
        <v>46307</v>
      </c>
      <c r="I9" s="93" t="n">
        <v>46307</v>
      </c>
      <c r="J9" s="94" t="n">
        <v>1</v>
      </c>
      <c r="K9" s="91" t="inlineStr">
        <is>
          <t>P1-02</t>
        </is>
      </c>
      <c r="L9" s="91" t="inlineStr">
        <is>
          <t>Staging (Hostinger)</t>
        </is>
      </c>
      <c r="M9" s="91" t="inlineStr">
        <is>
          <t>inc/enqueue.php, assets/css/*, assets/js/*</t>
        </is>
      </c>
      <c r="N9" s="91" t="inlineStr">
        <is>
          <t>View source: versioned URLs, deferred scripts; Network tab shows no 404s and no jQuery on homepage</t>
        </is>
      </c>
      <c r="O9" s="91" t="inlineStr">
        <is>
          <t>All assets versioned and loaded only where needed; zero console errors</t>
        </is>
      </c>
      <c r="P9" s="95" t="n"/>
      <c r="Q9" s="95" t="inlineStr">
        <is>
          <t>inc/enqueue.php with asset versioning. Verify no jQuery / per-template loading during QA.</t>
        </is>
      </c>
      <c r="R9" s="96" t="n">
        <v>46306</v>
      </c>
      <c r="S9" s="91" t="inlineStr">
        <is>
          <t>None</t>
        </is>
      </c>
      <c r="T9" s="92" t="inlineStr">
        <is>
          <t>Not Tested</t>
        </is>
      </c>
      <c r="U9" s="97">
        <f>IF(A9="",0,IF(G9="Completed",1,IF(G9="Not Started",0,MIN(0.99,N(J9)))))</f>
        <v/>
      </c>
      <c r="V9" s="97">
        <f>IF(OR(A9="",H9="",I9=""),0,MAX(0,MIN(1,(StatusDate-H9+1)/(I9-H9+1))))</f>
        <v/>
      </c>
      <c r="W9" s="98">
        <f>IF(OR(A9="",I9="",G9="Completed"),"",I9-StatusDate)</f>
        <v/>
      </c>
      <c r="X9" s="99">
        <f>IF(A9="","",IF(AND(G9&lt;&gt;"Completed",I9&lt;&gt;"",I9&lt;StatusDate),"OVERDUE",""))</f>
        <v/>
      </c>
      <c r="Y9" s="99">
        <f>IF(OR(A9="",K9=""),"",IF(SUMPRODUCT(($A$6:$A$400&lt;&gt;"")*ISNUMBER(SEARCH($A$6:$A$400,K9))*($G$6:$G$400&lt;&gt;"Completed"))=0,"✓ Ready","⏳ "&amp;SUMPRODUCT(($A$6:$A$400&lt;&gt;"")*ISNUMBER(SEARCH($A$6:$A$400,K9))*($G$6:$G$400&lt;&gt;"Completed"))&amp;" open"))</f>
        <v/>
      </c>
      <c r="Z9" s="99">
        <f>IF(A9="","",B9&amp;"|"&amp;COUNTIFS($B$6:B9,B9,$A$6:A9,"?*"))</f>
        <v/>
      </c>
      <c r="AA9" s="99">
        <f>IF(OR(A9="",I9="",G9="Completed"),"",IF(I9&gt;=StatusDate,I9+ROW()/100000,""))</f>
        <v/>
      </c>
      <c r="AB9" s="99">
        <f>IF(A9="","",IF(AND(G9&lt;&gt;"Completed",OR(G9="Blocked",AND(TRIM(P9)&lt;&gt;"",P9&lt;&gt;"None"))),ROW(),""))</f>
        <v/>
      </c>
      <c r="AC9" s="99">
        <f>IF(A9="","",IF(G9="Completed","Done",IF(G9="Blocked","Blocked",IF(X9="OVERDUE","Overdue",IF(AND(W9&lt;&gt;"",W9&lt;=2),"Due soon",IF(AND(Y9&lt;&gt;"",LEFT(Y9,1)="⏳",G9&lt;&gt;"Not Started"),"Dependency open",IF(AND(S9&lt;&gt;"None",S9&lt;&gt;"",G9&lt;&gt;"Completed"),"External req.","On track")))))))</f>
        <v/>
      </c>
    </row>
    <row r="10" ht="62" customHeight="1">
      <c r="A10" s="89" t="inlineStr">
        <is>
          <t>P1-05</t>
        </is>
      </c>
      <c r="B10" s="90" t="inlineStr">
        <is>
          <t>Phase 1</t>
        </is>
      </c>
      <c r="C10" s="91" t="inlineStr">
        <is>
          <t>PHP Templates</t>
        </is>
      </c>
      <c r="D10" s="91" t="inlineStr">
        <is>
          <t>Base template hierarchy</t>
        </is>
      </c>
      <c r="E10" s="91" t="inlineStr">
        <is>
          <t>Create header.php, footer.php, index.php, front-page.php, single.php, page.php, archive.php, category.php, tag.php, author.php, search.php, 404.php skeletons sharing a common layout wrapper.</t>
        </is>
      </c>
      <c r="F10" s="90" t="inlineStr">
        <is>
          <t>P0</t>
        </is>
      </c>
      <c r="G10" s="92" t="inlineStr">
        <is>
          <t>In Progress</t>
        </is>
      </c>
      <c r="H10" s="93" t="n">
        <v>46307</v>
      </c>
      <c r="I10" s="93" t="n">
        <v>46307</v>
      </c>
      <c r="J10" s="94" t="n">
        <v>0.75</v>
      </c>
      <c r="K10" s="91" t="inlineStr">
        <is>
          <t>P1-03</t>
        </is>
      </c>
      <c r="L10" s="91" t="inlineStr">
        <is>
          <t>Staging (Hostinger)</t>
        </is>
      </c>
      <c r="M10" s="91" t="inlineStr">
        <is>
          <t>header.php, footer.php, index.php, front-page.php, single.php, page.php, archive.php, category.php, tag.php, author.php, search.php, 404.php</t>
        </is>
      </c>
      <c r="N10" s="91" t="inlineStr">
        <is>
          <t>Visit each route type; Query Monitor confirms expected template file</t>
        </is>
      </c>
      <c r="O10" s="91" t="inlineStr">
        <is>
          <t>Every WordPress route resolves to a theme template with header/footer; no fallback errors</t>
        </is>
      </c>
      <c r="P10" s="95" t="n"/>
      <c r="Q10" s="95" t="inlineStr">
        <is>
          <t>Done: header, footer, index, front-page, single, category, search, 404, page + page templates. Missing: archive.php, tag.php, author.php.</t>
        </is>
      </c>
      <c r="R10" s="96" t="n"/>
      <c r="S10" s="91" t="inlineStr">
        <is>
          <t>None</t>
        </is>
      </c>
      <c r="T10" s="92" t="inlineStr">
        <is>
          <t>Not Tested</t>
        </is>
      </c>
      <c r="U10" s="97">
        <f>IF(A10="",0,IF(G10="Completed",1,IF(G10="Not Started",0,MIN(0.99,N(J10)))))</f>
        <v/>
      </c>
      <c r="V10" s="97">
        <f>IF(OR(A10="",H10="",I10=""),0,MAX(0,MIN(1,(StatusDate-H10+1)/(I10-H10+1))))</f>
        <v/>
      </c>
      <c r="W10" s="98">
        <f>IF(OR(A10="",I10="",G10="Completed"),"",I10-StatusDate)</f>
        <v/>
      </c>
      <c r="X10" s="99">
        <f>IF(A10="","",IF(AND(G10&lt;&gt;"Completed",I10&lt;&gt;"",I10&lt;StatusDate),"OVERDUE",""))</f>
        <v/>
      </c>
      <c r="Y10" s="99">
        <f>IF(OR(A10="",K10=""),"",IF(SUMPRODUCT(($A$6:$A$400&lt;&gt;"")*ISNUMBER(SEARCH($A$6:$A$400,K10))*($G$6:$G$400&lt;&gt;"Completed"))=0,"✓ Ready","⏳ "&amp;SUMPRODUCT(($A$6:$A$400&lt;&gt;"")*ISNUMBER(SEARCH($A$6:$A$400,K10))*($G$6:$G$400&lt;&gt;"Completed"))&amp;" open"))</f>
        <v/>
      </c>
      <c r="Z10" s="99">
        <f>IF(A10="","",B10&amp;"|"&amp;COUNTIFS($B$6:B10,B10,$A$6:A10,"?*"))</f>
        <v/>
      </c>
      <c r="AA10" s="99">
        <f>IF(OR(A10="",I10="",G10="Completed"),"",IF(I10&gt;=StatusDate,I10+ROW()/100000,""))</f>
        <v/>
      </c>
      <c r="AB10" s="99">
        <f>IF(A10="","",IF(AND(G10&lt;&gt;"Completed",OR(G10="Blocked",AND(TRIM(P10)&lt;&gt;"",P10&lt;&gt;"None"))),ROW(),""))</f>
        <v/>
      </c>
      <c r="AC10" s="99">
        <f>IF(A10="","",IF(G10="Completed","Done",IF(G10="Blocked","Blocked",IF(X10="OVERDUE","Overdue",IF(AND(W10&lt;&gt;"",W10&lt;=2),"Due soon",IF(AND(Y10&lt;&gt;"",LEFT(Y10,1)="⏳",G10&lt;&gt;"Not Started"),"Dependency open",IF(AND(S10&lt;&gt;"None",S10&lt;&gt;"",G10&lt;&gt;"Completed"),"External req.","On track")))))))</f>
        <v/>
      </c>
    </row>
    <row r="11" ht="62" customHeight="1">
      <c r="A11" s="89" t="inlineStr">
        <is>
          <t>P1-06</t>
        </is>
      </c>
      <c r="B11" s="90" t="inlineStr">
        <is>
          <t>Phase 1</t>
        </is>
      </c>
      <c r="C11" s="91" t="inlineStr">
        <is>
          <t>Components</t>
        </is>
      </c>
      <c r="D11" s="91" t="inlineStr">
        <is>
          <t>Reusable template-part components</t>
        </is>
      </c>
      <c r="E11" s="91" t="inlineStr">
        <is>
          <t>template-parts/components: card-hero, card-large, card-medium, card-list, card-mini, section-header, post-meta, category-badge, pagination, ad-slot, empty-state. All accept $args via get_template_part() and escape output (esc_html/esc_url/esc_attr).</t>
        </is>
      </c>
      <c r="F11" s="90" t="inlineStr">
        <is>
          <t>P0</t>
        </is>
      </c>
      <c r="G11" s="92" t="inlineStr">
        <is>
          <t>Completed</t>
        </is>
      </c>
      <c r="H11" s="93" t="n">
        <v>46307</v>
      </c>
      <c r="I11" s="93" t="n">
        <v>46307</v>
      </c>
      <c r="J11" s="94" t="n">
        <v>1</v>
      </c>
      <c r="K11" s="91" t="inlineStr">
        <is>
          <t>P1-05</t>
        </is>
      </c>
      <c r="L11" s="91" t="inlineStr">
        <is>
          <t>Staging (Hostinger)</t>
        </is>
      </c>
      <c r="M11" s="91" t="inlineStr">
        <is>
          <t>template-parts/components/*.php</t>
        </is>
      </c>
      <c r="N11" s="91" t="inlineStr">
        <is>
          <t>Render every component on a test page with real posts; test missing image/excerpt; check escaping</t>
        </is>
      </c>
      <c r="O11" s="91" t="inlineStr">
        <is>
          <t>Components reused by homepage and archives with no duplicated markup; all output escaped</t>
        </is>
      </c>
      <c r="P11" s="95" t="n"/>
      <c r="Q11" s="95" t="inlineStr">
        <is>
          <t>Widget registry + renderer + template-parts/home/* partials + shared 'more' link.</t>
        </is>
      </c>
      <c r="R11" s="96" t="n">
        <v>46306</v>
      </c>
      <c r="S11" s="91" t="inlineStr">
        <is>
          <t>None</t>
        </is>
      </c>
      <c r="T11" s="92" t="inlineStr">
        <is>
          <t>Not Tested</t>
        </is>
      </c>
      <c r="U11" s="97">
        <f>IF(A11="",0,IF(G11="Completed",1,IF(G11="Not Started",0,MIN(0.99,N(J11)))))</f>
        <v/>
      </c>
      <c r="V11" s="97">
        <f>IF(OR(A11="",H11="",I11=""),0,MAX(0,MIN(1,(StatusDate-H11+1)/(I11-H11+1))))</f>
        <v/>
      </c>
      <c r="W11" s="98">
        <f>IF(OR(A11="",I11="",G11="Completed"),"",I11-StatusDate)</f>
        <v/>
      </c>
      <c r="X11" s="99">
        <f>IF(A11="","",IF(AND(G11&lt;&gt;"Completed",I11&lt;&gt;"",I11&lt;StatusDate),"OVERDUE",""))</f>
        <v/>
      </c>
      <c r="Y11" s="99">
        <f>IF(OR(A11="",K11=""),"",IF(SUMPRODUCT(($A$6:$A$400&lt;&gt;"")*ISNUMBER(SEARCH($A$6:$A$400,K11))*($G$6:$G$400&lt;&gt;"Completed"))=0,"✓ Ready","⏳ "&amp;SUMPRODUCT(($A$6:$A$400&lt;&gt;"")*ISNUMBER(SEARCH($A$6:$A$400,K11))*($G$6:$G$400&lt;&gt;"Completed"))&amp;" open"))</f>
        <v/>
      </c>
      <c r="Z11" s="99">
        <f>IF(A11="","",B11&amp;"|"&amp;COUNTIFS($B$6:B11,B11,$A$6:A11,"?*"))</f>
        <v/>
      </c>
      <c r="AA11" s="99">
        <f>IF(OR(A11="",I11="",G11="Completed"),"",IF(I11&gt;=StatusDate,I11+ROW()/100000,""))</f>
        <v/>
      </c>
      <c r="AB11" s="99">
        <f>IF(A11="","",IF(AND(G11&lt;&gt;"Completed",OR(G11="Blocked",AND(TRIM(P11)&lt;&gt;"",P11&lt;&gt;"None"))),ROW(),""))</f>
        <v/>
      </c>
      <c r="AC11" s="99">
        <f>IF(A11="","",IF(G11="Completed","Done",IF(G11="Blocked","Blocked",IF(X11="OVERDUE","Overdue",IF(AND(W11&lt;&gt;"",W11&lt;=2),"Due soon",IF(AND(Y11&lt;&gt;"",LEFT(Y11,1)="⏳",G11&lt;&gt;"Not Started"),"Dependency open",IF(AND(S11&lt;&gt;"None",S11&lt;&gt;"",G11&lt;&gt;"Completed"),"External req.","On track")))))))</f>
        <v/>
      </c>
    </row>
    <row r="12" ht="62" customHeight="1">
      <c r="A12" s="89" t="inlineStr">
        <is>
          <t>P1-07</t>
        </is>
      </c>
      <c r="B12" s="90" t="inlineStr">
        <is>
          <t>Phase 1</t>
        </is>
      </c>
      <c r="C12" s="91" t="inlineStr">
        <is>
          <t>CSS Architecture</t>
        </is>
      </c>
      <c r="D12" s="91" t="inlineStr">
        <is>
          <t>CSS architecture &amp; design tokens</t>
        </is>
      </c>
      <c r="E12" s="91" t="inlineStr">
        <is>
          <t>assets/css: tokens.css (colors, spacing, type scale as custom properties), base, layout, components, utilities, templates. Use CSS logical properties for native RTL. No CSS framework. Minification delegated to LiteSpeed (no local build tooling).</t>
        </is>
      </c>
      <c r="F12" s="90" t="inlineStr">
        <is>
          <t>P0</t>
        </is>
      </c>
      <c r="G12" s="92" t="inlineStr">
        <is>
          <t>In Progress</t>
        </is>
      </c>
      <c r="H12" s="93" t="n">
        <v>46307</v>
      </c>
      <c r="I12" s="93" t="n">
        <v>46308</v>
      </c>
      <c r="J12" s="94" t="n">
        <v>0.6</v>
      </c>
      <c r="K12" s="91" t="inlineStr">
        <is>
          <t>P1-04</t>
        </is>
      </c>
      <c r="L12" s="91" t="inlineStr">
        <is>
          <t>Staging (Hostinger)</t>
        </is>
      </c>
      <c r="M12" s="91" t="inlineStr">
        <is>
          <t>assets/css/tokens.css, base.css, layout.css, components.css, utilities.css</t>
        </is>
      </c>
      <c r="N12" s="91" t="inlineStr">
        <is>
          <t>Inspect computed styles use tokens; RTL correct without separate override file; CSS size checked</t>
        </is>
      </c>
      <c r="O12" s="91" t="inlineStr">
        <is>
          <t>Single token source; consistent styling; total CSS within agreed budget (target &lt; 100 KB uncompressed)</t>
        </is>
      </c>
      <c r="P12" s="95" t="n"/>
      <c r="Q12" s="95" t="inlineStr">
        <is>
          <t>Prototype CSS kept; CSS variables added via Design tab. Open: full token/logical-property structure.</t>
        </is>
      </c>
      <c r="R12" s="96" t="n"/>
      <c r="S12" s="91" t="inlineStr">
        <is>
          <t>None</t>
        </is>
      </c>
      <c r="T12" s="92" t="inlineStr">
        <is>
          <t>Not Tested</t>
        </is>
      </c>
      <c r="U12" s="97">
        <f>IF(A12="",0,IF(G12="Completed",1,IF(G12="Not Started",0,MIN(0.99,N(J12)))))</f>
        <v/>
      </c>
      <c r="V12" s="97">
        <f>IF(OR(A12="",H12="",I12=""),0,MAX(0,MIN(1,(StatusDate-H12+1)/(I12-H12+1))))</f>
        <v/>
      </c>
      <c r="W12" s="98">
        <f>IF(OR(A12="",I12="",G12="Completed"),"",I12-StatusDate)</f>
        <v/>
      </c>
      <c r="X12" s="99">
        <f>IF(A12="","",IF(AND(G12&lt;&gt;"Completed",I12&lt;&gt;"",I12&lt;StatusDate),"OVERDUE",""))</f>
        <v/>
      </c>
      <c r="Y12" s="99">
        <f>IF(OR(A12="",K12=""),"",IF(SUMPRODUCT(($A$6:$A$400&lt;&gt;"")*ISNUMBER(SEARCH($A$6:$A$400,K12))*($G$6:$G$400&lt;&gt;"Completed"))=0,"✓ Ready","⏳ "&amp;SUMPRODUCT(($A$6:$A$400&lt;&gt;"")*ISNUMBER(SEARCH($A$6:$A$400,K12))*($G$6:$G$400&lt;&gt;"Completed"))&amp;" open"))</f>
        <v/>
      </c>
      <c r="Z12" s="99">
        <f>IF(A12="","",B12&amp;"|"&amp;COUNTIFS($B$6:B12,B12,$A$6:A12,"?*"))</f>
        <v/>
      </c>
      <c r="AA12" s="99">
        <f>IF(OR(A12="",I12="",G12="Completed"),"",IF(I12&gt;=StatusDate,I12+ROW()/100000,""))</f>
        <v/>
      </c>
      <c r="AB12" s="99">
        <f>IF(A12="","",IF(AND(G12&lt;&gt;"Completed",OR(G12="Blocked",AND(TRIM(P12)&lt;&gt;"",P12&lt;&gt;"None"))),ROW(),""))</f>
        <v/>
      </c>
      <c r="AC12" s="99">
        <f>IF(A12="","",IF(G12="Completed","Done",IF(G12="Blocked","Blocked",IF(X12="OVERDUE","Overdue",IF(AND(W12&lt;&gt;"",W12&lt;=2),"Due soon",IF(AND(Y12&lt;&gt;"",LEFT(Y12,1)="⏳",G12&lt;&gt;"Not Started"),"Dependency open",IF(AND(S12&lt;&gt;"None",S12&lt;&gt;"",G12&lt;&gt;"Completed"),"External req.","On track")))))))</f>
        <v/>
      </c>
    </row>
    <row r="13" ht="62" customHeight="1">
      <c r="A13" s="89" t="inlineStr">
        <is>
          <t>P1-08</t>
        </is>
      </c>
      <c r="B13" s="90" t="inlineStr">
        <is>
          <t>Phase 1</t>
        </is>
      </c>
      <c r="C13" s="91" t="inlineStr">
        <is>
          <t>Vanilla JS</t>
        </is>
      </c>
      <c r="D13" s="91" t="inlineStr">
        <is>
          <t>Vanilla JS module architecture</t>
        </is>
      </c>
      <c r="E13" s="91" t="inlineStr">
        <is>
          <t>assets/js/main.js bootstraps data-attribute driven modules (nav, drawer, search overlay, sticky header); IntersectionObserver utilities; respects prefers-reduced-motion; no jQuery.</t>
        </is>
      </c>
      <c r="F13" s="90" t="inlineStr">
        <is>
          <t>P0</t>
        </is>
      </c>
      <c r="G13" s="92" t="inlineStr">
        <is>
          <t>In Progress</t>
        </is>
      </c>
      <c r="H13" s="93" t="n">
        <v>46308</v>
      </c>
      <c r="I13" s="93" t="n">
        <v>46308</v>
      </c>
      <c r="J13" s="94" t="n">
        <v>0.6</v>
      </c>
      <c r="K13" s="91" t="inlineStr">
        <is>
          <t>P1-04</t>
        </is>
      </c>
      <c r="L13" s="91" t="inlineStr">
        <is>
          <t>Staging (Hostinger)</t>
        </is>
      </c>
      <c r="M13" s="91" t="inlineStr">
        <is>
          <t>assets/js/main.js, assets/js/modules/*.js</t>
        </is>
      </c>
      <c r="N13" s="91" t="inlineStr">
        <is>
          <t>Console clean on Chrome &amp; Safari; page usable with JS disabled</t>
        </is>
      </c>
      <c r="O13" s="91" t="inlineStr">
        <is>
          <t>All interactions implemented in Vanilla JS; zero console errors; scripts deferred</t>
        </is>
      </c>
      <c r="P13" s="95" t="n"/>
      <c r="Q13" s="95" t="inlineStr">
        <is>
          <t>Prototype JS adapted (no double-fill of SSR sections, data-wp-menu). Open: module structure review.</t>
        </is>
      </c>
      <c r="R13" s="96" t="n"/>
      <c r="S13" s="91" t="inlineStr">
        <is>
          <t>None</t>
        </is>
      </c>
      <c r="T13" s="92" t="inlineStr">
        <is>
          <t>Not Tested</t>
        </is>
      </c>
      <c r="U13" s="97">
        <f>IF(A13="",0,IF(G13="Completed",1,IF(G13="Not Started",0,MIN(0.99,N(J13)))))</f>
        <v/>
      </c>
      <c r="V13" s="97">
        <f>IF(OR(A13="",H13="",I13=""),0,MAX(0,MIN(1,(StatusDate-H13+1)/(I13-H13+1))))</f>
        <v/>
      </c>
      <c r="W13" s="98">
        <f>IF(OR(A13="",I13="",G13="Completed"),"",I13-StatusDate)</f>
        <v/>
      </c>
      <c r="X13" s="99">
        <f>IF(A13="","",IF(AND(G13&lt;&gt;"Completed",I13&lt;&gt;"",I13&lt;StatusDate),"OVERDUE",""))</f>
        <v/>
      </c>
      <c r="Y13" s="99">
        <f>IF(OR(A13="",K13=""),"",IF(SUMPRODUCT(($A$6:$A$400&lt;&gt;"")*ISNUMBER(SEARCH($A$6:$A$400,K13))*($G$6:$G$400&lt;&gt;"Completed"))=0,"✓ Ready","⏳ "&amp;SUMPRODUCT(($A$6:$A$400&lt;&gt;"")*ISNUMBER(SEARCH($A$6:$A$400,K13))*($G$6:$G$400&lt;&gt;"Completed"))&amp;" open"))</f>
        <v/>
      </c>
      <c r="Z13" s="99">
        <f>IF(A13="","",B13&amp;"|"&amp;COUNTIFS($B$6:B13,B13,$A$6:A13,"?*"))</f>
        <v/>
      </c>
      <c r="AA13" s="99">
        <f>IF(OR(A13="",I13="",G13="Completed"),"",IF(I13&gt;=StatusDate,I13+ROW()/100000,""))</f>
        <v/>
      </c>
      <c r="AB13" s="99">
        <f>IF(A13="","",IF(AND(G13&lt;&gt;"Completed",OR(G13="Blocked",AND(TRIM(P13)&lt;&gt;"",P13&lt;&gt;"None"))),ROW(),""))</f>
        <v/>
      </c>
      <c r="AC13" s="99">
        <f>IF(A13="","",IF(G13="Completed","Done",IF(G13="Blocked","Blocked",IF(X13="OVERDUE","Overdue",IF(AND(W13&lt;&gt;"",W13&lt;=2),"Due soon",IF(AND(Y13&lt;&gt;"",LEFT(Y13,1)="⏳",G13&lt;&gt;"Not Started"),"Dependency open",IF(AND(S13&lt;&gt;"None",S13&lt;&gt;"",G13&lt;&gt;"Completed"),"External req.","On track")))))))</f>
        <v/>
      </c>
    </row>
    <row r="14" ht="62" customHeight="1">
      <c r="A14" s="89" t="inlineStr">
        <is>
          <t>P1-09</t>
        </is>
      </c>
      <c r="B14" s="90" t="inlineStr">
        <is>
          <t>Phase 1</t>
        </is>
      </c>
      <c r="C14" s="91" t="inlineStr">
        <is>
          <t>RTL Typography</t>
        </is>
      </c>
      <c r="D14" s="91" t="inlineStr">
        <is>
          <t>RTL layout &amp; Arabic typography</t>
        </is>
      </c>
      <c r="E14" s="91" t="inlineStr">
        <is>
          <t>html dir='rtl' lang='ar'; self-hosted Arabic WOFF2 fonts (font-display: swap, subset); Arabic-appropriate line-height &amp; type scale; bidi isolation for mixed Arabic/English strings; numerals policy.</t>
        </is>
      </c>
      <c r="F14" s="90" t="inlineStr">
        <is>
          <t>P0</t>
        </is>
      </c>
      <c r="G14" s="92" t="inlineStr">
        <is>
          <t>Completed</t>
        </is>
      </c>
      <c r="H14" s="93" t="n">
        <v>46308</v>
      </c>
      <c r="I14" s="93" t="n">
        <v>46308</v>
      </c>
      <c r="J14" s="94" t="n">
        <v>1</v>
      </c>
      <c r="K14" s="91" t="inlineStr">
        <is>
          <t>P1-07</t>
        </is>
      </c>
      <c r="L14" s="91" t="inlineStr">
        <is>
          <t>Staging (Hostinger)</t>
        </is>
      </c>
      <c r="M14" s="91" t="inlineStr">
        <is>
          <t>assets/fonts/*, assets/css/base.css, header.php</t>
        </is>
      </c>
      <c r="N14" s="91" t="inlineStr">
        <is>
          <t>Headlines/body render in Arabic font on iOS, Android, desktop; no invisible text flash; mixed strings align</t>
        </is>
      </c>
      <c r="O14" s="91" t="inlineStr">
        <is>
          <t>Correct RTL direction site-wide; fonts self-hosted; no layout shift from font swap</t>
        </is>
      </c>
      <c r="P14" s="95" t="n"/>
      <c r="Q14" s="95" t="inlineStr">
        <is>
          <t>Self-hosted IBM Plex Sans Arabic (300–800) + Playfair Display; fonts.css; no Google Fonts at runtime.</t>
        </is>
      </c>
      <c r="R14" s="96" t="n">
        <v>46306</v>
      </c>
      <c r="S14" s="91" t="inlineStr">
        <is>
          <t>None</t>
        </is>
      </c>
      <c r="T14" s="92" t="inlineStr">
        <is>
          <t>Not Tested</t>
        </is>
      </c>
      <c r="U14" s="97">
        <f>IF(A14="",0,IF(G14="Completed",1,IF(G14="Not Started",0,MIN(0.99,N(J14)))))</f>
        <v/>
      </c>
      <c r="V14" s="97">
        <f>IF(OR(A14="",H14="",I14=""),0,MAX(0,MIN(1,(StatusDate-H14+1)/(I14-H14+1))))</f>
        <v/>
      </c>
      <c r="W14" s="98">
        <f>IF(OR(A14="",I14="",G14="Completed"),"",I14-StatusDate)</f>
        <v/>
      </c>
      <c r="X14" s="99">
        <f>IF(A14="","",IF(AND(G14&lt;&gt;"Completed",I14&lt;&gt;"",I14&lt;StatusDate),"OVERDUE",""))</f>
        <v/>
      </c>
      <c r="Y14" s="99">
        <f>IF(OR(A14="",K14=""),"",IF(SUMPRODUCT(($A$6:$A$400&lt;&gt;"")*ISNUMBER(SEARCH($A$6:$A$400,K14))*($G$6:$G$400&lt;&gt;"Completed"))=0,"✓ Ready","⏳ "&amp;SUMPRODUCT(($A$6:$A$400&lt;&gt;"")*ISNUMBER(SEARCH($A$6:$A$400,K14))*($G$6:$G$400&lt;&gt;"Completed"))&amp;" open"))</f>
        <v/>
      </c>
      <c r="Z14" s="99">
        <f>IF(A14="","",B14&amp;"|"&amp;COUNTIFS($B$6:B14,B14,$A$6:A14,"?*"))</f>
        <v/>
      </c>
      <c r="AA14" s="99">
        <f>IF(OR(A14="",I14="",G14="Completed"),"",IF(I14&gt;=StatusDate,I14+ROW()/100000,""))</f>
        <v/>
      </c>
      <c r="AB14" s="99">
        <f>IF(A14="","",IF(AND(G14&lt;&gt;"Completed",OR(G14="Blocked",AND(TRIM(P14)&lt;&gt;"",P14&lt;&gt;"None"))),ROW(),""))</f>
        <v/>
      </c>
      <c r="AC14" s="99">
        <f>IF(A14="","",IF(G14="Completed","Done",IF(G14="Blocked","Blocked",IF(X14="OVERDUE","Overdue",IF(AND(W14&lt;&gt;"",W14&lt;=2),"Due soon",IF(AND(Y14&lt;&gt;"",LEFT(Y14,1)="⏳",G14&lt;&gt;"Not Started"),"Dependency open",IF(AND(S14&lt;&gt;"None",S14&lt;&gt;"",G14&lt;&gt;"Completed"),"External req.","On track")))))))</f>
        <v/>
      </c>
    </row>
    <row r="15" ht="62" customHeight="1">
      <c r="A15" s="89" t="inlineStr">
        <is>
          <t>P1-10</t>
        </is>
      </c>
      <c r="B15" s="90" t="inlineStr">
        <is>
          <t>Phase 1</t>
        </is>
      </c>
      <c r="C15" s="91" t="inlineStr">
        <is>
          <t>Responsive Design</t>
        </is>
      </c>
      <c r="D15" s="91" t="inlineStr">
        <is>
          <t>Responsive grid &amp; breakpoints</t>
        </is>
      </c>
      <c r="E15" s="91" t="inlineStr">
        <is>
          <t>Mobile-first container and CSS grid; breakpoints 360/576/768/1024/1280+; fluid type with clamp(); responsive images with srcset/sizes.</t>
        </is>
      </c>
      <c r="F15" s="90" t="inlineStr">
        <is>
          <t>P0</t>
        </is>
      </c>
      <c r="G15" s="92" t="inlineStr">
        <is>
          <t>In Review</t>
        </is>
      </c>
      <c r="H15" s="93" t="n">
        <v>46308</v>
      </c>
      <c r="I15" s="93" t="n">
        <v>46308</v>
      </c>
      <c r="J15" s="94" t="n">
        <v>0.9</v>
      </c>
      <c r="K15" s="91" t="inlineStr">
        <is>
          <t>P1-07</t>
        </is>
      </c>
      <c r="L15" s="91" t="inlineStr">
        <is>
          <t>Staging (Hostinger)</t>
        </is>
      </c>
      <c r="M15" s="91" t="inlineStr">
        <is>
          <t>assets/css/layout.css</t>
        </is>
      </c>
      <c r="N15" s="91" t="inlineStr">
        <is>
          <t>Test 360, 414, 768, 1024, 1440 px widths; no horizontal scroll</t>
        </is>
      </c>
      <c r="O15" s="91" t="inlineStr">
        <is>
          <t>All layouts usable at 360 px; no overflow; correctly sized images</t>
        </is>
      </c>
      <c r="P15" s="95" t="n"/>
      <c r="Q15" s="95" t="inlineStr">
        <is>
          <t>Prototype responsive layout preserved — confirm at 360/768/1440 px on staging.</t>
        </is>
      </c>
      <c r="R15" s="96" t="n"/>
      <c r="S15" s="91" t="inlineStr">
        <is>
          <t>None</t>
        </is>
      </c>
      <c r="T15" s="92" t="inlineStr">
        <is>
          <t>Not Tested</t>
        </is>
      </c>
      <c r="U15" s="97">
        <f>IF(A15="",0,IF(G15="Completed",1,IF(G15="Not Started",0,MIN(0.99,N(J15)))))</f>
        <v/>
      </c>
      <c r="V15" s="97">
        <f>IF(OR(A15="",H15="",I15=""),0,MAX(0,MIN(1,(StatusDate-H15+1)/(I15-H15+1))))</f>
        <v/>
      </c>
      <c r="W15" s="98">
        <f>IF(OR(A15="",I15="",G15="Completed"),"",I15-StatusDate)</f>
        <v/>
      </c>
      <c r="X15" s="99">
        <f>IF(A15="","",IF(AND(G15&lt;&gt;"Completed",I15&lt;&gt;"",I15&lt;StatusDate),"OVERDUE",""))</f>
        <v/>
      </c>
      <c r="Y15" s="99">
        <f>IF(OR(A15="",K15=""),"",IF(SUMPRODUCT(($A$6:$A$400&lt;&gt;"")*ISNUMBER(SEARCH($A$6:$A$400,K15))*($G$6:$G$400&lt;&gt;"Completed"))=0,"✓ Ready","⏳ "&amp;SUMPRODUCT(($A$6:$A$400&lt;&gt;"")*ISNUMBER(SEARCH($A$6:$A$400,K15))*($G$6:$G$400&lt;&gt;"Completed"))&amp;" open"))</f>
        <v/>
      </c>
      <c r="Z15" s="99">
        <f>IF(A15="","",B15&amp;"|"&amp;COUNTIFS($B$6:B15,B15,$A$6:A15,"?*"))</f>
        <v/>
      </c>
      <c r="AA15" s="99">
        <f>IF(OR(A15="",I15="",G15="Completed"),"",IF(I15&gt;=StatusDate,I15+ROW()/100000,""))</f>
        <v/>
      </c>
      <c r="AB15" s="99">
        <f>IF(A15="","",IF(AND(G15&lt;&gt;"Completed",OR(G15="Blocked",AND(TRIM(P15)&lt;&gt;"",P15&lt;&gt;"None"))),ROW(),""))</f>
        <v/>
      </c>
      <c r="AC15" s="99">
        <f>IF(A15="","",IF(G15="Completed","Done",IF(G15="Blocked","Blocked",IF(X15="OVERDUE","Overdue",IF(AND(W15&lt;&gt;"",W15&lt;=2),"Due soon",IF(AND(Y15&lt;&gt;"",LEFT(Y15,1)="⏳",G15&lt;&gt;"Not Started"),"Dependency open",IF(AND(S15&lt;&gt;"None",S15&lt;&gt;"",G15&lt;&gt;"Completed"),"External req.","On track")))))))</f>
        <v/>
      </c>
    </row>
    <row r="16" ht="62" customHeight="1">
      <c r="A16" s="89" t="inlineStr">
        <is>
          <t>P1-11</t>
        </is>
      </c>
      <c r="B16" s="90" t="inlineStr">
        <is>
          <t>Phase 1</t>
        </is>
      </c>
      <c r="C16" s="91" t="inlineStr">
        <is>
          <t>Header &amp; Navigation</t>
        </is>
      </c>
      <c r="D16" s="91" t="inlineStr">
        <is>
          <t>Header, navigation, mobile drawer &amp; search</t>
        </is>
      </c>
      <c r="E16" s="91" t="inlineStr">
        <is>
          <t>Top bar with Arabic date, custom logo, primary menu with dropdowns, off-canvas mobile drawer, search overlay, sticky header; keyboard and screen-reader accessible.</t>
        </is>
      </c>
      <c r="F16" s="90" t="inlineStr">
        <is>
          <t>P0</t>
        </is>
      </c>
      <c r="G16" s="92" t="inlineStr">
        <is>
          <t>Completed</t>
        </is>
      </c>
      <c r="H16" s="93" t="n">
        <v>46308</v>
      </c>
      <c r="I16" s="93" t="n">
        <v>46309</v>
      </c>
      <c r="J16" s="94" t="n">
        <v>1</v>
      </c>
      <c r="K16" s="91" t="inlineStr">
        <is>
          <t>P1-06, P1-08, P1-15</t>
        </is>
      </c>
      <c r="L16" s="91" t="inlineStr">
        <is>
          <t>Staging (Hostinger)</t>
        </is>
      </c>
      <c r="M16" s="91" t="inlineStr">
        <is>
          <t>header.php, template-parts/header/*.php, assets/js/modules/nav.js</t>
        </is>
      </c>
      <c r="N16" s="91" t="inlineStr">
        <is>
          <t>Drawer opens/closes, Esc closes, focus trapped; search submits; menu edited in WP admin updates header</t>
        </is>
      </c>
      <c r="O16" s="91" t="inlineStr">
        <is>
          <t>Navigation works on touch and keyboard; fully managed from WordPress menus</t>
        </is>
      </c>
      <c r="P16" s="95" t="n"/>
      <c r="Q16" s="95" t="inlineStr">
        <is>
          <t>Header builder in Theme Options, wp_nav_menu chrome, nav helpers, site-chrome JS.</t>
        </is>
      </c>
      <c r="R16" s="96" t="n">
        <v>46306</v>
      </c>
      <c r="S16" s="91" t="inlineStr">
        <is>
          <t>None</t>
        </is>
      </c>
      <c r="T16" s="92" t="inlineStr">
        <is>
          <t>Not Tested</t>
        </is>
      </c>
      <c r="U16" s="97">
        <f>IF(A16="",0,IF(G16="Completed",1,IF(G16="Not Started",0,MIN(0.99,N(J16)))))</f>
        <v/>
      </c>
      <c r="V16" s="97">
        <f>IF(OR(A16="",H16="",I16=""),0,MAX(0,MIN(1,(StatusDate-H16+1)/(I16-H16+1))))</f>
        <v/>
      </c>
      <c r="W16" s="98">
        <f>IF(OR(A16="",I16="",G16="Completed"),"",I16-StatusDate)</f>
        <v/>
      </c>
      <c r="X16" s="99">
        <f>IF(A16="","",IF(AND(G16&lt;&gt;"Completed",I16&lt;&gt;"",I16&lt;StatusDate),"OVERDUE",""))</f>
        <v/>
      </c>
      <c r="Y16" s="99">
        <f>IF(OR(A16="",K16=""),"",IF(SUMPRODUCT(($A$6:$A$400&lt;&gt;"")*ISNUMBER(SEARCH($A$6:$A$400,K16))*($G$6:$G$400&lt;&gt;"Completed"))=0,"✓ Ready","⏳ "&amp;SUMPRODUCT(($A$6:$A$400&lt;&gt;"")*ISNUMBER(SEARCH($A$6:$A$400,K16))*($G$6:$G$400&lt;&gt;"Completed"))&amp;" open"))</f>
        <v/>
      </c>
      <c r="Z16" s="99">
        <f>IF(A16="","",B16&amp;"|"&amp;COUNTIFS($B$6:B16,B16,$A$6:A16,"?*"))</f>
        <v/>
      </c>
      <c r="AA16" s="99">
        <f>IF(OR(A16="",I16="",G16="Completed"),"",IF(I16&gt;=StatusDate,I16+ROW()/100000,""))</f>
        <v/>
      </c>
      <c r="AB16" s="99">
        <f>IF(A16="","",IF(AND(G16&lt;&gt;"Completed",OR(G16="Blocked",AND(TRIM(P16)&lt;&gt;"",P16&lt;&gt;"None"))),ROW(),""))</f>
        <v/>
      </c>
      <c r="AC16" s="99">
        <f>IF(A16="","",IF(G16="Completed","Done",IF(G16="Blocked","Blocked",IF(X16="OVERDUE","Overdue",IF(AND(W16&lt;&gt;"",W16&lt;=2),"Due soon",IF(AND(Y16&lt;&gt;"",LEFT(Y16,1)="⏳",G16&lt;&gt;"Not Started"),"Dependency open",IF(AND(S16&lt;&gt;"None",S16&lt;&gt;"",G16&lt;&gt;"Completed"),"External req.","On track")))))))</f>
        <v/>
      </c>
    </row>
    <row r="17" ht="62" customHeight="1">
      <c r="A17" s="89" t="inlineStr">
        <is>
          <t>P1-12</t>
        </is>
      </c>
      <c r="B17" s="90" t="inlineStr">
        <is>
          <t>Phase 1</t>
        </is>
      </c>
      <c r="C17" s="91" t="inlineStr">
        <is>
          <t>Footer</t>
        </is>
      </c>
      <c r="D17" s="91" t="inlineStr">
        <is>
          <t>Footer with editable menus &amp; social links</t>
        </is>
      </c>
      <c r="E17" s="91" t="inlineStr">
        <is>
          <t>Footer menus, social links via Customizer, newsletter/CTA slot, copyright, back-to-top.</t>
        </is>
      </c>
      <c r="F17" s="90" t="inlineStr">
        <is>
          <t>P1</t>
        </is>
      </c>
      <c r="G17" s="92" t="inlineStr">
        <is>
          <t>Completed</t>
        </is>
      </c>
      <c r="H17" s="93" t="n">
        <v>46309</v>
      </c>
      <c r="I17" s="93" t="n">
        <v>46309</v>
      </c>
      <c r="J17" s="94" t="n">
        <v>1</v>
      </c>
      <c r="K17" s="91" t="inlineStr">
        <is>
          <t>P1-06</t>
        </is>
      </c>
      <c r="L17" s="91" t="inlineStr">
        <is>
          <t>Staging (Hostinger)</t>
        </is>
      </c>
      <c r="M17" s="91" t="inlineStr">
        <is>
          <t>footer.php, template-parts/footer/*.php</t>
        </is>
      </c>
      <c r="N17" s="91" t="inlineStr">
        <is>
          <t>All links resolve; social URLs editable in Customizer</t>
        </is>
      </c>
      <c r="O17" s="91" t="inlineStr">
        <is>
          <t>Footer content editable without code</t>
        </is>
      </c>
      <c r="P17" s="95" t="n"/>
      <c r="Q17" s="95" t="inlineStr">
        <is>
          <t>Footer builder + social links component (inc/social.php).</t>
        </is>
      </c>
      <c r="R17" s="96" t="n">
        <v>46306</v>
      </c>
      <c r="S17" s="91" t="inlineStr">
        <is>
          <t>None</t>
        </is>
      </c>
      <c r="T17" s="92" t="inlineStr">
        <is>
          <t>Not Tested</t>
        </is>
      </c>
      <c r="U17" s="97">
        <f>IF(A17="",0,IF(G17="Completed",1,IF(G17="Not Started",0,MIN(0.99,N(J17)))))</f>
        <v/>
      </c>
      <c r="V17" s="97">
        <f>IF(OR(A17="",H17="",I17=""),0,MAX(0,MIN(1,(StatusDate-H17+1)/(I17-H17+1))))</f>
        <v/>
      </c>
      <c r="W17" s="98">
        <f>IF(OR(A17="",I17="",G17="Completed"),"",I17-StatusDate)</f>
        <v/>
      </c>
      <c r="X17" s="99">
        <f>IF(A17="","",IF(AND(G17&lt;&gt;"Completed",I17&lt;&gt;"",I17&lt;StatusDate),"OVERDUE",""))</f>
        <v/>
      </c>
      <c r="Y17" s="99">
        <f>IF(OR(A17="",K17=""),"",IF(SUMPRODUCT(($A$6:$A$400&lt;&gt;"")*ISNUMBER(SEARCH($A$6:$A$400,K17))*($G$6:$G$400&lt;&gt;"Completed"))=0,"✓ Ready","⏳ "&amp;SUMPRODUCT(($A$6:$A$400&lt;&gt;"")*ISNUMBER(SEARCH($A$6:$A$400,K17))*($G$6:$G$400&lt;&gt;"Completed"))&amp;" open"))</f>
        <v/>
      </c>
      <c r="Z17" s="99">
        <f>IF(A17="","",B17&amp;"|"&amp;COUNTIFS($B$6:B17,B17,$A$6:A17,"?*"))</f>
        <v/>
      </c>
      <c r="AA17" s="99">
        <f>IF(OR(A17="",I17="",G17="Completed"),"",IF(I17&gt;=StatusDate,I17+ROW()/100000,""))</f>
        <v/>
      </c>
      <c r="AB17" s="99">
        <f>IF(A17="","",IF(AND(G17&lt;&gt;"Completed",OR(G17="Blocked",AND(TRIM(P17)&lt;&gt;"",P17&lt;&gt;"None"))),ROW(),""))</f>
        <v/>
      </c>
      <c r="AC17" s="99">
        <f>IF(A17="","",IF(G17="Completed","Done",IF(G17="Blocked","Blocked",IF(X17="OVERDUE","Overdue",IF(AND(W17&lt;&gt;"",W17&lt;=2),"Due soon",IF(AND(Y17&lt;&gt;"",LEFT(Y17,1)="⏳",G17&lt;&gt;"Not Started"),"Dependency open",IF(AND(S17&lt;&gt;"None",S17&lt;&gt;"",G17&lt;&gt;"Completed"),"External req.","On track")))))))</f>
        <v/>
      </c>
    </row>
    <row r="18" ht="62" customHeight="1">
      <c r="A18" s="89" t="inlineStr">
        <is>
          <t>P1-13</t>
        </is>
      </c>
      <c r="B18" s="90" t="inlineStr">
        <is>
          <t>Phase 1</t>
        </is>
      </c>
      <c r="C18" s="91" t="inlineStr">
        <is>
          <t>WordPress Integration</t>
        </is>
      </c>
      <c r="D18" s="91" t="inlineStr">
        <is>
          <t>Core WordPress integration &amp; editor styles</t>
        </is>
      </c>
      <c r="E18" s="91" t="inlineStr">
        <is>
          <t>wp_head/wp_body_open/wp_footer, body_class/post_class, widget areas (article sidebar, archive sidebar, footer), skip-link, editor-style.css so Gutenberg preview matches front end, oEmbed styling.</t>
        </is>
      </c>
      <c r="F18" s="90" t="inlineStr">
        <is>
          <t>P0</t>
        </is>
      </c>
      <c r="G18" s="92" t="inlineStr">
        <is>
          <t>In Progress</t>
        </is>
      </c>
      <c r="H18" s="93" t="n">
        <v>46309</v>
      </c>
      <c r="I18" s="93" t="n">
        <v>46309</v>
      </c>
      <c r="J18" s="94" t="n">
        <v>0.7</v>
      </c>
      <c r="K18" s="91" t="inlineStr">
        <is>
          <t>P1-05</t>
        </is>
      </c>
      <c r="L18" s="91" t="inlineStr">
        <is>
          <t>Staging (Hostinger)</t>
        </is>
      </c>
      <c r="M18" s="91" t="inlineStr">
        <is>
          <t>functions.php, inc/widgets.php, assets/css/editor-style.css</t>
        </is>
      </c>
      <c r="N18" s="91" t="inlineStr">
        <is>
          <t>SEO and LiteSpeed plugins inject head tags; widgets render; editor preview matches front end</t>
        </is>
      </c>
      <c r="O18" s="91" t="inlineStr">
        <is>
          <t>Theme compatible with WordPress core and active plugins; no missing hooks</t>
        </is>
      </c>
      <c r="P18" s="95" t="n"/>
      <c r="Q18" s="95" t="inlineStr">
        <is>
          <t>Theme Options (11 tabs), idempotent activation, defaults/category map. Open: widget areas, editor-style.css.</t>
        </is>
      </c>
      <c r="R18" s="96" t="n"/>
      <c r="S18" s="91" t="inlineStr">
        <is>
          <t>None</t>
        </is>
      </c>
      <c r="T18" s="92" t="inlineStr">
        <is>
          <t>Not Tested</t>
        </is>
      </c>
      <c r="U18" s="97">
        <f>IF(A18="",0,IF(G18="Completed",1,IF(G18="Not Started",0,MIN(0.99,N(J18)))))</f>
        <v/>
      </c>
      <c r="V18" s="97">
        <f>IF(OR(A18="",H18="",I18=""),0,MAX(0,MIN(1,(StatusDate-H18+1)/(I18-H18+1))))</f>
        <v/>
      </c>
      <c r="W18" s="98">
        <f>IF(OR(A18="",I18="",G18="Completed"),"",I18-StatusDate)</f>
        <v/>
      </c>
      <c r="X18" s="99">
        <f>IF(A18="","",IF(AND(G18&lt;&gt;"Completed",I18&lt;&gt;"",I18&lt;StatusDate),"OVERDUE",""))</f>
        <v/>
      </c>
      <c r="Y18" s="99">
        <f>IF(OR(A18="",K18=""),"",IF(SUMPRODUCT(($A$6:$A$400&lt;&gt;"")*ISNUMBER(SEARCH($A$6:$A$400,K18))*($G$6:$G$400&lt;&gt;"Completed"))=0,"✓ Ready","⏳ "&amp;SUMPRODUCT(($A$6:$A$400&lt;&gt;"")*ISNUMBER(SEARCH($A$6:$A$400,K18))*($G$6:$G$400&lt;&gt;"Completed"))&amp;" open"))</f>
        <v/>
      </c>
      <c r="Z18" s="99">
        <f>IF(A18="","",B18&amp;"|"&amp;COUNTIFS($B$6:B18,B18,$A$6:A18,"?*"))</f>
        <v/>
      </c>
      <c r="AA18" s="99">
        <f>IF(OR(A18="",I18="",G18="Completed"),"",IF(I18&gt;=StatusDate,I18+ROW()/100000,""))</f>
        <v/>
      </c>
      <c r="AB18" s="99">
        <f>IF(A18="","",IF(AND(G18&lt;&gt;"Completed",OR(G18="Blocked",AND(TRIM(P18)&lt;&gt;"",P18&lt;&gt;"None"))),ROW(),""))</f>
        <v/>
      </c>
      <c r="AC18" s="99">
        <f>IF(A18="","",IF(G18="Completed","Done",IF(G18="Blocked","Blocked",IF(X18="OVERDUE","Overdue",IF(AND(W18&lt;&gt;"",W18&lt;=2),"Due soon",IF(AND(Y18&lt;&gt;"",LEFT(Y18,1)="⏳",G18&lt;&gt;"Not Started"),"Dependency open",IF(AND(S18&lt;&gt;"None",S18&lt;&gt;"",G18&lt;&gt;"Completed"),"External req.","On track")))))))</f>
        <v/>
      </c>
    </row>
    <row r="19" ht="62" customHeight="1">
      <c r="A19" s="89" t="inlineStr">
        <is>
          <t>P1-14</t>
        </is>
      </c>
      <c r="B19" s="90" t="inlineStr">
        <is>
          <t>Phase 1</t>
        </is>
      </c>
      <c r="C19" s="91" t="inlineStr">
        <is>
          <t>Query Caching</t>
        </is>
      </c>
      <c r="D19" s="91" t="inlineStr">
        <is>
          <t>Query caching layer with auto-invalidation</t>
        </is>
      </c>
      <c r="E19" s="91" t="inlineStr">
        <is>
          <t>inc/cache.php: altijara_cached_query($key,$args,$ttl) using transients/object cache with versioned namespaced keys; invalidation on save_post, transition_post_status, delete_post and term edits; no_found_rows/fields optimizations.</t>
        </is>
      </c>
      <c r="F19" s="90" t="inlineStr">
        <is>
          <t>P0</t>
        </is>
      </c>
      <c r="G19" s="92" t="inlineStr">
        <is>
          <t>In Review</t>
        </is>
      </c>
      <c r="H19" s="93" t="n">
        <v>46309</v>
      </c>
      <c r="I19" s="93" t="n">
        <v>46309</v>
      </c>
      <c r="J19" s="94" t="n">
        <v>0.9</v>
      </c>
      <c r="K19" s="91" t="inlineStr">
        <is>
          <t>P1-03</t>
        </is>
      </c>
      <c r="L19" s="91" t="inlineStr">
        <is>
          <t>Staging (Hostinger)</t>
        </is>
      </c>
      <c r="M19" s="91" t="inlineStr">
        <is>
          <t>inc/cache.php</t>
        </is>
      </c>
      <c r="N19" s="91" t="inlineStr">
        <is>
          <t>Query Monitor shows reduced queries on warm load; publishing a post refreshes affected sections immediately</t>
        </is>
      </c>
      <c r="O19" s="91" t="inlineStr">
        <is>
          <t>Homepage warm-cache DB queries within target (≤ 40); no stale content after publish</t>
        </is>
      </c>
      <c r="P19" s="95" t="n"/>
      <c r="Q19" s="95" t="inlineStr">
        <is>
          <t>inc/queries.php + inc/caching.php (transients). Verify invalidation on publish.</t>
        </is>
      </c>
      <c r="R19" s="96" t="n"/>
      <c r="S19" s="91" t="inlineStr">
        <is>
          <t>None</t>
        </is>
      </c>
      <c r="T19" s="92" t="inlineStr">
        <is>
          <t>Not Tested</t>
        </is>
      </c>
      <c r="U19" s="97">
        <f>IF(A19="",0,IF(G19="Completed",1,IF(G19="Not Started",0,MIN(0.99,N(J19)))))</f>
        <v/>
      </c>
      <c r="V19" s="97">
        <f>IF(OR(A19="",H19="",I19=""),0,MAX(0,MIN(1,(StatusDate-H19+1)/(I19-H19+1))))</f>
        <v/>
      </c>
      <c r="W19" s="98">
        <f>IF(OR(A19="",I19="",G19="Completed"),"",I19-StatusDate)</f>
        <v/>
      </c>
      <c r="X19" s="99">
        <f>IF(A19="","",IF(AND(G19&lt;&gt;"Completed",I19&lt;&gt;"",I19&lt;StatusDate),"OVERDUE",""))</f>
        <v/>
      </c>
      <c r="Y19" s="99">
        <f>IF(OR(A19="",K19=""),"",IF(SUMPRODUCT(($A$6:$A$400&lt;&gt;"")*ISNUMBER(SEARCH($A$6:$A$400,K19))*($G$6:$G$400&lt;&gt;"Completed"))=0,"✓ Ready","⏳ "&amp;SUMPRODUCT(($A$6:$A$400&lt;&gt;"")*ISNUMBER(SEARCH($A$6:$A$400,K19))*($G$6:$G$400&lt;&gt;"Completed"))&amp;" open"))</f>
        <v/>
      </c>
      <c r="Z19" s="99">
        <f>IF(A19="","",B19&amp;"|"&amp;COUNTIFS($B$6:B19,B19,$A$6:A19,"?*"))</f>
        <v/>
      </c>
      <c r="AA19" s="99">
        <f>IF(OR(A19="",I19="",G19="Completed"),"",IF(I19&gt;=StatusDate,I19+ROW()/100000,""))</f>
        <v/>
      </c>
      <c r="AB19" s="99">
        <f>IF(A19="","",IF(AND(G19&lt;&gt;"Completed",OR(G19="Blocked",AND(TRIM(P19)&lt;&gt;"",P19&lt;&gt;"None"))),ROW(),""))</f>
        <v/>
      </c>
      <c r="AC19" s="99">
        <f>IF(A19="","",IF(G19="Completed","Done",IF(G19="Blocked","Blocked",IF(X19="OVERDUE","Overdue",IF(AND(W19&lt;&gt;"",W19&lt;=2),"Due soon",IF(AND(Y19&lt;&gt;"",LEFT(Y19,1)="⏳",G19&lt;&gt;"Not Started"),"Dependency open",IF(AND(S19&lt;&gt;"None",S19&lt;&gt;"",G19&lt;&gt;"Completed"),"External req.","On track")))))))</f>
        <v/>
      </c>
    </row>
    <row r="20" ht="62" customHeight="1">
      <c r="A20" s="89" t="inlineStr">
        <is>
          <t>P1-15</t>
        </is>
      </c>
      <c r="B20" s="90" t="inlineStr">
        <is>
          <t>Phase 1</t>
        </is>
      </c>
      <c r="C20" s="91" t="inlineStr">
        <is>
          <t>Date Helpers</t>
        </is>
      </c>
      <c r="D20" s="91" t="inlineStr">
        <is>
          <t>Arabic date, relative time &amp; reading-time helpers</t>
        </is>
      </c>
      <c r="E20" s="91" t="inlineStr">
        <is>
          <t>inc/helpers-date.php: Arabic month/day names, formatted dates, relative time (e.g. 'منذ ساعتين'), optional Arabic-Indic digits, Hijri date for top bar if required, reading-time estimator.</t>
        </is>
      </c>
      <c r="F20" s="90" t="inlineStr">
        <is>
          <t>P1</t>
        </is>
      </c>
      <c r="G20" s="92" t="inlineStr">
        <is>
          <t>Completed</t>
        </is>
      </c>
      <c r="H20" s="93" t="n">
        <v>46309</v>
      </c>
      <c r="I20" s="93" t="n">
        <v>46309</v>
      </c>
      <c r="J20" s="94" t="n">
        <v>1</v>
      </c>
      <c r="K20" s="91" t="inlineStr">
        <is>
          <t>P1-03</t>
        </is>
      </c>
      <c r="L20" s="91" t="inlineStr">
        <is>
          <t>Staging (Hostinger)</t>
        </is>
      </c>
      <c r="M20" s="91" t="inlineStr">
        <is>
          <t>inc/helpers-date.php</t>
        </is>
      </c>
      <c r="N20" s="91" t="inlineStr">
        <is>
          <t>Check outputs for today, yesterday, last month and last year in site timezone</t>
        </is>
      </c>
      <c r="O20" s="91" t="inlineStr">
        <is>
          <t>All templates use helpers; dates correct in site timezone</t>
        </is>
      </c>
      <c r="P20" s="95" t="n"/>
      <c r="Q20" s="95" t="inlineStr">
        <is>
          <t>Arabic date + reading-time helpers in inc/helpers.php.</t>
        </is>
      </c>
      <c r="R20" s="96" t="n">
        <v>46306</v>
      </c>
      <c r="S20" s="91" t="inlineStr">
        <is>
          <t>None</t>
        </is>
      </c>
      <c r="T20" s="92" t="inlineStr">
        <is>
          <t>Not Tested</t>
        </is>
      </c>
      <c r="U20" s="97">
        <f>IF(A20="",0,IF(G20="Completed",1,IF(G20="Not Started",0,MIN(0.99,N(J20)))))</f>
        <v/>
      </c>
      <c r="V20" s="97">
        <f>IF(OR(A20="",H20="",I20=""),0,MAX(0,MIN(1,(StatusDate-H20+1)/(I20-H20+1))))</f>
        <v/>
      </c>
      <c r="W20" s="98">
        <f>IF(OR(A20="",I20="",G20="Completed"),"",I20-StatusDate)</f>
        <v/>
      </c>
      <c r="X20" s="99">
        <f>IF(A20="","",IF(AND(G20&lt;&gt;"Completed",I20&lt;&gt;"",I20&lt;StatusDate),"OVERDUE",""))</f>
        <v/>
      </c>
      <c r="Y20" s="99">
        <f>IF(OR(A20="",K20=""),"",IF(SUMPRODUCT(($A$6:$A$400&lt;&gt;"")*ISNUMBER(SEARCH($A$6:$A$400,K20))*($G$6:$G$400&lt;&gt;"Completed"))=0,"✓ Ready","⏳ "&amp;SUMPRODUCT(($A$6:$A$400&lt;&gt;"")*ISNUMBER(SEARCH($A$6:$A$400,K20))*($G$6:$G$400&lt;&gt;"Completed"))&amp;" open"))</f>
        <v/>
      </c>
      <c r="Z20" s="99">
        <f>IF(A20="","",B20&amp;"|"&amp;COUNTIFS($B$6:B20,B20,$A$6:A20,"?*"))</f>
        <v/>
      </c>
      <c r="AA20" s="99">
        <f>IF(OR(A20="",I20="",G20="Completed"),"",IF(I20&gt;=StatusDate,I20+ROW()/100000,""))</f>
        <v/>
      </c>
      <c r="AB20" s="99">
        <f>IF(A20="","",IF(AND(G20&lt;&gt;"Completed",OR(G20="Blocked",AND(TRIM(P20)&lt;&gt;"",P20&lt;&gt;"None"))),ROW(),""))</f>
        <v/>
      </c>
      <c r="AC20" s="99">
        <f>IF(A20="","",IF(G20="Completed","Done",IF(G20="Blocked","Blocked",IF(X20="OVERDUE","Overdue",IF(AND(W20&lt;&gt;"",W20&lt;=2),"Due soon",IF(AND(Y20&lt;&gt;"",LEFT(Y20,1)="⏳",G20&lt;&gt;"Not Started"),"Dependency open",IF(AND(S20&lt;&gt;"None",S20&lt;&gt;"",G20&lt;&gt;"Completed"),"External req.","On track")))))))</f>
        <v/>
      </c>
    </row>
    <row r="21" ht="62" customHeight="1">
      <c r="A21" s="89" t="inlineStr">
        <is>
          <t>P1-16</t>
        </is>
      </c>
      <c r="B21" s="90" t="inlineStr">
        <is>
          <t>Phase 1</t>
        </is>
      </c>
      <c r="C21" s="91" t="inlineStr">
        <is>
          <t>Media</t>
        </is>
      </c>
      <c r="D21" s="91" t="inlineStr">
        <is>
          <t>Image handling, lazy-load &amp; fallbacks</t>
        </is>
      </c>
      <c r="E21" s="91" t="inlineStr">
        <is>
          <t>Lazy-loading, srcset/sizes on every card, default fallback image for legacy posts without thumbnails, WebP via LiteSpeed/hosting, aspect-ratio boxes to prevent CLS.</t>
        </is>
      </c>
      <c r="F21" s="90" t="inlineStr">
        <is>
          <t>P1</t>
        </is>
      </c>
      <c r="G21" s="92" t="inlineStr">
        <is>
          <t>Not Started</t>
        </is>
      </c>
      <c r="H21" s="93" t="n">
        <v>46309</v>
      </c>
      <c r="I21" s="93" t="n">
        <v>46309</v>
      </c>
      <c r="J21" s="94" t="n">
        <v>0</v>
      </c>
      <c r="K21" s="91" t="inlineStr">
        <is>
          <t>P1-06</t>
        </is>
      </c>
      <c r="L21" s="91" t="inlineStr">
        <is>
          <t>Staging (Hostinger)</t>
        </is>
      </c>
      <c r="M21" s="91" t="inlineStr">
        <is>
          <t>inc/media.php, template-parts/components/*</t>
        </is>
      </c>
      <c r="N21" s="91" t="inlineStr">
        <is>
          <t>Legacy post without featured image shows fallback; no layout shift on card grids</t>
        </is>
      </c>
      <c r="O21" s="91" t="inlineStr">
        <is>
          <t>Every card shows an image or fallback; CLS &lt; 0.1 on archives</t>
        </is>
      </c>
      <c r="P21" s="95" t="n"/>
      <c r="Q21" s="95" t="n"/>
      <c r="R21" s="96" t="n"/>
      <c r="S21" s="91" t="inlineStr">
        <is>
          <t>None</t>
        </is>
      </c>
      <c r="T21" s="92" t="inlineStr">
        <is>
          <t>Not Tested</t>
        </is>
      </c>
      <c r="U21" s="97">
        <f>IF(A21="",0,IF(G21="Completed",1,IF(G21="Not Started",0,MIN(0.99,N(J21)))))</f>
        <v/>
      </c>
      <c r="V21" s="97">
        <f>IF(OR(A21="",H21="",I21=""),0,MAX(0,MIN(1,(StatusDate-H21+1)/(I21-H21+1))))</f>
        <v/>
      </c>
      <c r="W21" s="98">
        <f>IF(OR(A21="",I21="",G21="Completed"),"",I21-StatusDate)</f>
        <v/>
      </c>
      <c r="X21" s="99">
        <f>IF(A21="","",IF(AND(G21&lt;&gt;"Completed",I21&lt;&gt;"",I21&lt;StatusDate),"OVERDUE",""))</f>
        <v/>
      </c>
      <c r="Y21" s="99">
        <f>IF(OR(A21="",K21=""),"",IF(SUMPRODUCT(($A$6:$A$400&lt;&gt;"")*ISNUMBER(SEARCH($A$6:$A$400,K21))*($G$6:$G$400&lt;&gt;"Completed"))=0,"✓ Ready","⏳ "&amp;SUMPRODUCT(($A$6:$A$400&lt;&gt;"")*ISNUMBER(SEARCH($A$6:$A$400,K21))*($G$6:$G$400&lt;&gt;"Completed"))&amp;" open"))</f>
        <v/>
      </c>
      <c r="Z21" s="99">
        <f>IF(A21="","",B21&amp;"|"&amp;COUNTIFS($B$6:B21,B21,$A$6:A21,"?*"))</f>
        <v/>
      </c>
      <c r="AA21" s="99">
        <f>IF(OR(A21="",I21="",G21="Completed"),"",IF(I21&gt;=StatusDate,I21+ROW()/100000,""))</f>
        <v/>
      </c>
      <c r="AB21" s="99">
        <f>IF(A21="","",IF(AND(G21&lt;&gt;"Completed",OR(G21="Blocked",AND(TRIM(P21)&lt;&gt;"",P21&lt;&gt;"None"))),ROW(),""))</f>
        <v/>
      </c>
      <c r="AC21" s="99">
        <f>IF(A21="","",IF(G21="Completed","Done",IF(G21="Blocked","Blocked",IF(X21="OVERDUE","Overdue",IF(AND(W21&lt;&gt;"",W21&lt;=2),"Due soon",IF(AND(Y21&lt;&gt;"",LEFT(Y21,1)="⏳",G21&lt;&gt;"Not Started"),"Dependency open",IF(AND(S21&lt;&gt;"None",S21&lt;&gt;"",G21&lt;&gt;"Completed"),"External req.","On track")))))))</f>
        <v/>
      </c>
    </row>
    <row r="22" ht="62" customHeight="1">
      <c r="A22" s="89" t="inlineStr">
        <is>
          <t>P1-17</t>
        </is>
      </c>
      <c r="B22" s="90" t="inlineStr">
        <is>
          <t>Phase 1</t>
        </is>
      </c>
      <c r="C22" s="91" t="inlineStr">
        <is>
          <t>Phase QA</t>
        </is>
      </c>
      <c r="D22" s="91" t="inlineStr">
        <is>
          <t>Phase 1 verification &amp; tag v0.1</t>
        </is>
      </c>
      <c r="E22" s="91" t="inlineStr">
        <is>
          <t>Activate theme on staging, review debug.log, PHP 8.x compatibility, render sample pages, tag release v0.1 in Git.</t>
        </is>
      </c>
      <c r="F22" s="90" t="inlineStr">
        <is>
          <t>P0</t>
        </is>
      </c>
      <c r="G22" s="92" t="inlineStr">
        <is>
          <t>In Progress</t>
        </is>
      </c>
      <c r="H22" s="93" t="n">
        <v>46309</v>
      </c>
      <c r="I22" s="93" t="n">
        <v>46309</v>
      </c>
      <c r="J22" s="94" t="n">
        <v>0.3</v>
      </c>
      <c r="K22" s="91" t="inlineStr">
        <is>
          <t>P1-11, P1-13, P1-14, P1-16</t>
        </is>
      </c>
      <c r="L22" s="91" t="inlineStr">
        <is>
          <t>Staging (Hostinger)</t>
        </is>
      </c>
      <c r="M22" s="91" t="inlineStr">
        <is>
          <t>debug.log</t>
        </is>
      </c>
      <c r="N22" s="91" t="inlineStr">
        <is>
          <t>debug.log has no theme notices; all templates load</t>
        </is>
      </c>
      <c r="O22" s="91" t="inlineStr">
        <is>
          <t>Foundation signed off; Phase 2 can start</t>
        </is>
      </c>
      <c r="P22" s="95" t="n"/>
      <c r="Q22" s="95" t="inlineStr">
        <is>
          <t>Theme Options critical error fixed (option arrays, safe merges, Walker, sanitize). Staging debug.log review pending.</t>
        </is>
      </c>
      <c r="R22" s="96" t="n"/>
      <c r="S22" s="91" t="inlineStr">
        <is>
          <t>None</t>
        </is>
      </c>
      <c r="T22" s="92" t="inlineStr">
        <is>
          <t>Not Tested</t>
        </is>
      </c>
      <c r="U22" s="97">
        <f>IF(A22="",0,IF(G22="Completed",1,IF(G22="Not Started",0,MIN(0.99,N(J22)))))</f>
        <v/>
      </c>
      <c r="V22" s="97">
        <f>IF(OR(A22="",H22="",I22=""),0,MAX(0,MIN(1,(StatusDate-H22+1)/(I22-H22+1))))</f>
        <v/>
      </c>
      <c r="W22" s="98">
        <f>IF(OR(A22="",I22="",G22="Completed"),"",I22-StatusDate)</f>
        <v/>
      </c>
      <c r="X22" s="99">
        <f>IF(A22="","",IF(AND(G22&lt;&gt;"Completed",I22&lt;&gt;"",I22&lt;StatusDate),"OVERDUE",""))</f>
        <v/>
      </c>
      <c r="Y22" s="99">
        <f>IF(OR(A22="",K22=""),"",IF(SUMPRODUCT(($A$6:$A$400&lt;&gt;"")*ISNUMBER(SEARCH($A$6:$A$400,K22))*($G$6:$G$400&lt;&gt;"Completed"))=0,"✓ Ready","⏳ "&amp;SUMPRODUCT(($A$6:$A$400&lt;&gt;"")*ISNUMBER(SEARCH($A$6:$A$400,K22))*($G$6:$G$400&lt;&gt;"Completed"))&amp;" open"))</f>
        <v/>
      </c>
      <c r="Z22" s="99">
        <f>IF(A22="","",B22&amp;"|"&amp;COUNTIFS($B$6:B22,B22,$A$6:A22,"?*"))</f>
        <v/>
      </c>
      <c r="AA22" s="99">
        <f>IF(OR(A22="",I22="",G22="Completed"),"",IF(I22&gt;=StatusDate,I22+ROW()/100000,""))</f>
        <v/>
      </c>
      <c r="AB22" s="99">
        <f>IF(A22="","",IF(AND(G22&lt;&gt;"Completed",OR(G22="Blocked",AND(TRIM(P22)&lt;&gt;"",P22&lt;&gt;"None"))),ROW(),""))</f>
        <v/>
      </c>
      <c r="AC22" s="99">
        <f>IF(A22="","",IF(G22="Completed","Done",IF(G22="Blocked","Blocked",IF(X22="OVERDUE","Overdue",IF(AND(W22&lt;&gt;"",W22&lt;=2),"Due soon",IF(AND(Y22&lt;&gt;"",LEFT(Y22,1)="⏳",G22&lt;&gt;"Not Started"),"Dependency open",IF(AND(S22&lt;&gt;"None",S22&lt;&gt;"",G22&lt;&gt;"Completed"),"External req.","On track")))))))</f>
        <v/>
      </c>
    </row>
    <row r="23" ht="62" customHeight="1">
      <c r="A23" s="89" t="inlineStr">
        <is>
          <t>P2-01</t>
        </is>
      </c>
      <c r="B23" s="90" t="inlineStr">
        <is>
          <t>Phase 2</t>
        </is>
      </c>
      <c r="C23" s="91" t="inlineStr">
        <is>
          <t>Section Manager</t>
        </is>
      </c>
      <c r="D23" s="91" t="inlineStr">
        <is>
          <t>Section Manager engine &amp; schema</t>
        </is>
      </c>
      <c r="E23" s="91" t="inlineStr">
        <is>
          <t>inc/section-manager/: registry where each section defines title, source type (category / tag / manual), term IDs, post count, orderby, order, offset, exclude-duplicates, layout, visibility, cache TTL, ad slot; renderer maps sections to components.</t>
        </is>
      </c>
      <c r="F23" s="90" t="inlineStr">
        <is>
          <t>P0</t>
        </is>
      </c>
      <c r="G23" s="92" t="inlineStr">
        <is>
          <t>Completed</t>
        </is>
      </c>
      <c r="H23" s="93" t="n">
        <v>46310</v>
      </c>
      <c r="I23" s="93" t="n">
        <v>46310</v>
      </c>
      <c r="J23" s="94" t="n">
        <v>1</v>
      </c>
      <c r="K23" s="91" t="inlineStr">
        <is>
          <t>P1-06, P1-14</t>
        </is>
      </c>
      <c r="L23" s="91" t="inlineStr">
        <is>
          <t>Staging (Hostinger)</t>
        </is>
      </c>
      <c r="M23" s="91" t="inlineStr">
        <is>
          <t>inc/section-manager/registry.php, query-builder.php, render.php</t>
        </is>
      </c>
      <c r="N23" s="91" t="inlineStr">
        <is>
          <t>Register a test section; change schema values; output changes accordingly</t>
        </is>
      </c>
      <c r="O23" s="91" t="inlineStr">
        <is>
          <t>Every homepage section is rendered from the registry; no hard-coded queries in front-page.php</t>
        </is>
      </c>
      <c r="P23" s="95" t="n"/>
      <c r="Q23" s="95" t="inlineStr">
        <is>
          <t>Section Manager with SSR; widget registry + query engine (posts / issues / most-read).</t>
        </is>
      </c>
      <c r="R23" s="96" t="n">
        <v>46306</v>
      </c>
      <c r="S23" s="91" t="inlineStr">
        <is>
          <t>None</t>
        </is>
      </c>
      <c r="T23" s="92" t="inlineStr">
        <is>
          <t>Not Tested</t>
        </is>
      </c>
      <c r="U23" s="97">
        <f>IF(A23="",0,IF(G23="Completed",1,IF(G23="Not Started",0,MIN(0.99,N(J23)))))</f>
        <v/>
      </c>
      <c r="V23" s="97">
        <f>IF(OR(A23="",H23="",I23=""),0,MAX(0,MIN(1,(StatusDate-H23+1)/(I23-H23+1))))</f>
        <v/>
      </c>
      <c r="W23" s="98">
        <f>IF(OR(A23="",I23="",G23="Completed"),"",I23-StatusDate)</f>
        <v/>
      </c>
      <c r="X23" s="99">
        <f>IF(A23="","",IF(AND(G23&lt;&gt;"Completed",I23&lt;&gt;"",I23&lt;StatusDate),"OVERDUE",""))</f>
        <v/>
      </c>
      <c r="Y23" s="99">
        <f>IF(OR(A23="",K23=""),"",IF(SUMPRODUCT(($A$6:$A$400&lt;&gt;"")*ISNUMBER(SEARCH($A$6:$A$400,K23))*($G$6:$G$400&lt;&gt;"Completed"))=0,"✓ Ready","⏳ "&amp;SUMPRODUCT(($A$6:$A$400&lt;&gt;"")*ISNUMBER(SEARCH($A$6:$A$400,K23))*($G$6:$G$400&lt;&gt;"Completed"))&amp;" open"))</f>
        <v/>
      </c>
      <c r="Z23" s="99">
        <f>IF(A23="","",B23&amp;"|"&amp;COUNTIFS($B$6:B23,B23,$A$6:A23,"?*"))</f>
        <v/>
      </c>
      <c r="AA23" s="99">
        <f>IF(OR(A23="",I23="",G23="Completed"),"",IF(I23&gt;=StatusDate,I23+ROW()/100000,""))</f>
        <v/>
      </c>
      <c r="AB23" s="99">
        <f>IF(A23="","",IF(AND(G23&lt;&gt;"Completed",OR(G23="Blocked",AND(TRIM(P23)&lt;&gt;"",P23&lt;&gt;"None"))),ROW(),""))</f>
        <v/>
      </c>
      <c r="AC23" s="99">
        <f>IF(A23="","",IF(G23="Completed","Done",IF(G23="Blocked","Blocked",IF(X23="OVERDUE","Overdue",IF(AND(W23&lt;&gt;"",W23&lt;=2),"Due soon",IF(AND(Y23&lt;&gt;"",LEFT(Y23,1)="⏳",G23&lt;&gt;"Not Started"),"Dependency open",IF(AND(S23&lt;&gt;"None",S23&lt;&gt;"",G23&lt;&gt;"Completed"),"External req.","On track")))))))</f>
        <v/>
      </c>
    </row>
    <row r="24" ht="62" customHeight="1">
      <c r="A24" s="89" t="inlineStr">
        <is>
          <t>P2-02</t>
        </is>
      </c>
      <c r="B24" s="90" t="inlineStr">
        <is>
          <t>Phase 2</t>
        </is>
      </c>
      <c r="C24" s="91" t="inlineStr">
        <is>
          <t>Customizer</t>
        </is>
      </c>
      <c r="D24" s="91" t="inlineStr">
        <is>
          <t>Customizer 'Homepage Sections' panel</t>
        </is>
      </c>
      <c r="E24" s="91" t="inlineStr">
        <is>
          <t>Panel with one section per homepage block; settings stored as theme_mods; sanitize callback on every control; selective refresh / postMessage preview where possible.</t>
        </is>
      </c>
      <c r="F24" s="90" t="inlineStr">
        <is>
          <t>P0</t>
        </is>
      </c>
      <c r="G24" s="92" t="inlineStr">
        <is>
          <t>Completed</t>
        </is>
      </c>
      <c r="H24" s="93" t="n">
        <v>46310</v>
      </c>
      <c r="I24" s="93" t="n">
        <v>46310</v>
      </c>
      <c r="J24" s="94" t="n">
        <v>1</v>
      </c>
      <c r="K24" s="91" t="inlineStr">
        <is>
          <t>P2-01</t>
        </is>
      </c>
      <c r="L24" s="91" t="inlineStr">
        <is>
          <t>Staging (Hostinger)</t>
        </is>
      </c>
      <c r="M24" s="91" t="inlineStr">
        <is>
          <t>inc/customizer/panel-homepage.php, assets/js/customizer-preview.js</t>
        </is>
      </c>
      <c r="N24" s="91" t="inlineStr">
        <is>
          <t>Editor (non-admin) changes a section in Customizer and publishes; invalid values rejected</t>
        </is>
      </c>
      <c r="O24" s="91" t="inlineStr">
        <is>
          <t>All sections configurable in Customizer with live preview and sanitized values</t>
        </is>
      </c>
      <c r="P24" s="95" t="n"/>
      <c r="Q24" s="95" t="inlineStr">
        <is>
          <t>Implemented as 'Homepage sections' tab in Altijara Theme Options (not the Customizer).</t>
        </is>
      </c>
      <c r="R24" s="96" t="n">
        <v>46306</v>
      </c>
      <c r="S24" s="91" t="inlineStr">
        <is>
          <t>None</t>
        </is>
      </c>
      <c r="T24" s="92" t="inlineStr">
        <is>
          <t>Not Tested</t>
        </is>
      </c>
      <c r="U24" s="97">
        <f>IF(A24="",0,IF(G24="Completed",1,IF(G24="Not Started",0,MIN(0.99,N(J24)))))</f>
        <v/>
      </c>
      <c r="V24" s="97">
        <f>IF(OR(A24="",H24="",I24=""),0,MAX(0,MIN(1,(StatusDate-H24+1)/(I24-H24+1))))</f>
        <v/>
      </c>
      <c r="W24" s="98">
        <f>IF(OR(A24="",I24="",G24="Completed"),"",I24-StatusDate)</f>
        <v/>
      </c>
      <c r="X24" s="99">
        <f>IF(A24="","",IF(AND(G24&lt;&gt;"Completed",I24&lt;&gt;"",I24&lt;StatusDate),"OVERDUE",""))</f>
        <v/>
      </c>
      <c r="Y24" s="99">
        <f>IF(OR(A24="",K24=""),"",IF(SUMPRODUCT(($A$6:$A$400&lt;&gt;"")*ISNUMBER(SEARCH($A$6:$A$400,K24))*($G$6:$G$400&lt;&gt;"Completed"))=0,"✓ Ready","⏳ "&amp;SUMPRODUCT(($A$6:$A$400&lt;&gt;"")*ISNUMBER(SEARCH($A$6:$A$400,K24))*($G$6:$G$400&lt;&gt;"Completed"))&amp;" open"))</f>
        <v/>
      </c>
      <c r="Z24" s="99">
        <f>IF(A24="","",B24&amp;"|"&amp;COUNTIFS($B$6:B24,B24,$A$6:A24,"?*"))</f>
        <v/>
      </c>
      <c r="AA24" s="99">
        <f>IF(OR(A24="",I24="",G24="Completed"),"",IF(I24&gt;=StatusDate,I24+ROW()/100000,""))</f>
        <v/>
      </c>
      <c r="AB24" s="99">
        <f>IF(A24="","",IF(AND(G24&lt;&gt;"Completed",OR(G24="Blocked",AND(TRIM(P24)&lt;&gt;"",P24&lt;&gt;"None"))),ROW(),""))</f>
        <v/>
      </c>
      <c r="AC24" s="99">
        <f>IF(A24="","",IF(G24="Completed","Done",IF(G24="Blocked","Blocked",IF(X24="OVERDUE","Overdue",IF(AND(W24&lt;&gt;"",W24&lt;=2),"Due soon",IF(AND(Y24&lt;&gt;"",LEFT(Y24,1)="⏳",G24&lt;&gt;"Not Started"),"Dependency open",IF(AND(S24&lt;&gt;"None",S24&lt;&gt;"",G24&lt;&gt;"Completed"),"External req.","On track")))))))</f>
        <v/>
      </c>
    </row>
    <row r="25" ht="62" customHeight="1">
      <c r="A25" s="89" t="inlineStr">
        <is>
          <t>P2-03</t>
        </is>
      </c>
      <c r="B25" s="90" t="inlineStr">
        <is>
          <t>Phase 2</t>
        </is>
      </c>
      <c r="C25" s="91" t="inlineStr">
        <is>
          <t>Customizer Controls</t>
        </is>
      </c>
      <c r="D25" s="91" t="inlineStr">
        <is>
          <t>Dynamic category / tag selection</t>
        </is>
      </c>
      <c r="E25" s="91" t="inlineStr">
        <is>
          <t>Custom WP_Customize_Control: searchable multi-select for categories and tags storing term IDs (survives renames).</t>
        </is>
      </c>
      <c r="F25" s="90" t="inlineStr">
        <is>
          <t>P0</t>
        </is>
      </c>
      <c r="G25" s="92" t="inlineStr">
        <is>
          <t>Completed</t>
        </is>
      </c>
      <c r="H25" s="93" t="n">
        <v>46310</v>
      </c>
      <c r="I25" s="93" t="n">
        <v>46310</v>
      </c>
      <c r="J25" s="94" t="n">
        <v>1</v>
      </c>
      <c r="K25" s="91" t="inlineStr">
        <is>
          <t>P2-02</t>
        </is>
      </c>
      <c r="L25" s="91" t="inlineStr">
        <is>
          <t>Staging (Hostinger)</t>
        </is>
      </c>
      <c r="M25" s="91" t="inlineStr">
        <is>
          <t>inc/customizer/controls/term-select.php, assets/js/customizer-controls.js</t>
        </is>
      </c>
      <c r="N25" s="91" t="inlineStr">
        <is>
          <t>Select 2 categories + 1 tag; rename a category; section still pulls correctly</t>
        </is>
      </c>
      <c r="O25" s="91" t="inlineStr">
        <is>
          <t>Sections can be sourced from any category/tag combination by ID</t>
        </is>
      </c>
      <c r="P25" s="95" t="n"/>
      <c r="Q25" s="95" t="inlineStr">
        <is>
          <t>Category + tag per section; resolved by slug keys (inc/defaults.php).</t>
        </is>
      </c>
      <c r="R25" s="96" t="n">
        <v>46306</v>
      </c>
      <c r="S25" s="91" t="inlineStr">
        <is>
          <t>None</t>
        </is>
      </c>
      <c r="T25" s="92" t="inlineStr">
        <is>
          <t>Not Tested</t>
        </is>
      </c>
      <c r="U25" s="97">
        <f>IF(A25="",0,IF(G25="Completed",1,IF(G25="Not Started",0,MIN(0.99,N(J25)))))</f>
        <v/>
      </c>
      <c r="V25" s="97">
        <f>IF(OR(A25="",H25="",I25=""),0,MAX(0,MIN(1,(StatusDate-H25+1)/(I25-H25+1))))</f>
        <v/>
      </c>
      <c r="W25" s="98">
        <f>IF(OR(A25="",I25="",G25="Completed"),"",I25-StatusDate)</f>
        <v/>
      </c>
      <c r="X25" s="99">
        <f>IF(A25="","",IF(AND(G25&lt;&gt;"Completed",I25&lt;&gt;"",I25&lt;StatusDate),"OVERDUE",""))</f>
        <v/>
      </c>
      <c r="Y25" s="99">
        <f>IF(OR(A25="",K25=""),"",IF(SUMPRODUCT(($A$6:$A$400&lt;&gt;"")*ISNUMBER(SEARCH($A$6:$A$400,K25))*($G$6:$G$400&lt;&gt;"Completed"))=0,"✓ Ready","⏳ "&amp;SUMPRODUCT(($A$6:$A$400&lt;&gt;"")*ISNUMBER(SEARCH($A$6:$A$400,K25))*($G$6:$G$400&lt;&gt;"Completed"))&amp;" open"))</f>
        <v/>
      </c>
      <c r="Z25" s="99">
        <f>IF(A25="","",B25&amp;"|"&amp;COUNTIFS($B$6:B25,B25,$A$6:A25,"?*"))</f>
        <v/>
      </c>
      <c r="AA25" s="99">
        <f>IF(OR(A25="",I25="",G25="Completed"),"",IF(I25&gt;=StatusDate,I25+ROW()/100000,""))</f>
        <v/>
      </c>
      <c r="AB25" s="99">
        <f>IF(A25="","",IF(AND(G25&lt;&gt;"Completed",OR(G25="Blocked",AND(TRIM(P25)&lt;&gt;"",P25&lt;&gt;"None"))),ROW(),""))</f>
        <v/>
      </c>
      <c r="AC25" s="99">
        <f>IF(A25="","",IF(G25="Completed","Done",IF(G25="Blocked","Blocked",IF(X25="OVERDUE","Overdue",IF(AND(W25&lt;&gt;"",W25&lt;=2),"Due soon",IF(AND(Y25&lt;&gt;"",LEFT(Y25,1)="⏳",G25&lt;&gt;"Not Started"),"Dependency open",IF(AND(S25&lt;&gt;"None",S25&lt;&gt;"",G25&lt;&gt;"Completed"),"External req.","On track")))))))</f>
        <v/>
      </c>
    </row>
    <row r="26" ht="62" customHeight="1">
      <c r="A26" s="89" t="inlineStr">
        <is>
          <t>P2-04</t>
        </is>
      </c>
      <c r="B26" s="90" t="inlineStr">
        <is>
          <t>Phase 2</t>
        </is>
      </c>
      <c r="C26" s="91" t="inlineStr">
        <is>
          <t>Customizer Controls</t>
        </is>
      </c>
      <c r="D26" s="91" t="inlineStr">
        <is>
          <t>Post count, sorting &amp; offset controls</t>
        </is>
      </c>
      <c r="E26" s="91" t="inlineStr">
        <is>
          <t>Count (1–20), orderby (date, modified, comment_count, most-read, random), order ASC/DESC and offset; query builder maps to WP_Query args.</t>
        </is>
      </c>
      <c r="F26" s="90" t="inlineStr">
        <is>
          <t>P0</t>
        </is>
      </c>
      <c r="G26" s="92" t="inlineStr">
        <is>
          <t>Completed</t>
        </is>
      </c>
      <c r="H26" s="93" t="n">
        <v>46310</v>
      </c>
      <c r="I26" s="93" t="n">
        <v>46310</v>
      </c>
      <c r="J26" s="94" t="n">
        <v>1</v>
      </c>
      <c r="K26" s="91" t="inlineStr">
        <is>
          <t>P2-03</t>
        </is>
      </c>
      <c r="L26" s="91" t="inlineStr">
        <is>
          <t>Staging (Hostinger)</t>
        </is>
      </c>
      <c r="M26" s="91" t="inlineStr">
        <is>
          <t>inc/section-manager/query-builder.php</t>
        </is>
      </c>
      <c r="N26" s="91" t="inlineStr">
        <is>
          <t>Change count, order and offset; verify returned posts in Query Monitor</t>
        </is>
      </c>
      <c r="O26" s="91" t="inlineStr">
        <is>
          <t>Count, sorting and offset behave exactly as configured</t>
        </is>
      </c>
      <c r="P26" s="95" t="n"/>
      <c r="Q26" s="95" t="inlineStr">
        <is>
          <t>Count, offset and sort per section.</t>
        </is>
      </c>
      <c r="R26" s="96" t="n">
        <v>46306</v>
      </c>
      <c r="S26" s="91" t="inlineStr">
        <is>
          <t>None</t>
        </is>
      </c>
      <c r="T26" s="92" t="inlineStr">
        <is>
          <t>Not Tested</t>
        </is>
      </c>
      <c r="U26" s="97">
        <f>IF(A26="",0,IF(G26="Completed",1,IF(G26="Not Started",0,MIN(0.99,N(J26)))))</f>
        <v/>
      </c>
      <c r="V26" s="97">
        <f>IF(OR(A26="",H26="",I26=""),0,MAX(0,MIN(1,(StatusDate-H26+1)/(I26-H26+1))))</f>
        <v/>
      </c>
      <c r="W26" s="98">
        <f>IF(OR(A26="",I26="",G26="Completed"),"",I26-StatusDate)</f>
        <v/>
      </c>
      <c r="X26" s="99">
        <f>IF(A26="","",IF(AND(G26&lt;&gt;"Completed",I26&lt;&gt;"",I26&lt;StatusDate),"OVERDUE",""))</f>
        <v/>
      </c>
      <c r="Y26" s="99">
        <f>IF(OR(A26="",K26=""),"",IF(SUMPRODUCT(($A$6:$A$400&lt;&gt;"")*ISNUMBER(SEARCH($A$6:$A$400,K26))*($G$6:$G$400&lt;&gt;"Completed"))=0,"✓ Ready","⏳ "&amp;SUMPRODUCT(($A$6:$A$400&lt;&gt;"")*ISNUMBER(SEARCH($A$6:$A$400,K26))*($G$6:$G$400&lt;&gt;"Completed"))&amp;" open"))</f>
        <v/>
      </c>
      <c r="Z26" s="99">
        <f>IF(A26="","",B26&amp;"|"&amp;COUNTIFS($B$6:B26,B26,$A$6:A26,"?*"))</f>
        <v/>
      </c>
      <c r="AA26" s="99">
        <f>IF(OR(A26="",I26="",G26="Completed"),"",IF(I26&gt;=StatusDate,I26+ROW()/100000,""))</f>
        <v/>
      </c>
      <c r="AB26" s="99">
        <f>IF(A26="","",IF(AND(G26&lt;&gt;"Completed",OR(G26="Blocked",AND(TRIM(P26)&lt;&gt;"",P26&lt;&gt;"None"))),ROW(),""))</f>
        <v/>
      </c>
      <c r="AC26" s="99">
        <f>IF(A26="","",IF(G26="Completed","Done",IF(G26="Blocked","Blocked",IF(X26="OVERDUE","Overdue",IF(AND(W26&lt;&gt;"",W26&lt;=2),"Due soon",IF(AND(Y26&lt;&gt;"",LEFT(Y26,1)="⏳",G26&lt;&gt;"Not Started"),"Dependency open",IF(AND(S26&lt;&gt;"None",S26&lt;&gt;"",G26&lt;&gt;"Completed"),"External req.","On track")))))))</f>
        <v/>
      </c>
    </row>
    <row r="27" ht="62" customHeight="1">
      <c r="A27" s="89" t="inlineStr">
        <is>
          <t>P2-05</t>
        </is>
      </c>
      <c r="B27" s="90" t="inlineStr">
        <is>
          <t>Phase 2</t>
        </is>
      </c>
      <c r="C27" s="91" t="inlineStr">
        <is>
          <t>Customizer Controls</t>
        </is>
      </c>
      <c r="D27" s="91" t="inlineStr">
        <is>
          <t>Manual post selection (post picker)</t>
        </is>
      </c>
      <c r="E27" s="91" t="inlineStr">
        <is>
          <t>Post-picker control searching /wp/v2/posts via REST with sortable selected list; manual selection overrides automatic source.</t>
        </is>
      </c>
      <c r="F27" s="90" t="inlineStr">
        <is>
          <t>P1</t>
        </is>
      </c>
      <c r="G27" s="92" t="inlineStr">
        <is>
          <t>Completed</t>
        </is>
      </c>
      <c r="H27" s="93" t="n">
        <v>46310</v>
      </c>
      <c r="I27" s="93" t="n">
        <v>46310</v>
      </c>
      <c r="J27" s="94" t="n">
        <v>1</v>
      </c>
      <c r="K27" s="91" t="inlineStr">
        <is>
          <t>P2-02</t>
        </is>
      </c>
      <c r="L27" s="91" t="inlineStr">
        <is>
          <t>Staging (Hostinger)</t>
        </is>
      </c>
      <c r="M27" s="91" t="inlineStr">
        <is>
          <t>inc/customizer/controls/post-picker.php, assets/js/customizer-controls.js</t>
        </is>
      </c>
      <c r="N27" s="91" t="inlineStr">
        <is>
          <t>Pick 4 posts, reorder, publish; homepage shows them in chosen order</t>
        </is>
      </c>
      <c r="O27" s="91" t="inlineStr">
        <is>
          <t>Editors can pin specific posts in a chosen order</t>
        </is>
      </c>
      <c r="P27" s="95" t="n"/>
      <c r="Q27" s="95" t="inlineStr">
        <is>
          <t>Manual posts via admin AJAX post picker.</t>
        </is>
      </c>
      <c r="R27" s="96" t="n">
        <v>46306</v>
      </c>
      <c r="S27" s="91" t="inlineStr">
        <is>
          <t>None</t>
        </is>
      </c>
      <c r="T27" s="92" t="inlineStr">
        <is>
          <t>Not Tested</t>
        </is>
      </c>
      <c r="U27" s="97">
        <f>IF(A27="",0,IF(G27="Completed",1,IF(G27="Not Started",0,MIN(0.99,N(J27)))))</f>
        <v/>
      </c>
      <c r="V27" s="97">
        <f>IF(OR(A27="",H27="",I27=""),0,MAX(0,MIN(1,(StatusDate-H27+1)/(I27-H27+1))))</f>
        <v/>
      </c>
      <c r="W27" s="98">
        <f>IF(OR(A27="",I27="",G27="Completed"),"",I27-StatusDate)</f>
        <v/>
      </c>
      <c r="X27" s="99">
        <f>IF(A27="","",IF(AND(G27&lt;&gt;"Completed",I27&lt;&gt;"",I27&lt;StatusDate),"OVERDUE",""))</f>
        <v/>
      </c>
      <c r="Y27" s="99">
        <f>IF(OR(A27="",K27=""),"",IF(SUMPRODUCT(($A$6:$A$400&lt;&gt;"")*ISNUMBER(SEARCH($A$6:$A$400,K27))*($G$6:$G$400&lt;&gt;"Completed"))=0,"✓ Ready","⏳ "&amp;SUMPRODUCT(($A$6:$A$400&lt;&gt;"")*ISNUMBER(SEARCH($A$6:$A$400,K27))*($G$6:$G$400&lt;&gt;"Completed"))&amp;" open"))</f>
        <v/>
      </c>
      <c r="Z27" s="99">
        <f>IF(A27="","",B27&amp;"|"&amp;COUNTIFS($B$6:B27,B27,$A$6:A27,"?*"))</f>
        <v/>
      </c>
      <c r="AA27" s="99">
        <f>IF(OR(A27="",I27="",G27="Completed"),"",IF(I27&gt;=StatusDate,I27+ROW()/100000,""))</f>
        <v/>
      </c>
      <c r="AB27" s="99">
        <f>IF(A27="","",IF(AND(G27&lt;&gt;"Completed",OR(G27="Blocked",AND(TRIM(P27)&lt;&gt;"",P27&lt;&gt;"None"))),ROW(),""))</f>
        <v/>
      </c>
      <c r="AC27" s="99">
        <f>IF(A27="","",IF(G27="Completed","Done",IF(G27="Blocked","Blocked",IF(X27="OVERDUE","Overdue",IF(AND(W27&lt;&gt;"",W27&lt;=2),"Due soon",IF(AND(Y27&lt;&gt;"",LEFT(Y27,1)="⏳",G27&lt;&gt;"Not Started"),"Dependency open",IF(AND(S27&lt;&gt;"None",S27&lt;&gt;"",G27&lt;&gt;"Completed"),"External req.","On track")))))))</f>
        <v/>
      </c>
    </row>
    <row r="28" ht="62" customHeight="1">
      <c r="A28" s="89" t="inlineStr">
        <is>
          <t>P2-06</t>
        </is>
      </c>
      <c r="B28" s="90" t="inlineStr">
        <is>
          <t>Phase 2</t>
        </is>
      </c>
      <c r="C28" s="91" t="inlineStr">
        <is>
          <t>Customizer Controls</t>
        </is>
      </c>
      <c r="D28" s="91" t="inlineStr">
        <is>
          <t>Layout switching per section</t>
        </is>
      </c>
      <c r="E28" s="91" t="inlineStr">
        <is>
          <t>Layout variants per section (hero+list, grid-3, grid-4, list, slider, carousel) mapped to component templates.</t>
        </is>
      </c>
      <c r="F28" s="90" t="inlineStr">
        <is>
          <t>P1</t>
        </is>
      </c>
      <c r="G28" s="92" t="inlineStr">
        <is>
          <t>Completed</t>
        </is>
      </c>
      <c r="H28" s="93" t="n">
        <v>46310</v>
      </c>
      <c r="I28" s="93" t="n">
        <v>46310</v>
      </c>
      <c r="J28" s="94" t="n">
        <v>1</v>
      </c>
      <c r="K28" s="91" t="inlineStr">
        <is>
          <t>P2-01</t>
        </is>
      </c>
      <c r="L28" s="91" t="inlineStr">
        <is>
          <t>Staging (Hostinger)</t>
        </is>
      </c>
      <c r="M28" s="91" t="inlineStr">
        <is>
          <t>template-parts/sections/*.php</t>
        </is>
      </c>
      <c r="N28" s="91" t="inlineStr">
        <is>
          <t>Switch each section through every layout at 360 px and 1440 px</t>
        </is>
      </c>
      <c r="O28" s="91" t="inlineStr">
        <is>
          <t>Each layout renders correctly and responsively</t>
        </is>
      </c>
      <c r="P28" s="95" t="n"/>
      <c r="Q28" s="95" t="inlineStr">
        <is>
          <t>Layout / variant per section (incl. cars_row variant).</t>
        </is>
      </c>
      <c r="R28" s="96" t="n">
        <v>46306</v>
      </c>
      <c r="S28" s="91" t="inlineStr">
        <is>
          <t>None</t>
        </is>
      </c>
      <c r="T28" s="92" t="inlineStr">
        <is>
          <t>Not Tested</t>
        </is>
      </c>
      <c r="U28" s="97">
        <f>IF(A28="",0,IF(G28="Completed",1,IF(G28="Not Started",0,MIN(0.99,N(J28)))))</f>
        <v/>
      </c>
      <c r="V28" s="97">
        <f>IF(OR(A28="",H28="",I28=""),0,MAX(0,MIN(1,(StatusDate-H28+1)/(I28-H28+1))))</f>
        <v/>
      </c>
      <c r="W28" s="98">
        <f>IF(OR(A28="",I28="",G28="Completed"),"",I28-StatusDate)</f>
        <v/>
      </c>
      <c r="X28" s="99">
        <f>IF(A28="","",IF(AND(G28&lt;&gt;"Completed",I28&lt;&gt;"",I28&lt;StatusDate),"OVERDUE",""))</f>
        <v/>
      </c>
      <c r="Y28" s="99">
        <f>IF(OR(A28="",K28=""),"",IF(SUMPRODUCT(($A$6:$A$400&lt;&gt;"")*ISNUMBER(SEARCH($A$6:$A$400,K28))*($G$6:$G$400&lt;&gt;"Completed"))=0,"✓ Ready","⏳ "&amp;SUMPRODUCT(($A$6:$A$400&lt;&gt;"")*ISNUMBER(SEARCH($A$6:$A$400,K28))*($G$6:$G$400&lt;&gt;"Completed"))&amp;" open"))</f>
        <v/>
      </c>
      <c r="Z28" s="99">
        <f>IF(A28="","",B28&amp;"|"&amp;COUNTIFS($B$6:B28,B28,$A$6:A28,"?*"))</f>
        <v/>
      </c>
      <c r="AA28" s="99">
        <f>IF(OR(A28="",I28="",G28="Completed"),"",IF(I28&gt;=StatusDate,I28+ROW()/100000,""))</f>
        <v/>
      </c>
      <c r="AB28" s="99">
        <f>IF(A28="","",IF(AND(G28&lt;&gt;"Completed",OR(G28="Blocked",AND(TRIM(P28)&lt;&gt;"",P28&lt;&gt;"None"))),ROW(),""))</f>
        <v/>
      </c>
      <c r="AC28" s="99">
        <f>IF(A28="","",IF(G28="Completed","Done",IF(G28="Blocked","Blocked",IF(X28="OVERDUE","Overdue",IF(AND(W28&lt;&gt;"",W28&lt;=2),"Due soon",IF(AND(Y28&lt;&gt;"",LEFT(Y28,1)="⏳",G28&lt;&gt;"Not Started"),"Dependency open",IF(AND(S28&lt;&gt;"None",S28&lt;&gt;"",G28&lt;&gt;"Completed"),"External req.","On track")))))))</f>
        <v/>
      </c>
    </row>
    <row r="29" ht="62" customHeight="1">
      <c r="A29" s="89" t="inlineStr">
        <is>
          <t>P2-07</t>
        </is>
      </c>
      <c r="B29" s="90" t="inlineStr">
        <is>
          <t>Phase 2</t>
        </is>
      </c>
      <c r="C29" s="91" t="inlineStr">
        <is>
          <t>Customizer Controls</t>
        </is>
      </c>
      <c r="D29" s="91" t="inlineStr">
        <is>
          <t>Section visibility, ordering &amp; de-duplication</t>
        </is>
      </c>
      <c r="E29" s="91" t="inlineStr">
        <is>
          <t>Show/hide toggle per section, sortable section order setting, global de-duplication so a post appears only once on the homepage.</t>
        </is>
      </c>
      <c r="F29" s="90" t="inlineStr">
        <is>
          <t>P0</t>
        </is>
      </c>
      <c r="G29" s="92" t="inlineStr">
        <is>
          <t>In Progress</t>
        </is>
      </c>
      <c r="H29" s="93" t="n">
        <v>46310</v>
      </c>
      <c r="I29" s="93" t="n">
        <v>46311</v>
      </c>
      <c r="J29" s="94" t="n">
        <v>0.6</v>
      </c>
      <c r="K29" s="91" t="inlineStr">
        <is>
          <t>P2-02</t>
        </is>
      </c>
      <c r="L29" s="91" t="inlineStr">
        <is>
          <t>Staging (Hostinger)</t>
        </is>
      </c>
      <c r="M29" s="91" t="inlineStr">
        <is>
          <t>inc/section-manager/render.php, inc/customizer/controls/sortable.php</t>
        </is>
      </c>
      <c r="N29" s="91" t="inlineStr">
        <is>
          <t>Hide a section, reorder two sections, confirm no duplicate posts across sections</t>
        </is>
      </c>
      <c r="O29" s="91" t="inlineStr">
        <is>
          <t>Visibility, order and de-duplication controlled from Customizer</t>
        </is>
      </c>
      <c r="P29" s="95" t="n"/>
      <c r="Q29" s="95" t="inlineStr">
        <is>
          <t>Visibility + Arabic label done. Open: section re-ordering and cross-section de-duplication.</t>
        </is>
      </c>
      <c r="R29" s="96" t="n"/>
      <c r="S29" s="91" t="inlineStr">
        <is>
          <t>None</t>
        </is>
      </c>
      <c r="T29" s="92" t="inlineStr">
        <is>
          <t>Not Tested</t>
        </is>
      </c>
      <c r="U29" s="97">
        <f>IF(A29="",0,IF(G29="Completed",1,IF(G29="Not Started",0,MIN(0.99,N(J29)))))</f>
        <v/>
      </c>
      <c r="V29" s="97">
        <f>IF(OR(A29="",H29="",I29=""),0,MAX(0,MIN(1,(StatusDate-H29+1)/(I29-H29+1))))</f>
        <v/>
      </c>
      <c r="W29" s="98">
        <f>IF(OR(A29="",I29="",G29="Completed"),"",I29-StatusDate)</f>
        <v/>
      </c>
      <c r="X29" s="99">
        <f>IF(A29="","",IF(AND(G29&lt;&gt;"Completed",I29&lt;&gt;"",I29&lt;StatusDate),"OVERDUE",""))</f>
        <v/>
      </c>
      <c r="Y29" s="99">
        <f>IF(OR(A29="",K29=""),"",IF(SUMPRODUCT(($A$6:$A$400&lt;&gt;"")*ISNUMBER(SEARCH($A$6:$A$400,K29))*($G$6:$G$400&lt;&gt;"Completed"))=0,"✓ Ready","⏳ "&amp;SUMPRODUCT(($A$6:$A$400&lt;&gt;"")*ISNUMBER(SEARCH($A$6:$A$400,K29))*($G$6:$G$400&lt;&gt;"Completed"))&amp;" open"))</f>
        <v/>
      </c>
      <c r="Z29" s="99">
        <f>IF(A29="","",B29&amp;"|"&amp;COUNTIFS($B$6:B29,B29,$A$6:A29,"?*"))</f>
        <v/>
      </c>
      <c r="AA29" s="99">
        <f>IF(OR(A29="",I29="",G29="Completed"),"",IF(I29&gt;=StatusDate,I29+ROW()/100000,""))</f>
        <v/>
      </c>
      <c r="AB29" s="99">
        <f>IF(A29="","",IF(AND(G29&lt;&gt;"Completed",OR(G29="Blocked",AND(TRIM(P29)&lt;&gt;"",P29&lt;&gt;"None"))),ROW(),""))</f>
        <v/>
      </c>
      <c r="AC29" s="99">
        <f>IF(A29="","",IF(G29="Completed","Done",IF(G29="Blocked","Blocked",IF(X29="OVERDUE","Overdue",IF(AND(W29&lt;&gt;"",W29&lt;=2),"Due soon",IF(AND(Y29&lt;&gt;"",LEFT(Y29,1)="⏳",G29&lt;&gt;"Not Started"),"Dependency open",IF(AND(S29&lt;&gt;"None",S29&lt;&gt;"",G29&lt;&gt;"Completed"),"External req.","On track")))))))</f>
        <v/>
      </c>
    </row>
    <row r="30" ht="62" customHeight="1">
      <c r="A30" s="89" t="inlineStr">
        <is>
          <t>P2-08</t>
        </is>
      </c>
      <c r="B30" s="90" t="inlineStr">
        <is>
          <t>Phase 2</t>
        </is>
      </c>
      <c r="C30" s="91" t="inlineStr">
        <is>
          <t>Cache Controls</t>
        </is>
      </c>
      <c r="D30" s="91" t="inlineStr">
        <is>
          <t>Section cache controls + LiteSpeed purge</t>
        </is>
      </c>
      <c r="E30" s="91" t="inlineStr">
        <is>
          <t>Per-section TTL; 'Purge homepage cache' button (nonce + capability check); auto-purge on publish/update; triggers LiteSpeed purge action.</t>
        </is>
      </c>
      <c r="F30" s="90" t="inlineStr">
        <is>
          <t>P0</t>
        </is>
      </c>
      <c r="G30" s="92" t="inlineStr">
        <is>
          <t>In Progress</t>
        </is>
      </c>
      <c r="H30" s="93" t="n">
        <v>46311</v>
      </c>
      <c r="I30" s="93" t="n">
        <v>46311</v>
      </c>
      <c r="J30" s="94" t="n">
        <v>0.7</v>
      </c>
      <c r="K30" s="91" t="inlineStr">
        <is>
          <t>P1-14, P2-01</t>
        </is>
      </c>
      <c r="L30" s="91" t="inlineStr">
        <is>
          <t>Staging (Hostinger)</t>
        </is>
      </c>
      <c r="M30" s="91" t="inlineStr">
        <is>
          <t>inc/section-manager/cache.php</t>
        </is>
      </c>
      <c r="N30" s="91" t="inlineStr">
        <is>
          <t>Publish a post → appears on homepage after purge; purge button works only for editors+</t>
        </is>
      </c>
      <c r="O30" s="91" t="inlineStr">
        <is>
          <t>Homepage never serves stale sections after publish; manual purge available</t>
        </is>
      </c>
      <c r="P30" s="95" t="n"/>
      <c r="Q30" s="95" t="inlineStr">
        <is>
          <t>Per-section cache purge done. Open: auto-purge on publish + LiteSpeed purge hook.</t>
        </is>
      </c>
      <c r="R30" s="96" t="n"/>
      <c r="S30" s="91" t="inlineStr">
        <is>
          <t>None</t>
        </is>
      </c>
      <c r="T30" s="92" t="inlineStr">
        <is>
          <t>Not Tested</t>
        </is>
      </c>
      <c r="U30" s="97">
        <f>IF(A30="",0,IF(G30="Completed",1,IF(G30="Not Started",0,MIN(0.99,N(J30)))))</f>
        <v/>
      </c>
      <c r="V30" s="97">
        <f>IF(OR(A30="",H30="",I30=""),0,MAX(0,MIN(1,(StatusDate-H30+1)/(I30-H30+1))))</f>
        <v/>
      </c>
      <c r="W30" s="98">
        <f>IF(OR(A30="",I30="",G30="Completed"),"",I30-StatusDate)</f>
        <v/>
      </c>
      <c r="X30" s="99">
        <f>IF(A30="","",IF(AND(G30&lt;&gt;"Completed",I30&lt;&gt;"",I30&lt;StatusDate),"OVERDUE",""))</f>
        <v/>
      </c>
      <c r="Y30" s="99">
        <f>IF(OR(A30="",K30=""),"",IF(SUMPRODUCT(($A$6:$A$400&lt;&gt;"")*ISNUMBER(SEARCH($A$6:$A$400,K30))*($G$6:$G$400&lt;&gt;"Completed"))=0,"✓ Ready","⏳ "&amp;SUMPRODUCT(($A$6:$A$400&lt;&gt;"")*ISNUMBER(SEARCH($A$6:$A$400,K30))*($G$6:$G$400&lt;&gt;"Completed"))&amp;" open"))</f>
        <v/>
      </c>
      <c r="Z30" s="99">
        <f>IF(A30="","",B30&amp;"|"&amp;COUNTIFS($B$6:B30,B30,$A$6:A30,"?*"))</f>
        <v/>
      </c>
      <c r="AA30" s="99">
        <f>IF(OR(A30="",I30="",G30="Completed"),"",IF(I30&gt;=StatusDate,I30+ROW()/100000,""))</f>
        <v/>
      </c>
      <c r="AB30" s="99">
        <f>IF(A30="","",IF(AND(G30&lt;&gt;"Completed",OR(G30="Blocked",AND(TRIM(P30)&lt;&gt;"",P30&lt;&gt;"None"))),ROW(),""))</f>
        <v/>
      </c>
      <c r="AC30" s="99">
        <f>IF(A30="","",IF(G30="Completed","Done",IF(G30="Blocked","Blocked",IF(X30="OVERDUE","Overdue",IF(AND(W30&lt;&gt;"",W30&lt;=2),"Due soon",IF(AND(Y30&lt;&gt;"",LEFT(Y30,1)="⏳",G30&lt;&gt;"Not Started"),"Dependency open",IF(AND(S30&lt;&gt;"None",S30&lt;&gt;"",G30&lt;&gt;"Completed"),"External req.","On track")))))))</f>
        <v/>
      </c>
    </row>
    <row r="31" ht="62" customHeight="1">
      <c r="A31" s="89" t="inlineStr">
        <is>
          <t>P2-09</t>
        </is>
      </c>
      <c r="B31" s="90" t="inlineStr">
        <is>
          <t>Phase 2</t>
        </is>
      </c>
      <c r="C31" s="91" t="inlineStr">
        <is>
          <t>Homepage Sections</t>
        </is>
      </c>
      <c r="D31" s="91" t="inlineStr">
        <is>
          <t>Homepage hero</t>
        </is>
      </c>
      <c r="E31" s="91" t="inlineStr">
        <is>
          <t>Lead story + 2–4 secondary stories sourced via Section Manager (featured tag or manual picks), responsive art direction.</t>
        </is>
      </c>
      <c r="F31" s="90" t="inlineStr">
        <is>
          <t>P0</t>
        </is>
      </c>
      <c r="G31" s="92" t="inlineStr">
        <is>
          <t>Completed</t>
        </is>
      </c>
      <c r="H31" s="93" t="n">
        <v>46311</v>
      </c>
      <c r="I31" s="93" t="n">
        <v>46311</v>
      </c>
      <c r="J31" s="94" t="n">
        <v>1</v>
      </c>
      <c r="K31" s="91" t="inlineStr">
        <is>
          <t>P2-01</t>
        </is>
      </c>
      <c r="L31" s="91" t="inlineStr">
        <is>
          <t>Staging (Hostinger)</t>
        </is>
      </c>
      <c r="M31" s="91" t="inlineStr">
        <is>
          <t>template-parts/sections/hero.php</t>
        </is>
      </c>
      <c r="N31" s="91" t="inlineStr">
        <is>
          <t>Change hero source; check mobile crop and title wrapping in Arabic</t>
        </is>
      </c>
      <c r="O31" s="91" t="inlineStr">
        <is>
          <t>Hero is editor-controlled and renders well on all breakpoints</t>
        </is>
      </c>
      <c r="P31" s="95" t="n"/>
      <c r="Q31" s="95" t="inlineStr">
        <is>
          <t>Hero grid via hero_featured / lead_stack widgets.</t>
        </is>
      </c>
      <c r="R31" s="96" t="n">
        <v>46306</v>
      </c>
      <c r="S31" s="91" t="inlineStr">
        <is>
          <t>None</t>
        </is>
      </c>
      <c r="T31" s="92" t="inlineStr">
        <is>
          <t>Not Tested</t>
        </is>
      </c>
      <c r="U31" s="97">
        <f>IF(A31="",0,IF(G31="Completed",1,IF(G31="Not Started",0,MIN(0.99,N(J31)))))</f>
        <v/>
      </c>
      <c r="V31" s="97">
        <f>IF(OR(A31="",H31="",I31=""),0,MAX(0,MIN(1,(StatusDate-H31+1)/(I31-H31+1))))</f>
        <v/>
      </c>
      <c r="W31" s="98">
        <f>IF(OR(A31="",I31="",G31="Completed"),"",I31-StatusDate)</f>
        <v/>
      </c>
      <c r="X31" s="99">
        <f>IF(A31="","",IF(AND(G31&lt;&gt;"Completed",I31&lt;&gt;"",I31&lt;StatusDate),"OVERDUE",""))</f>
        <v/>
      </c>
      <c r="Y31" s="99">
        <f>IF(OR(A31="",K31=""),"",IF(SUMPRODUCT(($A$6:$A$400&lt;&gt;"")*ISNUMBER(SEARCH($A$6:$A$400,K31))*($G$6:$G$400&lt;&gt;"Completed"))=0,"✓ Ready","⏳ "&amp;SUMPRODUCT(($A$6:$A$400&lt;&gt;"")*ISNUMBER(SEARCH($A$6:$A$400,K31))*($G$6:$G$400&lt;&gt;"Completed"))&amp;" open"))</f>
        <v/>
      </c>
      <c r="Z31" s="99">
        <f>IF(A31="","",B31&amp;"|"&amp;COUNTIFS($B$6:B31,B31,$A$6:A31,"?*"))</f>
        <v/>
      </c>
      <c r="AA31" s="99">
        <f>IF(OR(A31="",I31="",G31="Completed"),"",IF(I31&gt;=StatusDate,I31+ROW()/100000,""))</f>
        <v/>
      </c>
      <c r="AB31" s="99">
        <f>IF(A31="","",IF(AND(G31&lt;&gt;"Completed",OR(G31="Blocked",AND(TRIM(P31)&lt;&gt;"",P31&lt;&gt;"None"))),ROW(),""))</f>
        <v/>
      </c>
      <c r="AC31" s="99">
        <f>IF(A31="","",IF(G31="Completed","Done",IF(G31="Blocked","Blocked",IF(X31="OVERDUE","Overdue",IF(AND(W31&lt;&gt;"",W31&lt;=2),"Due soon",IF(AND(Y31&lt;&gt;"",LEFT(Y31,1)="⏳",G31&lt;&gt;"Not Started"),"Dependency open",IF(AND(S31&lt;&gt;"None",S31&lt;&gt;"",G31&lt;&gt;"Completed"),"External req.","On track")))))))</f>
        <v/>
      </c>
    </row>
    <row r="32" ht="62" customHeight="1">
      <c r="A32" s="89" t="inlineStr">
        <is>
          <t>P2-10</t>
        </is>
      </c>
      <c r="B32" s="90" t="inlineStr">
        <is>
          <t>Phase 2</t>
        </is>
      </c>
      <c r="C32" s="91" t="inlineStr">
        <is>
          <t>Homepage Sections</t>
        </is>
      </c>
      <c r="D32" s="91" t="inlineStr">
        <is>
          <t>Breaking news ticker</t>
        </is>
      </c>
      <c r="E32" s="91" t="inlineStr">
        <is>
          <t>Source tag/category (e.g. 'عاجل'); Vanilla JS RTL marquee; pause on hover/focus; reduced-motion fallback; hidden when empty.</t>
        </is>
      </c>
      <c r="F32" s="90" t="inlineStr">
        <is>
          <t>P0</t>
        </is>
      </c>
      <c r="G32" s="92" t="inlineStr">
        <is>
          <t>In Progress</t>
        </is>
      </c>
      <c r="H32" s="93" t="n">
        <v>46311</v>
      </c>
      <c r="I32" s="93" t="n">
        <v>46311</v>
      </c>
      <c r="J32" s="94" t="n">
        <v>0.5</v>
      </c>
      <c r="K32" s="91" t="inlineStr">
        <is>
          <t>P2-01</t>
        </is>
      </c>
      <c r="L32" s="91" t="inlineStr">
        <is>
          <t>Staging (Hostinger)</t>
        </is>
      </c>
      <c r="M32" s="91" t="inlineStr">
        <is>
          <t>template-parts/sections/ticker.php, assets/js/modules/ticker.js</t>
        </is>
      </c>
      <c r="N32" s="91" t="inlineStr">
        <is>
          <t>Add/remove breaking tag; test RTL scroll direction, hover pause, reduced motion</t>
        </is>
      </c>
      <c r="O32" s="91" t="inlineStr">
        <is>
          <t>Ticker updates from WordPress, scrolls RTL and is accessible</t>
        </is>
      </c>
      <c r="P32" s="95" t="n"/>
      <c r="Q32" s="95" t="inlineStr">
        <is>
          <t>Ticker exists from prototype; ESI / WordPress-driven source still open.</t>
        </is>
      </c>
      <c r="R32" s="96" t="n"/>
      <c r="S32" s="91" t="inlineStr">
        <is>
          <t>None</t>
        </is>
      </c>
      <c r="T32" s="92" t="inlineStr">
        <is>
          <t>Not Tested</t>
        </is>
      </c>
      <c r="U32" s="97">
        <f>IF(A32="",0,IF(G32="Completed",1,IF(G32="Not Started",0,MIN(0.99,N(J32)))))</f>
        <v/>
      </c>
      <c r="V32" s="97">
        <f>IF(OR(A32="",H32="",I32=""),0,MAX(0,MIN(1,(StatusDate-H32+1)/(I32-H32+1))))</f>
        <v/>
      </c>
      <c r="W32" s="98">
        <f>IF(OR(A32="",I32="",G32="Completed"),"",I32-StatusDate)</f>
        <v/>
      </c>
      <c r="X32" s="99">
        <f>IF(A32="","",IF(AND(G32&lt;&gt;"Completed",I32&lt;&gt;"",I32&lt;StatusDate),"OVERDUE",""))</f>
        <v/>
      </c>
      <c r="Y32" s="99">
        <f>IF(OR(A32="",K32=""),"",IF(SUMPRODUCT(($A$6:$A$400&lt;&gt;"")*ISNUMBER(SEARCH($A$6:$A$400,K32))*($G$6:$G$400&lt;&gt;"Completed"))=0,"✓ Ready","⏳ "&amp;SUMPRODUCT(($A$6:$A$400&lt;&gt;"")*ISNUMBER(SEARCH($A$6:$A$400,K32))*($G$6:$G$400&lt;&gt;"Completed"))&amp;" open"))</f>
        <v/>
      </c>
      <c r="Z32" s="99">
        <f>IF(A32="","",B32&amp;"|"&amp;COUNTIFS($B$6:B32,B32,$A$6:A32,"?*"))</f>
        <v/>
      </c>
      <c r="AA32" s="99">
        <f>IF(OR(A32="",I32="",G32="Completed"),"",IF(I32&gt;=StatusDate,I32+ROW()/100000,""))</f>
        <v/>
      </c>
      <c r="AB32" s="99">
        <f>IF(A32="","",IF(AND(G32&lt;&gt;"Completed",OR(G32="Blocked",AND(TRIM(P32)&lt;&gt;"",P32&lt;&gt;"None"))),ROW(),""))</f>
        <v/>
      </c>
      <c r="AC32" s="99">
        <f>IF(A32="","",IF(G32="Completed","Done",IF(G32="Blocked","Blocked",IF(X32="OVERDUE","Overdue",IF(AND(W32&lt;&gt;"",W32&lt;=2),"Due soon",IF(AND(Y32&lt;&gt;"",LEFT(Y32,1)="⏳",G32&lt;&gt;"Not Started"),"Dependency open",IF(AND(S32&lt;&gt;"None",S32&lt;&gt;"",G32&lt;&gt;"Completed"),"External req.","On track")))))))</f>
        <v/>
      </c>
    </row>
    <row r="33" ht="62" customHeight="1">
      <c r="A33" s="89" t="inlineStr">
        <is>
          <t>P2-11</t>
        </is>
      </c>
      <c r="B33" s="90" t="inlineStr">
        <is>
          <t>Phase 2</t>
        </is>
      </c>
      <c r="C33" s="91" t="inlineStr">
        <is>
          <t>Homepage Sections</t>
        </is>
      </c>
      <c r="D33" s="91" t="inlineStr">
        <is>
          <t>Magazine cover slider</t>
        </is>
      </c>
      <c r="E33" s="91" t="inlineStr">
        <is>
          <t>Latest N issues from magazine_issue CPT; touch swipe; lazy covers; links to single issue. Built with placeholders, wired once CPT exists.</t>
        </is>
      </c>
      <c r="F33" s="90" t="inlineStr">
        <is>
          <t>P1</t>
        </is>
      </c>
      <c r="G33" s="92" t="inlineStr">
        <is>
          <t>Completed</t>
        </is>
      </c>
      <c r="H33" s="93" t="n">
        <v>46311</v>
      </c>
      <c r="I33" s="93" t="n">
        <v>46311</v>
      </c>
      <c r="J33" s="94" t="n">
        <v>1</v>
      </c>
      <c r="K33" s="91" t="inlineStr">
        <is>
          <t>P2-01, P4-01</t>
        </is>
      </c>
      <c r="L33" s="91" t="inlineStr">
        <is>
          <t>Staging (Hostinger)</t>
        </is>
      </c>
      <c r="M33" s="91" t="inlineStr">
        <is>
          <t>template-parts/sections/cover-slider.php, assets/js/modules/slider.js</t>
        </is>
      </c>
      <c r="N33" s="91" t="inlineStr">
        <is>
          <t>Swipe on mobile; covers lazy-load; links open correct issue</t>
        </is>
      </c>
      <c r="O33" s="91" t="inlineStr">
        <is>
          <t>Slider shows latest issues automatically</t>
        </is>
      </c>
      <c r="P33" s="95" t="n"/>
      <c r="Q33" s="95" t="inlineStr">
        <is>
          <t>magazine_slider widget reading the 'issue' CPT.</t>
        </is>
      </c>
      <c r="R33" s="96" t="n">
        <v>46306</v>
      </c>
      <c r="S33" s="91" t="inlineStr">
        <is>
          <t>None</t>
        </is>
      </c>
      <c r="T33" s="92" t="inlineStr">
        <is>
          <t>Not Tested</t>
        </is>
      </c>
      <c r="U33" s="97">
        <f>IF(A33="",0,IF(G33="Completed",1,IF(G33="Not Started",0,MIN(0.99,N(J33)))))</f>
        <v/>
      </c>
      <c r="V33" s="97">
        <f>IF(OR(A33="",H33="",I33=""),0,MAX(0,MIN(1,(StatusDate-H33+1)/(I33-H33+1))))</f>
        <v/>
      </c>
      <c r="W33" s="98">
        <f>IF(OR(A33="",I33="",G33="Completed"),"",I33-StatusDate)</f>
        <v/>
      </c>
      <c r="X33" s="99">
        <f>IF(A33="","",IF(AND(G33&lt;&gt;"Completed",I33&lt;&gt;"",I33&lt;StatusDate),"OVERDUE",""))</f>
        <v/>
      </c>
      <c r="Y33" s="99">
        <f>IF(OR(A33="",K33=""),"",IF(SUMPRODUCT(($A$6:$A$400&lt;&gt;"")*ISNUMBER(SEARCH($A$6:$A$400,K33))*($G$6:$G$400&lt;&gt;"Completed"))=0,"✓ Ready","⏳ "&amp;SUMPRODUCT(($A$6:$A$400&lt;&gt;"")*ISNUMBER(SEARCH($A$6:$A$400,K33))*($G$6:$G$400&lt;&gt;"Completed"))&amp;" open"))</f>
        <v/>
      </c>
      <c r="Z33" s="99">
        <f>IF(A33="","",B33&amp;"|"&amp;COUNTIFS($B$6:B33,B33,$A$6:A33,"?*"))</f>
        <v/>
      </c>
      <c r="AA33" s="99">
        <f>IF(OR(A33="",I33="",G33="Completed"),"",IF(I33&gt;=StatusDate,I33+ROW()/100000,""))</f>
        <v/>
      </c>
      <c r="AB33" s="99">
        <f>IF(A33="","",IF(AND(G33&lt;&gt;"Completed",OR(G33="Blocked",AND(TRIM(P33)&lt;&gt;"",P33&lt;&gt;"None"))),ROW(),""))</f>
        <v/>
      </c>
      <c r="AC33" s="99">
        <f>IF(A33="","",IF(G33="Completed","Done",IF(G33="Blocked","Blocked",IF(X33="OVERDUE","Overdue",IF(AND(W33&lt;&gt;"",W33&lt;=2),"Due soon",IF(AND(Y33&lt;&gt;"",LEFT(Y33,1)="⏳",G33&lt;&gt;"Not Started"),"Dependency open",IF(AND(S33&lt;&gt;"None",S33&lt;&gt;"",G33&lt;&gt;"Completed"),"External req.","On track")))))))</f>
        <v/>
      </c>
    </row>
    <row r="34" ht="62" customHeight="1">
      <c r="A34" s="89" t="inlineStr">
        <is>
          <t>P2-12</t>
        </is>
      </c>
      <c r="B34" s="90" t="inlineStr">
        <is>
          <t>Phase 2</t>
        </is>
      </c>
      <c r="C34" s="91" t="inlineStr">
        <is>
          <t>Homepage Sections</t>
        </is>
      </c>
      <c r="D34" s="91" t="inlineStr">
        <is>
          <t>Chamber section</t>
        </is>
      </c>
      <c r="E34" s="91" t="inlineStr">
        <is>
          <t>Chamber news block with configurable source and layout.</t>
        </is>
      </c>
      <c r="F34" s="90" t="inlineStr">
        <is>
          <t>P1</t>
        </is>
      </c>
      <c r="G34" s="92" t="inlineStr">
        <is>
          <t>Completed</t>
        </is>
      </c>
      <c r="H34" s="93" t="n">
        <v>46311</v>
      </c>
      <c r="I34" s="93" t="n">
        <v>46311</v>
      </c>
      <c r="J34" s="94" t="n">
        <v>1</v>
      </c>
      <c r="K34" s="91" t="inlineStr">
        <is>
          <t>P2-01</t>
        </is>
      </c>
      <c r="L34" s="91" t="inlineStr">
        <is>
          <t>Staging (Hostinger)</t>
        </is>
      </c>
      <c r="M34" s="91" t="inlineStr">
        <is>
          <t>template-parts/sections/*</t>
        </is>
      </c>
      <c r="N34" s="91" t="inlineStr">
        <is>
          <t>Configure source and layout; verify output</t>
        </is>
      </c>
      <c r="O34" s="91" t="inlineStr">
        <is>
          <t>Chamber section renders configured posts</t>
        </is>
      </c>
      <c r="P34" s="95" t="n"/>
      <c r="Q34" s="95" t="inlineStr">
        <is>
          <t>chamber_column widget (hero chamber slot).</t>
        </is>
      </c>
      <c r="R34" s="96" t="n">
        <v>46306</v>
      </c>
      <c r="S34" s="91" t="inlineStr">
        <is>
          <t>None</t>
        </is>
      </c>
      <c r="T34" s="92" t="inlineStr">
        <is>
          <t>Not Tested</t>
        </is>
      </c>
      <c r="U34" s="97">
        <f>IF(A34="",0,IF(G34="Completed",1,IF(G34="Not Started",0,MIN(0.99,N(J34)))))</f>
        <v/>
      </c>
      <c r="V34" s="97">
        <f>IF(OR(A34="",H34="",I34=""),0,MAX(0,MIN(1,(StatusDate-H34+1)/(I34-H34+1))))</f>
        <v/>
      </c>
      <c r="W34" s="98">
        <f>IF(OR(A34="",I34="",G34="Completed"),"",I34-StatusDate)</f>
        <v/>
      </c>
      <c r="X34" s="99">
        <f>IF(A34="","",IF(AND(G34&lt;&gt;"Completed",I34&lt;&gt;"",I34&lt;StatusDate),"OVERDUE",""))</f>
        <v/>
      </c>
      <c r="Y34" s="99">
        <f>IF(OR(A34="",K34=""),"",IF(SUMPRODUCT(($A$6:$A$400&lt;&gt;"")*ISNUMBER(SEARCH($A$6:$A$400,K34))*($G$6:$G$400&lt;&gt;"Completed"))=0,"✓ Ready","⏳ "&amp;SUMPRODUCT(($A$6:$A$400&lt;&gt;"")*ISNUMBER(SEARCH($A$6:$A$400,K34))*($G$6:$G$400&lt;&gt;"Completed"))&amp;" open"))</f>
        <v/>
      </c>
      <c r="Z34" s="99">
        <f>IF(A34="","",B34&amp;"|"&amp;COUNTIFS($B$6:B34,B34,$A$6:A34,"?*"))</f>
        <v/>
      </c>
      <c r="AA34" s="99">
        <f>IF(OR(A34="",I34="",G34="Completed"),"",IF(I34&gt;=StatusDate,I34+ROW()/100000,""))</f>
        <v/>
      </c>
      <c r="AB34" s="99">
        <f>IF(A34="","",IF(AND(G34&lt;&gt;"Completed",OR(G34="Blocked",AND(TRIM(P34)&lt;&gt;"",P34&lt;&gt;"None"))),ROW(),""))</f>
        <v/>
      </c>
      <c r="AC34" s="99">
        <f>IF(A34="","",IF(G34="Completed","Done",IF(G34="Blocked","Blocked",IF(X34="OVERDUE","Overdue",IF(AND(W34&lt;&gt;"",W34&lt;=2),"Due soon",IF(AND(Y34&lt;&gt;"",LEFT(Y34,1)="⏳",G34&lt;&gt;"Not Started"),"Dependency open",IF(AND(S34&lt;&gt;"None",S34&lt;&gt;"",G34&lt;&gt;"Completed"),"External req.","On track")))))))</f>
        <v/>
      </c>
    </row>
    <row r="35" ht="62" customHeight="1">
      <c r="A35" s="89" t="inlineStr">
        <is>
          <t>P2-13</t>
        </is>
      </c>
      <c r="B35" s="90" t="inlineStr">
        <is>
          <t>Phase 2</t>
        </is>
      </c>
      <c r="C35" s="91" t="inlineStr">
        <is>
          <t>Homepage Sections</t>
        </is>
      </c>
      <c r="D35" s="91" t="inlineStr">
        <is>
          <t>Opinion / columnists section</t>
        </is>
      </c>
      <c r="E35" s="91" t="inlineStr">
        <is>
          <t>Columnist cards with author avatar, name and column title; links to author profiles.</t>
        </is>
      </c>
      <c r="F35" s="90" t="inlineStr">
        <is>
          <t>P1</t>
        </is>
      </c>
      <c r="G35" s="92" t="inlineStr">
        <is>
          <t>Not Started</t>
        </is>
      </c>
      <c r="H35" s="93" t="n">
        <v>46311</v>
      </c>
      <c r="I35" s="93" t="n">
        <v>46311</v>
      </c>
      <c r="J35" s="94" t="n">
        <v>0</v>
      </c>
      <c r="K35" s="91" t="inlineStr">
        <is>
          <t>P2-01</t>
        </is>
      </c>
      <c r="L35" s="91" t="inlineStr">
        <is>
          <t>Staging (Hostinger)</t>
        </is>
      </c>
      <c r="M35" s="91" t="inlineStr">
        <is>
          <t>template-parts/sections/opinion.php</t>
        </is>
      </c>
      <c r="N35" s="91" t="inlineStr">
        <is>
          <t>Check avatars, author links, fallback avatar</t>
        </is>
      </c>
      <c r="O35" s="91" t="inlineStr">
        <is>
          <t>Opinion section shows writers with working profile links</t>
        </is>
      </c>
      <c r="P35" s="95" t="n"/>
      <c r="Q35" s="95" t="inlineStr">
        <is>
          <t>Interviews + Personality sections built instead — confirm with client whether an Opinion section is still required.</t>
        </is>
      </c>
      <c r="R35" s="96" t="n"/>
      <c r="S35" s="91" t="inlineStr">
        <is>
          <t>None</t>
        </is>
      </c>
      <c r="T35" s="92" t="inlineStr">
        <is>
          <t>Not Tested</t>
        </is>
      </c>
      <c r="U35" s="97">
        <f>IF(A35="",0,IF(G35="Completed",1,IF(G35="Not Started",0,MIN(0.99,N(J35)))))</f>
        <v/>
      </c>
      <c r="V35" s="97">
        <f>IF(OR(A35="",H35="",I35=""),0,MAX(0,MIN(1,(StatusDate-H35+1)/(I35-H35+1))))</f>
        <v/>
      </c>
      <c r="W35" s="98">
        <f>IF(OR(A35="",I35="",G35="Completed"),"",I35-StatusDate)</f>
        <v/>
      </c>
      <c r="X35" s="99">
        <f>IF(A35="","",IF(AND(G35&lt;&gt;"Completed",I35&lt;&gt;"",I35&lt;StatusDate),"OVERDUE",""))</f>
        <v/>
      </c>
      <c r="Y35" s="99">
        <f>IF(OR(A35="",K35=""),"",IF(SUMPRODUCT(($A$6:$A$400&lt;&gt;"")*ISNUMBER(SEARCH($A$6:$A$400,K35))*($G$6:$G$400&lt;&gt;"Completed"))=0,"✓ Ready","⏳ "&amp;SUMPRODUCT(($A$6:$A$400&lt;&gt;"")*ISNUMBER(SEARCH($A$6:$A$400,K35))*($G$6:$G$400&lt;&gt;"Completed"))&amp;" open"))</f>
        <v/>
      </c>
      <c r="Z35" s="99">
        <f>IF(A35="","",B35&amp;"|"&amp;COUNTIFS($B$6:B35,B35,$A$6:A35,"?*"))</f>
        <v/>
      </c>
      <c r="AA35" s="99">
        <f>IF(OR(A35="",I35="",G35="Completed"),"",IF(I35&gt;=StatusDate,I35+ROW()/100000,""))</f>
        <v/>
      </c>
      <c r="AB35" s="99">
        <f>IF(A35="","",IF(AND(G35&lt;&gt;"Completed",OR(G35="Blocked",AND(TRIM(P35)&lt;&gt;"",P35&lt;&gt;"None"))),ROW(),""))</f>
        <v/>
      </c>
      <c r="AC35" s="99">
        <f>IF(A35="","",IF(G35="Completed","Done",IF(G35="Blocked","Blocked",IF(X35="OVERDUE","Overdue",IF(AND(W35&lt;&gt;"",W35&lt;=2),"Due soon",IF(AND(Y35&lt;&gt;"",LEFT(Y35,1)="⏳",G35&lt;&gt;"Not Started"),"Dependency open",IF(AND(S35&lt;&gt;"None",S35&lt;&gt;"",G35&lt;&gt;"Completed"),"External req.","On track")))))))</f>
        <v/>
      </c>
    </row>
    <row r="36" ht="62" customHeight="1">
      <c r="A36" s="89" t="inlineStr">
        <is>
          <t>P2-14</t>
        </is>
      </c>
      <c r="B36" s="90" t="inlineStr">
        <is>
          <t>Phase 2</t>
        </is>
      </c>
      <c r="C36" s="91" t="inlineStr">
        <is>
          <t>Homepage Sections</t>
        </is>
      </c>
      <c r="D36" s="91" t="inlineStr">
        <is>
          <t>Reports section</t>
        </is>
      </c>
      <c r="E36" s="91" t="inlineStr">
        <is>
          <t>Reports block with featured report + list layout.</t>
        </is>
      </c>
      <c r="F36" s="90" t="inlineStr">
        <is>
          <t>P1</t>
        </is>
      </c>
      <c r="G36" s="92" t="inlineStr">
        <is>
          <t>Not Started</t>
        </is>
      </c>
      <c r="H36" s="93" t="n">
        <v>46311</v>
      </c>
      <c r="I36" s="93" t="n">
        <v>46312</v>
      </c>
      <c r="J36" s="94" t="n">
        <v>0</v>
      </c>
      <c r="K36" s="91" t="inlineStr">
        <is>
          <t>P2-01</t>
        </is>
      </c>
      <c r="L36" s="91" t="inlineStr">
        <is>
          <t>Staging (Hostinger)</t>
        </is>
      </c>
      <c r="M36" s="91" t="inlineStr">
        <is>
          <t>template-parts/sections/*</t>
        </is>
      </c>
      <c r="N36" s="91" t="inlineStr">
        <is>
          <t>Configure; verify output and layout</t>
        </is>
      </c>
      <c r="O36" s="91" t="inlineStr">
        <is>
          <t>Reports section renders configured posts</t>
        </is>
      </c>
      <c r="P36" s="95" t="n"/>
      <c r="Q36" s="95" t="n"/>
      <c r="R36" s="96" t="n"/>
      <c r="S36" s="91" t="inlineStr">
        <is>
          <t>None</t>
        </is>
      </c>
      <c r="T36" s="92" t="inlineStr">
        <is>
          <t>Not Tested</t>
        </is>
      </c>
      <c r="U36" s="97">
        <f>IF(A36="",0,IF(G36="Completed",1,IF(G36="Not Started",0,MIN(0.99,N(J36)))))</f>
        <v/>
      </c>
      <c r="V36" s="97">
        <f>IF(OR(A36="",H36="",I36=""),0,MAX(0,MIN(1,(StatusDate-H36+1)/(I36-H36+1))))</f>
        <v/>
      </c>
      <c r="W36" s="98">
        <f>IF(OR(A36="",I36="",G36="Completed"),"",I36-StatusDate)</f>
        <v/>
      </c>
      <c r="X36" s="99">
        <f>IF(A36="","",IF(AND(G36&lt;&gt;"Completed",I36&lt;&gt;"",I36&lt;StatusDate),"OVERDUE",""))</f>
        <v/>
      </c>
      <c r="Y36" s="99">
        <f>IF(OR(A36="",K36=""),"",IF(SUMPRODUCT(($A$6:$A$400&lt;&gt;"")*ISNUMBER(SEARCH($A$6:$A$400,K36))*($G$6:$G$400&lt;&gt;"Completed"))=0,"✓ Ready","⏳ "&amp;SUMPRODUCT(($A$6:$A$400&lt;&gt;"")*ISNUMBER(SEARCH($A$6:$A$400,K36))*($G$6:$G$400&lt;&gt;"Completed"))&amp;" open"))</f>
        <v/>
      </c>
      <c r="Z36" s="99">
        <f>IF(A36="","",B36&amp;"|"&amp;COUNTIFS($B$6:B36,B36,$A$6:A36,"?*"))</f>
        <v/>
      </c>
      <c r="AA36" s="99">
        <f>IF(OR(A36="",I36="",G36="Completed"),"",IF(I36&gt;=StatusDate,I36+ROW()/100000,""))</f>
        <v/>
      </c>
      <c r="AB36" s="99">
        <f>IF(A36="","",IF(AND(G36&lt;&gt;"Completed",OR(G36="Blocked",AND(TRIM(P36)&lt;&gt;"",P36&lt;&gt;"None"))),ROW(),""))</f>
        <v/>
      </c>
      <c r="AC36" s="99">
        <f>IF(A36="","",IF(G36="Completed","Done",IF(G36="Blocked","Blocked",IF(X36="OVERDUE","Overdue",IF(AND(W36&lt;&gt;"",W36&lt;=2),"Due soon",IF(AND(Y36&lt;&gt;"",LEFT(Y36,1)="⏳",G36&lt;&gt;"Not Started"),"Dependency open",IF(AND(S36&lt;&gt;"None",S36&lt;&gt;"",G36&lt;&gt;"Completed"),"External req.","On track")))))))</f>
        <v/>
      </c>
    </row>
    <row r="37" ht="62" customHeight="1">
      <c r="A37" s="89" t="inlineStr">
        <is>
          <t>P2-15</t>
        </is>
      </c>
      <c r="B37" s="90" t="inlineStr">
        <is>
          <t>Phase 2</t>
        </is>
      </c>
      <c r="C37" s="91" t="inlineStr">
        <is>
          <t>Homepage Sections</t>
        </is>
      </c>
      <c r="D37" s="91" t="inlineStr">
        <is>
          <t>Latest news &amp; article grid sections</t>
        </is>
      </c>
      <c r="E37" s="91" t="inlineStr">
        <is>
          <t>Generic article grids (latest news, more stories) with 'view all' link to archive.</t>
        </is>
      </c>
      <c r="F37" s="90" t="inlineStr">
        <is>
          <t>P0</t>
        </is>
      </c>
      <c r="G37" s="92" t="inlineStr">
        <is>
          <t>Completed</t>
        </is>
      </c>
      <c r="H37" s="93" t="n">
        <v>46312</v>
      </c>
      <c r="I37" s="93" t="n">
        <v>46312</v>
      </c>
      <c r="J37" s="94" t="n">
        <v>1</v>
      </c>
      <c r="K37" s="91" t="inlineStr">
        <is>
          <t>P2-01</t>
        </is>
      </c>
      <c r="L37" s="91" t="inlineStr">
        <is>
          <t>Staging (Hostinger)</t>
        </is>
      </c>
      <c r="M37" s="91" t="inlineStr">
        <is>
          <t>template-parts/sections/grid.php</t>
        </is>
      </c>
      <c r="N37" s="91" t="inlineStr">
        <is>
          <t>Verify counts, links and de-duplication</t>
        </is>
      </c>
      <c r="O37" s="91" t="inlineStr">
        <is>
          <t>Article grids render and link to archives</t>
        </is>
      </c>
      <c r="P37" s="95" t="n"/>
      <c r="Q37" s="95" t="inlineStr">
        <is>
          <t>article_grid / news grid widgets.</t>
        </is>
      </c>
      <c r="R37" s="96" t="n">
        <v>46306</v>
      </c>
      <c r="S37" s="91" t="inlineStr">
        <is>
          <t>None</t>
        </is>
      </c>
      <c r="T37" s="92" t="inlineStr">
        <is>
          <t>Not Tested</t>
        </is>
      </c>
      <c r="U37" s="97">
        <f>IF(A37="",0,IF(G37="Completed",1,IF(G37="Not Started",0,MIN(0.99,N(J37)))))</f>
        <v/>
      </c>
      <c r="V37" s="97">
        <f>IF(OR(A37="",H37="",I37=""),0,MAX(0,MIN(1,(StatusDate-H37+1)/(I37-H37+1))))</f>
        <v/>
      </c>
      <c r="W37" s="98">
        <f>IF(OR(A37="",I37="",G37="Completed"),"",I37-StatusDate)</f>
        <v/>
      </c>
      <c r="X37" s="99">
        <f>IF(A37="","",IF(AND(G37&lt;&gt;"Completed",I37&lt;&gt;"",I37&lt;StatusDate),"OVERDUE",""))</f>
        <v/>
      </c>
      <c r="Y37" s="99">
        <f>IF(OR(A37="",K37=""),"",IF(SUMPRODUCT(($A$6:$A$400&lt;&gt;"")*ISNUMBER(SEARCH($A$6:$A$400,K37))*($G$6:$G$400&lt;&gt;"Completed"))=0,"✓ Ready","⏳ "&amp;SUMPRODUCT(($A$6:$A$400&lt;&gt;"")*ISNUMBER(SEARCH($A$6:$A$400,K37))*($G$6:$G$400&lt;&gt;"Completed"))&amp;" open"))</f>
        <v/>
      </c>
      <c r="Z37" s="99">
        <f>IF(A37="","",B37&amp;"|"&amp;COUNTIFS($B$6:B37,B37,$A$6:A37,"?*"))</f>
        <v/>
      </c>
      <c r="AA37" s="99">
        <f>IF(OR(A37="",I37="",G37="Completed"),"",IF(I37&gt;=StatusDate,I37+ROW()/100000,""))</f>
        <v/>
      </c>
      <c r="AB37" s="99">
        <f>IF(A37="","",IF(AND(G37&lt;&gt;"Completed",OR(G37="Blocked",AND(TRIM(P37)&lt;&gt;"",P37&lt;&gt;"None"))),ROW(),""))</f>
        <v/>
      </c>
      <c r="AC37" s="99">
        <f>IF(A37="","",IF(G37="Completed","Done",IF(G37="Blocked","Blocked",IF(X37="OVERDUE","Overdue",IF(AND(W37&lt;&gt;"",W37&lt;=2),"Due soon",IF(AND(Y37&lt;&gt;"",LEFT(Y37,1)="⏳",G37&lt;&gt;"Not Started"),"Dependency open",IF(AND(S37&lt;&gt;"None",S37&lt;&gt;"",G37&lt;&gt;"Completed"),"External req.","On track")))))))</f>
        <v/>
      </c>
    </row>
    <row r="38" ht="62" customHeight="1">
      <c r="A38" s="89" t="inlineStr">
        <is>
          <t>P2-16</t>
        </is>
      </c>
      <c r="B38" s="90" t="inlineStr">
        <is>
          <t>Phase 2</t>
        </is>
      </c>
      <c r="C38" s="91" t="inlineStr">
        <is>
          <t>Sector Sections</t>
        </is>
      </c>
      <c r="D38" s="91" t="inlineStr">
        <is>
          <t>Business section</t>
        </is>
      </c>
      <c r="E38" s="91" t="inlineStr">
        <is>
          <t>Configure and style Business section via Section Manager.</t>
        </is>
      </c>
      <c r="F38" s="90" t="inlineStr">
        <is>
          <t>P1</t>
        </is>
      </c>
      <c r="G38" s="92" t="inlineStr">
        <is>
          <t>Completed</t>
        </is>
      </c>
      <c r="H38" s="93" t="n">
        <v>46312</v>
      </c>
      <c r="I38" s="93" t="n">
        <v>46312</v>
      </c>
      <c r="J38" s="94" t="n">
        <v>1</v>
      </c>
      <c r="K38" s="91" t="inlineStr">
        <is>
          <t>P2-15</t>
        </is>
      </c>
      <c r="L38" s="91" t="inlineStr">
        <is>
          <t>Staging (Hostinger)</t>
        </is>
      </c>
      <c r="M38" s="91" t="inlineStr">
        <is>
          <t>template-parts/sections/*</t>
        </is>
      </c>
      <c r="N38" s="91" t="inlineStr">
        <is>
          <t>Verify source, count, layout</t>
        </is>
      </c>
      <c r="O38" s="91" t="inlineStr">
        <is>
          <t>Section live and editor-configurable</t>
        </is>
      </c>
      <c r="P38" s="95" t="n"/>
      <c r="Q38" s="95" t="inlineStr">
        <is>
          <t>Business slot (split_sector).</t>
        </is>
      </c>
      <c r="R38" s="96" t="n">
        <v>46306</v>
      </c>
      <c r="S38" s="91" t="inlineStr">
        <is>
          <t>None</t>
        </is>
      </c>
      <c r="T38" s="92" t="inlineStr">
        <is>
          <t>Not Tested</t>
        </is>
      </c>
      <c r="U38" s="97">
        <f>IF(A38="",0,IF(G38="Completed",1,IF(G38="Not Started",0,MIN(0.99,N(J38)))))</f>
        <v/>
      </c>
      <c r="V38" s="97">
        <f>IF(OR(A38="",H38="",I38=""),0,MAX(0,MIN(1,(StatusDate-H38+1)/(I38-H38+1))))</f>
        <v/>
      </c>
      <c r="W38" s="98">
        <f>IF(OR(A38="",I38="",G38="Completed"),"",I38-StatusDate)</f>
        <v/>
      </c>
      <c r="X38" s="99">
        <f>IF(A38="","",IF(AND(G38&lt;&gt;"Completed",I38&lt;&gt;"",I38&lt;StatusDate),"OVERDUE",""))</f>
        <v/>
      </c>
      <c r="Y38" s="99">
        <f>IF(OR(A38="",K38=""),"",IF(SUMPRODUCT(($A$6:$A$400&lt;&gt;"")*ISNUMBER(SEARCH($A$6:$A$400,K38))*($G$6:$G$400&lt;&gt;"Completed"))=0,"✓ Ready","⏳ "&amp;SUMPRODUCT(($A$6:$A$400&lt;&gt;"")*ISNUMBER(SEARCH($A$6:$A$400,K38))*($G$6:$G$400&lt;&gt;"Completed"))&amp;" open"))</f>
        <v/>
      </c>
      <c r="Z38" s="99">
        <f>IF(A38="","",B38&amp;"|"&amp;COUNTIFS($B$6:B38,B38,$A$6:A38,"?*"))</f>
        <v/>
      </c>
      <c r="AA38" s="99">
        <f>IF(OR(A38="",I38="",G38="Completed"),"",IF(I38&gt;=StatusDate,I38+ROW()/100000,""))</f>
        <v/>
      </c>
      <c r="AB38" s="99">
        <f>IF(A38="","",IF(AND(G38&lt;&gt;"Completed",OR(G38="Blocked",AND(TRIM(P38)&lt;&gt;"",P38&lt;&gt;"None"))),ROW(),""))</f>
        <v/>
      </c>
      <c r="AC38" s="99">
        <f>IF(A38="","",IF(G38="Completed","Done",IF(G38="Blocked","Blocked",IF(X38="OVERDUE","Overdue",IF(AND(W38&lt;&gt;"",W38&lt;=2),"Due soon",IF(AND(Y38&lt;&gt;"",LEFT(Y38,1)="⏳",G38&lt;&gt;"Not Started"),"Dependency open",IF(AND(S38&lt;&gt;"None",S38&lt;&gt;"",G38&lt;&gt;"Completed"),"External req.","On track")))))))</f>
        <v/>
      </c>
    </row>
    <row r="39" ht="62" customHeight="1">
      <c r="A39" s="89" t="inlineStr">
        <is>
          <t>P2-17</t>
        </is>
      </c>
      <c r="B39" s="90" t="inlineStr">
        <is>
          <t>Phase 2</t>
        </is>
      </c>
      <c r="C39" s="91" t="inlineStr">
        <is>
          <t>Sector Sections</t>
        </is>
      </c>
      <c r="D39" s="91" t="inlineStr">
        <is>
          <t>Real Estate section</t>
        </is>
      </c>
      <c r="E39" s="91" t="inlineStr">
        <is>
          <t>Configure and style Real Estate section via Section Manager.</t>
        </is>
      </c>
      <c r="F39" s="90" t="inlineStr">
        <is>
          <t>P1</t>
        </is>
      </c>
      <c r="G39" s="92" t="inlineStr">
        <is>
          <t>Not Started</t>
        </is>
      </c>
      <c r="H39" s="93" t="n">
        <v>46312</v>
      </c>
      <c r="I39" s="93" t="n">
        <v>46312</v>
      </c>
      <c r="J39" s="94" t="n">
        <v>0</v>
      </c>
      <c r="K39" s="91" t="inlineStr">
        <is>
          <t>P2-15</t>
        </is>
      </c>
      <c r="L39" s="91" t="inlineStr">
        <is>
          <t>Staging (Hostinger)</t>
        </is>
      </c>
      <c r="M39" s="91" t="inlineStr">
        <is>
          <t>template-parts/sections/*</t>
        </is>
      </c>
      <c r="N39" s="91" t="inlineStr">
        <is>
          <t>Verify source, count, layout</t>
        </is>
      </c>
      <c r="O39" s="91" t="inlineStr">
        <is>
          <t>Section live and editor-configurable</t>
        </is>
      </c>
      <c r="P39" s="95" t="n"/>
      <c r="Q39" s="95" t="inlineStr">
        <is>
          <t>Real Estate slot not in current homepage matrix (Logistics, Energy, Followups added instead) — confirm with client.</t>
        </is>
      </c>
      <c r="R39" s="96" t="n"/>
      <c r="S39" s="91" t="inlineStr">
        <is>
          <t>None</t>
        </is>
      </c>
      <c r="T39" s="92" t="inlineStr">
        <is>
          <t>Not Tested</t>
        </is>
      </c>
      <c r="U39" s="97">
        <f>IF(A39="",0,IF(G39="Completed",1,IF(G39="Not Started",0,MIN(0.99,N(J39)))))</f>
        <v/>
      </c>
      <c r="V39" s="97">
        <f>IF(OR(A39="",H39="",I39=""),0,MAX(0,MIN(1,(StatusDate-H39+1)/(I39-H39+1))))</f>
        <v/>
      </c>
      <c r="W39" s="98">
        <f>IF(OR(A39="",I39="",G39="Completed"),"",I39-StatusDate)</f>
        <v/>
      </c>
      <c r="X39" s="99">
        <f>IF(A39="","",IF(AND(G39&lt;&gt;"Completed",I39&lt;&gt;"",I39&lt;StatusDate),"OVERDUE",""))</f>
        <v/>
      </c>
      <c r="Y39" s="99">
        <f>IF(OR(A39="",K39=""),"",IF(SUMPRODUCT(($A$6:$A$400&lt;&gt;"")*ISNUMBER(SEARCH($A$6:$A$400,K39))*($G$6:$G$400&lt;&gt;"Completed"))=0,"✓ Ready","⏳ "&amp;SUMPRODUCT(($A$6:$A$400&lt;&gt;"")*ISNUMBER(SEARCH($A$6:$A$400,K39))*($G$6:$G$400&lt;&gt;"Completed"))&amp;" open"))</f>
        <v/>
      </c>
      <c r="Z39" s="99">
        <f>IF(A39="","",B39&amp;"|"&amp;COUNTIFS($B$6:B39,B39,$A$6:A39,"?*"))</f>
        <v/>
      </c>
      <c r="AA39" s="99">
        <f>IF(OR(A39="",I39="",G39="Completed"),"",IF(I39&gt;=StatusDate,I39+ROW()/100000,""))</f>
        <v/>
      </c>
      <c r="AB39" s="99">
        <f>IF(A39="","",IF(AND(G39&lt;&gt;"Completed",OR(G39="Blocked",AND(TRIM(P39)&lt;&gt;"",P39&lt;&gt;"None"))),ROW(),""))</f>
        <v/>
      </c>
      <c r="AC39" s="99">
        <f>IF(A39="","",IF(G39="Completed","Done",IF(G39="Blocked","Blocked",IF(X39="OVERDUE","Overdue",IF(AND(W39&lt;&gt;"",W39&lt;=2),"Due soon",IF(AND(Y39&lt;&gt;"",LEFT(Y39,1)="⏳",G39&lt;&gt;"Not Started"),"Dependency open",IF(AND(S39&lt;&gt;"None",S39&lt;&gt;"",G39&lt;&gt;"Completed"),"External req.","On track")))))))</f>
        <v/>
      </c>
    </row>
    <row r="40" ht="62" customHeight="1">
      <c r="A40" s="89" t="inlineStr">
        <is>
          <t>P2-18</t>
        </is>
      </c>
      <c r="B40" s="90" t="inlineStr">
        <is>
          <t>Phase 2</t>
        </is>
      </c>
      <c r="C40" s="91" t="inlineStr">
        <is>
          <t>Sector Sections</t>
        </is>
      </c>
      <c r="D40" s="91" t="inlineStr">
        <is>
          <t>Automotive section</t>
        </is>
      </c>
      <c r="E40" s="91" t="inlineStr">
        <is>
          <t>Configure and style Automotive section via Section Manager.</t>
        </is>
      </c>
      <c r="F40" s="90" t="inlineStr">
        <is>
          <t>P1</t>
        </is>
      </c>
      <c r="G40" s="92" t="inlineStr">
        <is>
          <t>Completed</t>
        </is>
      </c>
      <c r="H40" s="93" t="n">
        <v>46312</v>
      </c>
      <c r="I40" s="93" t="n">
        <v>46312</v>
      </c>
      <c r="J40" s="94" t="n">
        <v>1</v>
      </c>
      <c r="K40" s="91" t="inlineStr">
        <is>
          <t>P2-15</t>
        </is>
      </c>
      <c r="L40" s="91" t="inlineStr">
        <is>
          <t>Staging (Hostinger)</t>
        </is>
      </c>
      <c r="M40" s="91" t="inlineStr">
        <is>
          <t>template-parts/sections/*</t>
        </is>
      </c>
      <c r="N40" s="91" t="inlineStr">
        <is>
          <t>Verify source, count, layout</t>
        </is>
      </c>
      <c r="O40" s="91" t="inlineStr">
        <is>
          <t>Section live and editor-configurable</t>
        </is>
      </c>
      <c r="P40" s="95" t="n"/>
      <c r="Q40" s="95" t="inlineStr">
        <is>
          <t>Automotive slot.</t>
        </is>
      </c>
      <c r="R40" s="96" t="n">
        <v>46306</v>
      </c>
      <c r="S40" s="91" t="inlineStr">
        <is>
          <t>None</t>
        </is>
      </c>
      <c r="T40" s="92" t="inlineStr">
        <is>
          <t>Not Tested</t>
        </is>
      </c>
      <c r="U40" s="97">
        <f>IF(A40="",0,IF(G40="Completed",1,IF(G40="Not Started",0,MIN(0.99,N(J40)))))</f>
        <v/>
      </c>
      <c r="V40" s="97">
        <f>IF(OR(A40="",H40="",I40=""),0,MAX(0,MIN(1,(StatusDate-H40+1)/(I40-H40+1))))</f>
        <v/>
      </c>
      <c r="W40" s="98">
        <f>IF(OR(A40="",I40="",G40="Completed"),"",I40-StatusDate)</f>
        <v/>
      </c>
      <c r="X40" s="99">
        <f>IF(A40="","",IF(AND(G40&lt;&gt;"Completed",I40&lt;&gt;"",I40&lt;StatusDate),"OVERDUE",""))</f>
        <v/>
      </c>
      <c r="Y40" s="99">
        <f>IF(OR(A40="",K40=""),"",IF(SUMPRODUCT(($A$6:$A$400&lt;&gt;"")*ISNUMBER(SEARCH($A$6:$A$400,K40))*($G$6:$G$400&lt;&gt;"Completed"))=0,"✓ Ready","⏳ "&amp;SUMPRODUCT(($A$6:$A$400&lt;&gt;"")*ISNUMBER(SEARCH($A$6:$A$400,K40))*($G$6:$G$400&lt;&gt;"Completed"))&amp;" open"))</f>
        <v/>
      </c>
      <c r="Z40" s="99">
        <f>IF(A40="","",B40&amp;"|"&amp;COUNTIFS($B$6:B40,B40,$A$6:A40,"?*"))</f>
        <v/>
      </c>
      <c r="AA40" s="99">
        <f>IF(OR(A40="",I40="",G40="Completed"),"",IF(I40&gt;=StatusDate,I40+ROW()/100000,""))</f>
        <v/>
      </c>
      <c r="AB40" s="99">
        <f>IF(A40="","",IF(AND(G40&lt;&gt;"Completed",OR(G40="Blocked",AND(TRIM(P40)&lt;&gt;"",P40&lt;&gt;"None"))),ROW(),""))</f>
        <v/>
      </c>
      <c r="AC40" s="99">
        <f>IF(A40="","",IF(G40="Completed","Done",IF(G40="Blocked","Blocked",IF(X40="OVERDUE","Overdue",IF(AND(W40&lt;&gt;"",W40&lt;=2),"Due soon",IF(AND(Y40&lt;&gt;"",LEFT(Y40,1)="⏳",G40&lt;&gt;"Not Started"),"Dependency open",IF(AND(S40&lt;&gt;"None",S40&lt;&gt;"",G40&lt;&gt;"Completed"),"External req.","On track")))))))</f>
        <v/>
      </c>
    </row>
    <row r="41" ht="62" customHeight="1">
      <c r="A41" s="89" t="inlineStr">
        <is>
          <t>P2-19</t>
        </is>
      </c>
      <c r="B41" s="90" t="inlineStr">
        <is>
          <t>Phase 2</t>
        </is>
      </c>
      <c r="C41" s="91" t="inlineStr">
        <is>
          <t>Sector Sections</t>
        </is>
      </c>
      <c r="D41" s="91" t="inlineStr">
        <is>
          <t>Technology section</t>
        </is>
      </c>
      <c r="E41" s="91" t="inlineStr">
        <is>
          <t>Configure and style Technology section via Section Manager.</t>
        </is>
      </c>
      <c r="F41" s="90" t="inlineStr">
        <is>
          <t>P1</t>
        </is>
      </c>
      <c r="G41" s="92" t="inlineStr">
        <is>
          <t>Completed</t>
        </is>
      </c>
      <c r="H41" s="93" t="n">
        <v>46312</v>
      </c>
      <c r="I41" s="93" t="n">
        <v>46312</v>
      </c>
      <c r="J41" s="94" t="n">
        <v>1</v>
      </c>
      <c r="K41" s="91" t="inlineStr">
        <is>
          <t>P2-15</t>
        </is>
      </c>
      <c r="L41" s="91" t="inlineStr">
        <is>
          <t>Staging (Hostinger)</t>
        </is>
      </c>
      <c r="M41" s="91" t="inlineStr">
        <is>
          <t>template-parts/sections/*</t>
        </is>
      </c>
      <c r="N41" s="91" t="inlineStr">
        <is>
          <t>Verify source, count, layout</t>
        </is>
      </c>
      <c r="O41" s="91" t="inlineStr">
        <is>
          <t>Section live and editor-configurable</t>
        </is>
      </c>
      <c r="P41" s="95" t="n"/>
      <c r="Q41" s="95" t="inlineStr">
        <is>
          <t>Tech slot (tech cards).</t>
        </is>
      </c>
      <c r="R41" s="96" t="n">
        <v>46306</v>
      </c>
      <c r="S41" s="91" t="inlineStr">
        <is>
          <t>None</t>
        </is>
      </c>
      <c r="T41" s="92" t="inlineStr">
        <is>
          <t>Not Tested</t>
        </is>
      </c>
      <c r="U41" s="97">
        <f>IF(A41="",0,IF(G41="Completed",1,IF(G41="Not Started",0,MIN(0.99,N(J41)))))</f>
        <v/>
      </c>
      <c r="V41" s="97">
        <f>IF(OR(A41="",H41="",I41=""),0,MAX(0,MIN(1,(StatusDate-H41+1)/(I41-H41+1))))</f>
        <v/>
      </c>
      <c r="W41" s="98">
        <f>IF(OR(A41="",I41="",G41="Completed"),"",I41-StatusDate)</f>
        <v/>
      </c>
      <c r="X41" s="99">
        <f>IF(A41="","",IF(AND(G41&lt;&gt;"Completed",I41&lt;&gt;"",I41&lt;StatusDate),"OVERDUE",""))</f>
        <v/>
      </c>
      <c r="Y41" s="99">
        <f>IF(OR(A41="",K41=""),"",IF(SUMPRODUCT(($A$6:$A$400&lt;&gt;"")*ISNUMBER(SEARCH($A$6:$A$400,K41))*($G$6:$G$400&lt;&gt;"Completed"))=0,"✓ Ready","⏳ "&amp;SUMPRODUCT(($A$6:$A$400&lt;&gt;"")*ISNUMBER(SEARCH($A$6:$A$400,K41))*($G$6:$G$400&lt;&gt;"Completed"))&amp;" open"))</f>
        <v/>
      </c>
      <c r="Z41" s="99">
        <f>IF(A41="","",B41&amp;"|"&amp;COUNTIFS($B$6:B41,B41,$A$6:A41,"?*"))</f>
        <v/>
      </c>
      <c r="AA41" s="99">
        <f>IF(OR(A41="",I41="",G41="Completed"),"",IF(I41&gt;=StatusDate,I41+ROW()/100000,""))</f>
        <v/>
      </c>
      <c r="AB41" s="99">
        <f>IF(A41="","",IF(AND(G41&lt;&gt;"Completed",OR(G41="Blocked",AND(TRIM(P41)&lt;&gt;"",P41&lt;&gt;"None"))),ROW(),""))</f>
        <v/>
      </c>
      <c r="AC41" s="99">
        <f>IF(A41="","",IF(G41="Completed","Done",IF(G41="Blocked","Blocked",IF(X41="OVERDUE","Overdue",IF(AND(W41&lt;&gt;"",W41&lt;=2),"Due soon",IF(AND(Y41&lt;&gt;"",LEFT(Y41,1)="⏳",G41&lt;&gt;"Not Started"),"Dependency open",IF(AND(S41&lt;&gt;"None",S41&lt;&gt;"",G41&lt;&gt;"Completed"),"External req.","On track")))))))</f>
        <v/>
      </c>
    </row>
    <row r="42" ht="62" customHeight="1">
      <c r="A42" s="89" t="inlineStr">
        <is>
          <t>P2-20</t>
        </is>
      </c>
      <c r="B42" s="90" t="inlineStr">
        <is>
          <t>Phase 2</t>
        </is>
      </c>
      <c r="C42" s="91" t="inlineStr">
        <is>
          <t>Sector Sections</t>
        </is>
      </c>
      <c r="D42" s="91" t="inlineStr">
        <is>
          <t>Healthcare section</t>
        </is>
      </c>
      <c r="E42" s="91" t="inlineStr">
        <is>
          <t>Configure and style Healthcare section via Section Manager.</t>
        </is>
      </c>
      <c r="F42" s="90" t="inlineStr">
        <is>
          <t>P1</t>
        </is>
      </c>
      <c r="G42" s="92" t="inlineStr">
        <is>
          <t>Completed</t>
        </is>
      </c>
      <c r="H42" s="93" t="n">
        <v>46312</v>
      </c>
      <c r="I42" s="93" t="n">
        <v>46312</v>
      </c>
      <c r="J42" s="94" t="n">
        <v>1</v>
      </c>
      <c r="K42" s="91" t="inlineStr">
        <is>
          <t>P2-15</t>
        </is>
      </c>
      <c r="L42" s="91" t="inlineStr">
        <is>
          <t>Staging (Hostinger)</t>
        </is>
      </c>
      <c r="M42" s="91" t="inlineStr">
        <is>
          <t>template-parts/sections/*</t>
        </is>
      </c>
      <c r="N42" s="91" t="inlineStr">
        <is>
          <t>Verify source, count, layout</t>
        </is>
      </c>
      <c r="O42" s="91" t="inlineStr">
        <is>
          <t>Section live and editor-configurable</t>
        </is>
      </c>
      <c r="P42" s="95" t="n"/>
      <c r="Q42" s="95" t="inlineStr">
        <is>
          <t>Healthcare slot.</t>
        </is>
      </c>
      <c r="R42" s="96" t="n">
        <v>46306</v>
      </c>
      <c r="S42" s="91" t="inlineStr">
        <is>
          <t>None</t>
        </is>
      </c>
      <c r="T42" s="92" t="inlineStr">
        <is>
          <t>Not Tested</t>
        </is>
      </c>
      <c r="U42" s="97">
        <f>IF(A42="",0,IF(G42="Completed",1,IF(G42="Not Started",0,MIN(0.99,N(J42)))))</f>
        <v/>
      </c>
      <c r="V42" s="97">
        <f>IF(OR(A42="",H42="",I42=""),0,MAX(0,MIN(1,(StatusDate-H42+1)/(I42-H42+1))))</f>
        <v/>
      </c>
      <c r="W42" s="98">
        <f>IF(OR(A42="",I42="",G42="Completed"),"",I42-StatusDate)</f>
        <v/>
      </c>
      <c r="X42" s="99">
        <f>IF(A42="","",IF(AND(G42&lt;&gt;"Completed",I42&lt;&gt;"",I42&lt;StatusDate),"OVERDUE",""))</f>
        <v/>
      </c>
      <c r="Y42" s="99">
        <f>IF(OR(A42="",K42=""),"",IF(SUMPRODUCT(($A$6:$A$400&lt;&gt;"")*ISNUMBER(SEARCH($A$6:$A$400,K42))*($G$6:$G$400&lt;&gt;"Completed"))=0,"✓ Ready","⏳ "&amp;SUMPRODUCT(($A$6:$A$400&lt;&gt;"")*ISNUMBER(SEARCH($A$6:$A$400,K42))*($G$6:$G$400&lt;&gt;"Completed"))&amp;" open"))</f>
        <v/>
      </c>
      <c r="Z42" s="99">
        <f>IF(A42="","",B42&amp;"|"&amp;COUNTIFS($B$6:B42,B42,$A$6:A42,"?*"))</f>
        <v/>
      </c>
      <c r="AA42" s="99">
        <f>IF(OR(A42="",I42="",G42="Completed"),"",IF(I42&gt;=StatusDate,I42+ROW()/100000,""))</f>
        <v/>
      </c>
      <c r="AB42" s="99">
        <f>IF(A42="","",IF(AND(G42&lt;&gt;"Completed",OR(G42="Blocked",AND(TRIM(P42)&lt;&gt;"",P42&lt;&gt;"None"))),ROW(),""))</f>
        <v/>
      </c>
      <c r="AC42" s="99">
        <f>IF(A42="","",IF(G42="Completed","Done",IF(G42="Blocked","Blocked",IF(X42="OVERDUE","Overdue",IF(AND(W42&lt;&gt;"",W42&lt;=2),"Due soon",IF(AND(Y42&lt;&gt;"",LEFT(Y42,1)="⏳",G42&lt;&gt;"Not Started"),"Dependency open",IF(AND(S42&lt;&gt;"None",S42&lt;&gt;"",G42&lt;&gt;"Completed"),"External req.","On track")))))))</f>
        <v/>
      </c>
    </row>
    <row r="43" ht="62" customHeight="1">
      <c r="A43" s="89" t="inlineStr">
        <is>
          <t>P2-21</t>
        </is>
      </c>
      <c r="B43" s="90" t="inlineStr">
        <is>
          <t>Phase 2</t>
        </is>
      </c>
      <c r="C43" s="91" t="inlineStr">
        <is>
          <t>Sector Sections</t>
        </is>
      </c>
      <c r="D43" s="91" t="inlineStr">
        <is>
          <t>Tourism section</t>
        </is>
      </c>
      <c r="E43" s="91" t="inlineStr">
        <is>
          <t>Configure and style Tourism section via Section Manager.</t>
        </is>
      </c>
      <c r="F43" s="90" t="inlineStr">
        <is>
          <t>P1</t>
        </is>
      </c>
      <c r="G43" s="92" t="inlineStr">
        <is>
          <t>Completed</t>
        </is>
      </c>
      <c r="H43" s="93" t="n">
        <v>46312</v>
      </c>
      <c r="I43" s="93" t="n">
        <v>46312</v>
      </c>
      <c r="J43" s="94" t="n">
        <v>1</v>
      </c>
      <c r="K43" s="91" t="inlineStr">
        <is>
          <t>P2-15</t>
        </is>
      </c>
      <c r="L43" s="91" t="inlineStr">
        <is>
          <t>Staging (Hostinger)</t>
        </is>
      </c>
      <c r="M43" s="91" t="inlineStr">
        <is>
          <t>template-parts/sections/*</t>
        </is>
      </c>
      <c r="N43" s="91" t="inlineStr">
        <is>
          <t>Verify source, count, layout</t>
        </is>
      </c>
      <c r="O43" s="91" t="inlineStr">
        <is>
          <t>Section live and editor-configurable</t>
        </is>
      </c>
      <c r="P43" s="95" t="n"/>
      <c r="Q43" s="95" t="inlineStr">
        <is>
          <t>Tourism slot.</t>
        </is>
      </c>
      <c r="R43" s="96" t="n">
        <v>46306</v>
      </c>
      <c r="S43" s="91" t="inlineStr">
        <is>
          <t>None</t>
        </is>
      </c>
      <c r="T43" s="92" t="inlineStr">
        <is>
          <t>Not Tested</t>
        </is>
      </c>
      <c r="U43" s="97">
        <f>IF(A43="",0,IF(G43="Completed",1,IF(G43="Not Started",0,MIN(0.99,N(J43)))))</f>
        <v/>
      </c>
      <c r="V43" s="97">
        <f>IF(OR(A43="",H43="",I43=""),0,MAX(0,MIN(1,(StatusDate-H43+1)/(I43-H43+1))))</f>
        <v/>
      </c>
      <c r="W43" s="98">
        <f>IF(OR(A43="",I43="",G43="Completed"),"",I43-StatusDate)</f>
        <v/>
      </c>
      <c r="X43" s="99">
        <f>IF(A43="","",IF(AND(G43&lt;&gt;"Completed",I43&lt;&gt;"",I43&lt;StatusDate),"OVERDUE",""))</f>
        <v/>
      </c>
      <c r="Y43" s="99">
        <f>IF(OR(A43="",K43=""),"",IF(SUMPRODUCT(($A$6:$A$400&lt;&gt;"")*ISNUMBER(SEARCH($A$6:$A$400,K43))*($G$6:$G$400&lt;&gt;"Completed"))=0,"✓ Ready","⏳ "&amp;SUMPRODUCT(($A$6:$A$400&lt;&gt;"")*ISNUMBER(SEARCH($A$6:$A$400,K43))*($G$6:$G$400&lt;&gt;"Completed"))&amp;" open"))</f>
        <v/>
      </c>
      <c r="Z43" s="99">
        <f>IF(A43="","",B43&amp;"|"&amp;COUNTIFS($B$6:B43,B43,$A$6:A43,"?*"))</f>
        <v/>
      </c>
      <c r="AA43" s="99">
        <f>IF(OR(A43="",I43="",G43="Completed"),"",IF(I43&gt;=StatusDate,I43+ROW()/100000,""))</f>
        <v/>
      </c>
      <c r="AB43" s="99">
        <f>IF(A43="","",IF(AND(G43&lt;&gt;"Completed",OR(G43="Blocked",AND(TRIM(P43)&lt;&gt;"",P43&lt;&gt;"None"))),ROW(),""))</f>
        <v/>
      </c>
      <c r="AC43" s="99">
        <f>IF(A43="","",IF(G43="Completed","Done",IF(G43="Blocked","Blocked",IF(X43="OVERDUE","Overdue",IF(AND(W43&lt;&gt;"",W43&lt;=2),"Due soon",IF(AND(Y43&lt;&gt;"",LEFT(Y43,1)="⏳",G43&lt;&gt;"Not Started"),"Dependency open",IF(AND(S43&lt;&gt;"None",S43&lt;&gt;"",G43&lt;&gt;"Completed"),"External req.","On track")))))))</f>
        <v/>
      </c>
    </row>
    <row r="44" ht="62" customHeight="1">
      <c r="A44" s="89" t="inlineStr">
        <is>
          <t>P2-22</t>
        </is>
      </c>
      <c r="B44" s="90" t="inlineStr">
        <is>
          <t>Phase 2</t>
        </is>
      </c>
      <c r="C44" s="91" t="inlineStr">
        <is>
          <t>Most Read</t>
        </is>
      </c>
      <c r="D44" s="91" t="inlineStr">
        <is>
          <t>Most-read widget &amp; view counter</t>
        </is>
      </c>
      <c r="E44" s="91" t="inlineStr">
        <is>
          <t>Reuse legacy JNews view meta if present (see P6-04), else lightweight counter via REST beacon (works behind page cache) with bot filtering &amp; throttling; 24h/7d/30d tabs; cached; usable as widget and homepage block.</t>
        </is>
      </c>
      <c r="F44" s="90" t="inlineStr">
        <is>
          <t>P0</t>
        </is>
      </c>
      <c r="G44" s="92" t="inlineStr">
        <is>
          <t>In Review</t>
        </is>
      </c>
      <c r="H44" s="93" t="n">
        <v>46312</v>
      </c>
      <c r="I44" s="93" t="n">
        <v>46312</v>
      </c>
      <c r="J44" s="94" t="n">
        <v>0.85</v>
      </c>
      <c r="K44" s="91" t="inlineStr">
        <is>
          <t>P1-14, P6-04</t>
        </is>
      </c>
      <c r="L44" s="91" t="inlineStr">
        <is>
          <t>Staging (Hostinger)</t>
        </is>
      </c>
      <c r="M44" s="91" t="inlineStr">
        <is>
          <t>inc/most-read.php, inc/widgets/most-read-widget.php, assets/js/modules/views.js</t>
        </is>
      </c>
      <c r="N44" s="91" t="inlineStr">
        <is>
          <t>Open articles in private windows; counts increase once per session; tabs switch</t>
        </is>
      </c>
      <c r="O44" s="91" t="inlineStr">
        <is>
          <t>Most-read list accurate, cached, and works with LiteSpeed page cache</t>
        </is>
      </c>
      <c r="P44" s="95" t="n"/>
      <c r="Q44" s="95" t="inlineStr">
        <is>
          <t>most_read widget + strategy built. Verify view counting works behind LiteSpeed page cache.</t>
        </is>
      </c>
      <c r="R44" s="96" t="n"/>
      <c r="S44" s="91" t="inlineStr">
        <is>
          <t>None</t>
        </is>
      </c>
      <c r="T44" s="92" t="inlineStr">
        <is>
          <t>Not Tested</t>
        </is>
      </c>
      <c r="U44" s="97">
        <f>IF(A44="",0,IF(G44="Completed",1,IF(G44="Not Started",0,MIN(0.99,N(J44)))))</f>
        <v/>
      </c>
      <c r="V44" s="97">
        <f>IF(OR(A44="",H44="",I44=""),0,MAX(0,MIN(1,(StatusDate-H44+1)/(I44-H44+1))))</f>
        <v/>
      </c>
      <c r="W44" s="98">
        <f>IF(OR(A44="",I44="",G44="Completed"),"",I44-StatusDate)</f>
        <v/>
      </c>
      <c r="X44" s="99">
        <f>IF(A44="","",IF(AND(G44&lt;&gt;"Completed",I44&lt;&gt;"",I44&lt;StatusDate),"OVERDUE",""))</f>
        <v/>
      </c>
      <c r="Y44" s="99">
        <f>IF(OR(A44="",K44=""),"",IF(SUMPRODUCT(($A$6:$A$400&lt;&gt;"")*ISNUMBER(SEARCH($A$6:$A$400,K44))*($G$6:$G$400&lt;&gt;"Completed"))=0,"✓ Ready","⏳ "&amp;SUMPRODUCT(($A$6:$A$400&lt;&gt;"")*ISNUMBER(SEARCH($A$6:$A$400,K44))*($G$6:$G$400&lt;&gt;"Completed"))&amp;" open"))</f>
        <v/>
      </c>
      <c r="Z44" s="99">
        <f>IF(A44="","",B44&amp;"|"&amp;COUNTIFS($B$6:B44,B44,$A$6:A44,"?*"))</f>
        <v/>
      </c>
      <c r="AA44" s="99">
        <f>IF(OR(A44="",I44="",G44="Completed"),"",IF(I44&gt;=StatusDate,I44+ROW()/100000,""))</f>
        <v/>
      </c>
      <c r="AB44" s="99">
        <f>IF(A44="","",IF(AND(G44&lt;&gt;"Completed",OR(G44="Blocked",AND(TRIM(P44)&lt;&gt;"",P44&lt;&gt;"None"))),ROW(),""))</f>
        <v/>
      </c>
      <c r="AC44" s="99">
        <f>IF(A44="","",IF(G44="Completed","Done",IF(G44="Blocked","Blocked",IF(X44="OVERDUE","Overdue",IF(AND(W44&lt;&gt;"",W44&lt;=2),"Due soon",IF(AND(Y44&lt;&gt;"",LEFT(Y44,1)="⏳",G44&lt;&gt;"Not Started"),"Dependency open",IF(AND(S44&lt;&gt;"None",S44&lt;&gt;"",G44&lt;&gt;"Completed"),"External req.","On track")))))))</f>
        <v/>
      </c>
    </row>
    <row r="45" ht="62" customHeight="1">
      <c r="A45" s="89" t="inlineStr">
        <is>
          <t>P2-23</t>
        </is>
      </c>
      <c r="B45" s="90" t="inlineStr">
        <is>
          <t>Phase 2</t>
        </is>
      </c>
      <c r="C45" s="91" t="inlineStr">
        <is>
          <t>AdOps</t>
        </is>
      </c>
      <c r="D45" s="91" t="inlineStr">
        <is>
          <t>Homepage advertisement slots</t>
        </is>
      </c>
      <c r="E45" s="91" t="inlineStr">
        <is>
          <t>Leaderboard/MPU slots between sections managed via Customizer/widgets (image+link or ad code), lazy-loaded, reserved space to avoid CLS.</t>
        </is>
      </c>
      <c r="F45" s="90" t="inlineStr">
        <is>
          <t>P1</t>
        </is>
      </c>
      <c r="G45" s="92" t="inlineStr">
        <is>
          <t>In Progress</t>
        </is>
      </c>
      <c r="H45" s="93" t="n">
        <v>46312</v>
      </c>
      <c r="I45" s="93" t="n">
        <v>46312</v>
      </c>
      <c r="J45" s="94" t="n">
        <v>0.4</v>
      </c>
      <c r="K45" s="91" t="inlineStr">
        <is>
          <t>P2-01</t>
        </is>
      </c>
      <c r="L45" s="91" t="inlineStr">
        <is>
          <t>Staging (Hostinger)</t>
        </is>
      </c>
      <c r="M45" s="91" t="inlineStr">
        <is>
          <t>template-parts/components/ad-slot.php</t>
        </is>
      </c>
      <c r="N45" s="91" t="inlineStr">
        <is>
          <t>Add an ad in Customizer; check placement &amp; no layout shift</t>
        </is>
      </c>
      <c r="O45" s="91" t="inlineStr">
        <is>
          <t>Ads managed without code; no CLS</t>
        </is>
      </c>
      <c r="P45" s="95" t="n"/>
      <c r="Q45" s="95" t="inlineStr">
        <is>
          <t>Advertising tab in Theme Options. Open: homepage slot placement + CLS check.</t>
        </is>
      </c>
      <c r="R45" s="96" t="n"/>
      <c r="S45" s="91" t="inlineStr">
        <is>
          <t>None</t>
        </is>
      </c>
      <c r="T45" s="92" t="inlineStr">
        <is>
          <t>Not Tested</t>
        </is>
      </c>
      <c r="U45" s="97">
        <f>IF(A45="",0,IF(G45="Completed",1,IF(G45="Not Started",0,MIN(0.99,N(J45)))))</f>
        <v/>
      </c>
      <c r="V45" s="97">
        <f>IF(OR(A45="",H45="",I45=""),0,MAX(0,MIN(1,(StatusDate-H45+1)/(I45-H45+1))))</f>
        <v/>
      </c>
      <c r="W45" s="98">
        <f>IF(OR(A45="",I45="",G45="Completed"),"",I45-StatusDate)</f>
        <v/>
      </c>
      <c r="X45" s="99">
        <f>IF(A45="","",IF(AND(G45&lt;&gt;"Completed",I45&lt;&gt;"",I45&lt;StatusDate),"OVERDUE",""))</f>
        <v/>
      </c>
      <c r="Y45" s="99">
        <f>IF(OR(A45="",K45=""),"",IF(SUMPRODUCT(($A$6:$A$400&lt;&gt;"")*ISNUMBER(SEARCH($A$6:$A$400,K45))*($G$6:$G$400&lt;&gt;"Completed"))=0,"✓ Ready","⏳ "&amp;SUMPRODUCT(($A$6:$A$400&lt;&gt;"")*ISNUMBER(SEARCH($A$6:$A$400,K45))*($G$6:$G$400&lt;&gt;"Completed"))&amp;" open"))</f>
        <v/>
      </c>
      <c r="Z45" s="99">
        <f>IF(A45="","",B45&amp;"|"&amp;COUNTIFS($B$6:B45,B45,$A$6:A45,"?*"))</f>
        <v/>
      </c>
      <c r="AA45" s="99">
        <f>IF(OR(A45="",I45="",G45="Completed"),"",IF(I45&gt;=StatusDate,I45+ROW()/100000,""))</f>
        <v/>
      </c>
      <c r="AB45" s="99">
        <f>IF(A45="","",IF(AND(G45&lt;&gt;"Completed",OR(G45="Blocked",AND(TRIM(P45)&lt;&gt;"",P45&lt;&gt;"None"))),ROW(),""))</f>
        <v/>
      </c>
      <c r="AC45" s="99">
        <f>IF(A45="","",IF(G45="Completed","Done",IF(G45="Blocked","Blocked",IF(X45="OVERDUE","Overdue",IF(AND(W45&lt;&gt;"",W45&lt;=2),"Due soon",IF(AND(Y45&lt;&gt;"",LEFT(Y45,1)="⏳",G45&lt;&gt;"Not Started"),"Dependency open",IF(AND(S45&lt;&gt;"None",S45&lt;&gt;"",G45&lt;&gt;"Completed"),"External req.","On track")))))))</f>
        <v/>
      </c>
    </row>
    <row r="46" ht="62" customHeight="1">
      <c r="A46" s="89" t="inlineStr">
        <is>
          <t>P2-24</t>
        </is>
      </c>
      <c r="B46" s="90" t="inlineStr">
        <is>
          <t>Phase 2</t>
        </is>
      </c>
      <c r="C46" s="91" t="inlineStr">
        <is>
          <t>Phase QA</t>
        </is>
      </c>
      <c r="D46" s="91" t="inlineStr">
        <is>
          <t>Homepage performance &amp; responsive sign-off</t>
        </is>
      </c>
      <c r="E46" s="91" t="inlineStr">
        <is>
          <t>Query Monitor (queries/time), Lighthouse mobile, RTL/responsive pass; share staging link with client for feedback.</t>
        </is>
      </c>
      <c r="F46" s="90" t="inlineStr">
        <is>
          <t>P0</t>
        </is>
      </c>
      <c r="G46" s="92" t="inlineStr">
        <is>
          <t>Not Started</t>
        </is>
      </c>
      <c r="H46" s="93" t="n">
        <v>46312</v>
      </c>
      <c r="I46" s="93" t="n">
        <v>46312</v>
      </c>
      <c r="J46" s="94" t="n">
        <v>0</v>
      </c>
      <c r="K46" s="91" t="inlineStr">
        <is>
          <t>P2-09, P2-10, P2-22</t>
        </is>
      </c>
      <c r="L46" s="91" t="inlineStr">
        <is>
          <t>Staging (Hostinger)</t>
        </is>
      </c>
      <c r="M46" s="91" t="inlineStr">
        <is>
          <t>front-page.php</t>
        </is>
      </c>
      <c r="N46" s="91" t="inlineStr">
        <is>
          <t>Lighthouse mobile run; Query Monitor warm/cold; 360/768/1440 check</t>
        </is>
      </c>
      <c r="O46" s="91" t="inlineStr">
        <is>
          <t>Homepage meets performance targets and is approved for Phase 3</t>
        </is>
      </c>
      <c r="P46" s="95" t="n"/>
      <c r="Q46" s="95" t="inlineStr">
        <is>
          <t>Homepage performance sign-off still open.</t>
        </is>
      </c>
      <c r="R46" s="96" t="n"/>
      <c r="S46" s="91" t="inlineStr">
        <is>
          <t>None</t>
        </is>
      </c>
      <c r="T46" s="92" t="inlineStr">
        <is>
          <t>Not Tested</t>
        </is>
      </c>
      <c r="U46" s="97">
        <f>IF(A46="",0,IF(G46="Completed",1,IF(G46="Not Started",0,MIN(0.99,N(J46)))))</f>
        <v/>
      </c>
      <c r="V46" s="97">
        <f>IF(OR(A46="",H46="",I46=""),0,MAX(0,MIN(1,(StatusDate-H46+1)/(I46-H46+1))))</f>
        <v/>
      </c>
      <c r="W46" s="98">
        <f>IF(OR(A46="",I46="",G46="Completed"),"",I46-StatusDate)</f>
        <v/>
      </c>
      <c r="X46" s="99">
        <f>IF(A46="","",IF(AND(G46&lt;&gt;"Completed",I46&lt;&gt;"",I46&lt;StatusDate),"OVERDUE",""))</f>
        <v/>
      </c>
      <c r="Y46" s="99">
        <f>IF(OR(A46="",K46=""),"",IF(SUMPRODUCT(($A$6:$A$400&lt;&gt;"")*ISNUMBER(SEARCH($A$6:$A$400,K46))*($G$6:$G$400&lt;&gt;"Completed"))=0,"✓ Ready","⏳ "&amp;SUMPRODUCT(($A$6:$A$400&lt;&gt;"")*ISNUMBER(SEARCH($A$6:$A$400,K46))*($G$6:$G$400&lt;&gt;"Completed"))&amp;" open"))</f>
        <v/>
      </c>
      <c r="Z46" s="99">
        <f>IF(A46="","",B46&amp;"|"&amp;COUNTIFS($B$6:B46,B46,$A$6:A46,"?*"))</f>
        <v/>
      </c>
      <c r="AA46" s="99">
        <f>IF(OR(A46="",I46="",G46="Completed"),"",IF(I46&gt;=StatusDate,I46+ROW()/100000,""))</f>
        <v/>
      </c>
      <c r="AB46" s="99">
        <f>IF(A46="","",IF(AND(G46&lt;&gt;"Completed",OR(G46="Blocked",AND(TRIM(P46)&lt;&gt;"",P46&lt;&gt;"None"))),ROW(),""))</f>
        <v/>
      </c>
      <c r="AC46" s="99">
        <f>IF(A46="","",IF(G46="Completed","Done",IF(G46="Blocked","Blocked",IF(X46="OVERDUE","Overdue",IF(AND(W46&lt;&gt;"",W46&lt;=2),"Due soon",IF(AND(Y46&lt;&gt;"",LEFT(Y46,1)="⏳",G46&lt;&gt;"Not Started"),"Dependency open",IF(AND(S46&lt;&gt;"None",S46&lt;&gt;"",G46&lt;&gt;"Completed"),"External req.","On track")))))))</f>
        <v/>
      </c>
    </row>
    <row r="47" ht="62" customHeight="1">
      <c r="A47" s="89" t="inlineStr">
        <is>
          <t>P3-01</t>
        </is>
      </c>
      <c r="B47" s="90" t="inlineStr">
        <is>
          <t>Phase 3</t>
        </is>
      </c>
      <c r="C47" s="91" t="inlineStr">
        <is>
          <t>Single Article</t>
        </is>
      </c>
      <c r="D47" s="91" t="inlineStr">
        <is>
          <t>Single article template</t>
        </is>
      </c>
      <c r="E47" s="91" t="inlineStr">
        <is>
          <t>single.php: headline, subtitle/excerpt, featured image with caption &amp; credit, content typography, tags, author box, sidebar (most-read, ads).</t>
        </is>
      </c>
      <c r="F47" s="90" t="inlineStr">
        <is>
          <t>P0</t>
        </is>
      </c>
      <c r="G47" s="92" t="inlineStr">
        <is>
          <t>In Progress</t>
        </is>
      </c>
      <c r="H47" s="93" t="n">
        <v>46313</v>
      </c>
      <c r="I47" s="93" t="n">
        <v>46313</v>
      </c>
      <c r="J47" s="94" t="n">
        <v>0.5</v>
      </c>
      <c r="K47" s="91" t="inlineStr">
        <is>
          <t>P1-17</t>
        </is>
      </c>
      <c r="L47" s="91" t="inlineStr">
        <is>
          <t>Staging (Hostinger)</t>
        </is>
      </c>
      <c r="M47" s="91" t="inlineStr">
        <is>
          <t>single.php, template-parts/article/*.php</t>
        </is>
      </c>
      <c r="N47" s="91" t="inlineStr">
        <is>
          <t>Open 20 sample articles across years and categories</t>
        </is>
      </c>
      <c r="O47" s="91" t="inlineStr">
        <is>
          <t>Articles render correctly with full layout on all breakpoints</t>
        </is>
      </c>
      <c r="P47" s="95" t="n"/>
      <c r="Q47" s="95" t="inlineStr">
        <is>
          <t>single.php exists. Open: full editorial polish.</t>
        </is>
      </c>
      <c r="R47" s="96" t="n"/>
      <c r="S47" s="91" t="inlineStr">
        <is>
          <t>None</t>
        </is>
      </c>
      <c r="T47" s="92" t="inlineStr">
        <is>
          <t>Not Tested</t>
        </is>
      </c>
      <c r="U47" s="97">
        <f>IF(A47="",0,IF(G47="Completed",1,IF(G47="Not Started",0,MIN(0.99,N(J47)))))</f>
        <v/>
      </c>
      <c r="V47" s="97">
        <f>IF(OR(A47="",H47="",I47=""),0,MAX(0,MIN(1,(StatusDate-H47+1)/(I47-H47+1))))</f>
        <v/>
      </c>
      <c r="W47" s="98">
        <f>IF(OR(A47="",I47="",G47="Completed"),"",I47-StatusDate)</f>
        <v/>
      </c>
      <c r="X47" s="99">
        <f>IF(A47="","",IF(AND(G47&lt;&gt;"Completed",I47&lt;&gt;"",I47&lt;StatusDate),"OVERDUE",""))</f>
        <v/>
      </c>
      <c r="Y47" s="99">
        <f>IF(OR(A47="",K47=""),"",IF(SUMPRODUCT(($A$6:$A$400&lt;&gt;"")*ISNUMBER(SEARCH($A$6:$A$400,K47))*($G$6:$G$400&lt;&gt;"Completed"))=0,"✓ Ready","⏳ "&amp;SUMPRODUCT(($A$6:$A$400&lt;&gt;"")*ISNUMBER(SEARCH($A$6:$A$400,K47))*($G$6:$G$400&lt;&gt;"Completed"))&amp;" open"))</f>
        <v/>
      </c>
      <c r="Z47" s="99">
        <f>IF(A47="","",B47&amp;"|"&amp;COUNTIFS($B$6:B47,B47,$A$6:A47,"?*"))</f>
        <v/>
      </c>
      <c r="AA47" s="99">
        <f>IF(OR(A47="",I47="",G47="Completed"),"",IF(I47&gt;=StatusDate,I47+ROW()/100000,""))</f>
        <v/>
      </c>
      <c r="AB47" s="99">
        <f>IF(A47="","",IF(AND(G47&lt;&gt;"Completed",OR(G47="Blocked",AND(TRIM(P47)&lt;&gt;"",P47&lt;&gt;"None"))),ROW(),""))</f>
        <v/>
      </c>
      <c r="AC47" s="99">
        <f>IF(A47="","",IF(G47="Completed","Done",IF(G47="Blocked","Blocked",IF(X47="OVERDUE","Overdue",IF(AND(W47&lt;&gt;"",W47&lt;=2),"Due soon",IF(AND(Y47&lt;&gt;"",LEFT(Y47,1)="⏳",G47&lt;&gt;"Not Started"),"Dependency open",IF(AND(S47&lt;&gt;"None",S47&lt;&gt;"",G47&lt;&gt;"Completed"),"External req.","On track")))))))</f>
        <v/>
      </c>
    </row>
    <row r="48" ht="62" customHeight="1">
      <c r="A48" s="89" t="inlineStr">
        <is>
          <t>P3-02</t>
        </is>
      </c>
      <c r="B48" s="90" t="inlineStr">
        <is>
          <t>Phase 3</t>
        </is>
      </c>
      <c r="C48" s="91" t="inlineStr">
        <is>
          <t>Article Metadata</t>
        </is>
      </c>
      <c r="D48" s="91" t="inlineStr">
        <is>
          <t>Article metadata</t>
        </is>
      </c>
      <c r="E48" s="91" t="inlineStr">
        <is>
          <t>Author, publish &amp; updated dates (Arabic helpers), reading time, category badges, tags, view count.</t>
        </is>
      </c>
      <c r="F48" s="90" t="inlineStr">
        <is>
          <t>P0</t>
        </is>
      </c>
      <c r="G48" s="92" t="inlineStr">
        <is>
          <t>In Progress</t>
        </is>
      </c>
      <c r="H48" s="93" t="n">
        <v>46313</v>
      </c>
      <c r="I48" s="93" t="n">
        <v>46313</v>
      </c>
      <c r="J48" s="94" t="n">
        <v>0.5</v>
      </c>
      <c r="K48" s="91" t="inlineStr">
        <is>
          <t>P3-01, P1-15</t>
        </is>
      </c>
      <c r="L48" s="91" t="inlineStr">
        <is>
          <t>Staging (Hostinger)</t>
        </is>
      </c>
      <c r="M48" s="91" t="inlineStr">
        <is>
          <t>template-parts/article/meta.php</t>
        </is>
      </c>
      <c r="N48" s="91" t="inlineStr">
        <is>
          <t>Compare metadata with WP admin values for 10 posts</t>
        </is>
      </c>
      <c r="O48" s="91" t="inlineStr">
        <is>
          <t>Metadata accurate and localized</t>
        </is>
      </c>
      <c r="P48" s="95" t="n"/>
      <c r="Q48" s="95" t="inlineStr">
        <is>
          <t>Date + reading-time helpers available. Open: full metadata block.</t>
        </is>
      </c>
      <c r="R48" s="96" t="n"/>
      <c r="S48" s="91" t="inlineStr">
        <is>
          <t>None</t>
        </is>
      </c>
      <c r="T48" s="92" t="inlineStr">
        <is>
          <t>Not Tested</t>
        </is>
      </c>
      <c r="U48" s="97">
        <f>IF(A48="",0,IF(G48="Completed",1,IF(G48="Not Started",0,MIN(0.99,N(J48)))))</f>
        <v/>
      </c>
      <c r="V48" s="97">
        <f>IF(OR(A48="",H48="",I48=""),0,MAX(0,MIN(1,(StatusDate-H48+1)/(I48-H48+1))))</f>
        <v/>
      </c>
      <c r="W48" s="98">
        <f>IF(OR(A48="",I48="",G48="Completed"),"",I48-StatusDate)</f>
        <v/>
      </c>
      <c r="X48" s="99">
        <f>IF(A48="","",IF(AND(G48&lt;&gt;"Completed",I48&lt;&gt;"",I48&lt;StatusDate),"OVERDUE",""))</f>
        <v/>
      </c>
      <c r="Y48" s="99">
        <f>IF(OR(A48="",K48=""),"",IF(SUMPRODUCT(($A$6:$A$400&lt;&gt;"")*ISNUMBER(SEARCH($A$6:$A$400,K48))*($G$6:$G$400&lt;&gt;"Completed"))=0,"✓ Ready","⏳ "&amp;SUMPRODUCT(($A$6:$A$400&lt;&gt;"")*ISNUMBER(SEARCH($A$6:$A$400,K48))*($G$6:$G$400&lt;&gt;"Completed"))&amp;" open"))</f>
        <v/>
      </c>
      <c r="Z48" s="99">
        <f>IF(A48="","",B48&amp;"|"&amp;COUNTIFS($B$6:B48,B48,$A$6:A48,"?*"))</f>
        <v/>
      </c>
      <c r="AA48" s="99">
        <f>IF(OR(A48="",I48="",G48="Completed"),"",IF(I48&gt;=StatusDate,I48+ROW()/100000,""))</f>
        <v/>
      </c>
      <c r="AB48" s="99">
        <f>IF(A48="","",IF(AND(G48&lt;&gt;"Completed",OR(G48="Blocked",AND(TRIM(P48)&lt;&gt;"",P48&lt;&gt;"None"))),ROW(),""))</f>
        <v/>
      </c>
      <c r="AC48" s="99">
        <f>IF(A48="","",IF(G48="Completed","Done",IF(G48="Blocked","Blocked",IF(X48="OVERDUE","Overdue",IF(AND(W48&lt;&gt;"",W48&lt;=2),"Due soon",IF(AND(Y48&lt;&gt;"",LEFT(Y48,1)="⏳",G48&lt;&gt;"Not Started"),"Dependency open",IF(AND(S48&lt;&gt;"None",S48&lt;&gt;"",G48&lt;&gt;"Completed"),"External req.","On track")))))))</f>
        <v/>
      </c>
    </row>
    <row r="49" ht="62" customHeight="1">
      <c r="A49" s="89" t="inlineStr">
        <is>
          <t>P3-03</t>
        </is>
      </c>
      <c r="B49" s="90" t="inlineStr">
        <is>
          <t>Phase 3</t>
        </is>
      </c>
      <c r="C49" s="91" t="inlineStr">
        <is>
          <t>Legacy Content</t>
        </is>
      </c>
      <c r="D49" s="91" t="inlineStr">
        <is>
          <t>Legacy JNews content &amp; shortcode rendering</t>
        </is>
      </c>
      <c r="E49" s="91" t="inlineStr">
        <is>
          <t>Render or gracefully strip JNews shortcodes/legacy markup found in the audit; style classic &amp; Gutenberg content (images, captions, galleries, embeds, tables, blockquotes).</t>
        </is>
      </c>
      <c r="F49" s="90" t="inlineStr">
        <is>
          <t>P0</t>
        </is>
      </c>
      <c r="G49" s="92" t="inlineStr">
        <is>
          <t>Not Started</t>
        </is>
      </c>
      <c r="H49" s="93" t="n">
        <v>46313</v>
      </c>
      <c r="I49" s="93" t="n">
        <v>46313</v>
      </c>
      <c r="J49" s="94" t="n">
        <v>0</v>
      </c>
      <c r="K49" s="91" t="inlineStr">
        <is>
          <t>P3-01, P6-04</t>
        </is>
      </c>
      <c r="L49" s="91" t="inlineStr">
        <is>
          <t>Staging (Hostinger)</t>
        </is>
      </c>
      <c r="M49" s="91" t="inlineStr">
        <is>
          <t>inc/legacy-shortcodes.php, assets/css/content.css</t>
        </is>
      </c>
      <c r="N49" s="91" t="inlineStr">
        <is>
          <t>Open posts flagged in P6-04 audit; no raw [shortcodes] visible</t>
        </is>
      </c>
      <c r="O49" s="91" t="inlineStr">
        <is>
          <t>No raw shortcodes or broken legacy markup in any of the 2,645 articles</t>
        </is>
      </c>
      <c r="P49" s="95" t="n"/>
      <c r="Q49" s="95" t="n"/>
      <c r="R49" s="96" t="n"/>
      <c r="S49" s="91" t="inlineStr">
        <is>
          <t>None</t>
        </is>
      </c>
      <c r="T49" s="92" t="inlineStr">
        <is>
          <t>Not Tested</t>
        </is>
      </c>
      <c r="U49" s="97">
        <f>IF(A49="",0,IF(G49="Completed",1,IF(G49="Not Started",0,MIN(0.99,N(J49)))))</f>
        <v/>
      </c>
      <c r="V49" s="97">
        <f>IF(OR(A49="",H49="",I49=""),0,MAX(0,MIN(1,(StatusDate-H49+1)/(I49-H49+1))))</f>
        <v/>
      </c>
      <c r="W49" s="98">
        <f>IF(OR(A49="",I49="",G49="Completed"),"",I49-StatusDate)</f>
        <v/>
      </c>
      <c r="X49" s="99">
        <f>IF(A49="","",IF(AND(G49&lt;&gt;"Completed",I49&lt;&gt;"",I49&lt;StatusDate),"OVERDUE",""))</f>
        <v/>
      </c>
      <c r="Y49" s="99">
        <f>IF(OR(A49="",K49=""),"",IF(SUMPRODUCT(($A$6:$A$400&lt;&gt;"")*ISNUMBER(SEARCH($A$6:$A$400,K49))*($G$6:$G$400&lt;&gt;"Completed"))=0,"✓ Ready","⏳ "&amp;SUMPRODUCT(($A$6:$A$400&lt;&gt;"")*ISNUMBER(SEARCH($A$6:$A$400,K49))*($G$6:$G$400&lt;&gt;"Completed"))&amp;" open"))</f>
        <v/>
      </c>
      <c r="Z49" s="99">
        <f>IF(A49="","",B49&amp;"|"&amp;COUNTIFS($B$6:B49,B49,$A$6:A49,"?*"))</f>
        <v/>
      </c>
      <c r="AA49" s="99">
        <f>IF(OR(A49="",I49="",G49="Completed"),"",IF(I49&gt;=StatusDate,I49+ROW()/100000,""))</f>
        <v/>
      </c>
      <c r="AB49" s="99">
        <f>IF(A49="","",IF(AND(G49&lt;&gt;"Completed",OR(G49="Blocked",AND(TRIM(P49)&lt;&gt;"",P49&lt;&gt;"None"))),ROW(),""))</f>
        <v/>
      </c>
      <c r="AC49" s="99">
        <f>IF(A49="","",IF(G49="Completed","Done",IF(G49="Blocked","Blocked",IF(X49="OVERDUE","Overdue",IF(AND(W49&lt;&gt;"",W49&lt;=2),"Due soon",IF(AND(Y49&lt;&gt;"",LEFT(Y49,1)="⏳",G49&lt;&gt;"Not Started"),"Dependency open",IF(AND(S49&lt;&gt;"None",S49&lt;&gt;"",G49&lt;&gt;"Completed"),"External req.","On track")))))))</f>
        <v/>
      </c>
    </row>
    <row r="50" ht="62" customHeight="1">
      <c r="A50" s="89" t="inlineStr">
        <is>
          <t>P3-04</t>
        </is>
      </c>
      <c r="B50" s="90" t="inlineStr">
        <is>
          <t>Phase 3</t>
        </is>
      </c>
      <c r="C50" s="91" t="inlineStr">
        <is>
          <t>Engagement</t>
        </is>
      </c>
      <c r="D50" s="91" t="inlineStr">
        <is>
          <t>Reading progress bar</t>
        </is>
      </c>
      <c r="E50" s="91" t="inlineStr">
        <is>
          <t>Vanilla JS progress indicator (requestAnimationFrame), RTL fill direction, hidden on short posts.</t>
        </is>
      </c>
      <c r="F50" s="90" t="inlineStr">
        <is>
          <t>P1</t>
        </is>
      </c>
      <c r="G50" s="92" t="inlineStr">
        <is>
          <t>Not Started</t>
        </is>
      </c>
      <c r="H50" s="93" t="n">
        <v>46313</v>
      </c>
      <c r="I50" s="93" t="n">
        <v>46313</v>
      </c>
      <c r="J50" s="94" t="n">
        <v>0</v>
      </c>
      <c r="K50" s="91" t="inlineStr">
        <is>
          <t>P3-01</t>
        </is>
      </c>
      <c r="L50" s="91" t="inlineStr">
        <is>
          <t>Staging (Hostinger)</t>
        </is>
      </c>
      <c r="M50" s="91" t="inlineStr">
        <is>
          <t>assets/js/modules/progress.js</t>
        </is>
      </c>
      <c r="N50" s="91" t="inlineStr">
        <is>
          <t>Scroll long article; check direction and smoothness on mobile</t>
        </is>
      </c>
      <c r="O50" s="91" t="inlineStr">
        <is>
          <t>Progress bar accurate, smooth, RTL</t>
        </is>
      </c>
      <c r="P50" s="95" t="n"/>
      <c r="Q50" s="95" t="n"/>
      <c r="R50" s="96" t="n"/>
      <c r="S50" s="91" t="inlineStr">
        <is>
          <t>None</t>
        </is>
      </c>
      <c r="T50" s="92" t="inlineStr">
        <is>
          <t>Not Tested</t>
        </is>
      </c>
      <c r="U50" s="97">
        <f>IF(A50="",0,IF(G50="Completed",1,IF(G50="Not Started",0,MIN(0.99,N(J50)))))</f>
        <v/>
      </c>
      <c r="V50" s="97">
        <f>IF(OR(A50="",H50="",I50=""),0,MAX(0,MIN(1,(StatusDate-H50+1)/(I50-H50+1))))</f>
        <v/>
      </c>
      <c r="W50" s="98">
        <f>IF(OR(A50="",I50="",G50="Completed"),"",I50-StatusDate)</f>
        <v/>
      </c>
      <c r="X50" s="99">
        <f>IF(A50="","",IF(AND(G50&lt;&gt;"Completed",I50&lt;&gt;"",I50&lt;StatusDate),"OVERDUE",""))</f>
        <v/>
      </c>
      <c r="Y50" s="99">
        <f>IF(OR(A50="",K50=""),"",IF(SUMPRODUCT(($A$6:$A$400&lt;&gt;"")*ISNUMBER(SEARCH($A$6:$A$400,K50))*($G$6:$G$400&lt;&gt;"Completed"))=0,"✓ Ready","⏳ "&amp;SUMPRODUCT(($A$6:$A$400&lt;&gt;"")*ISNUMBER(SEARCH($A$6:$A$400,K50))*($G$6:$G$400&lt;&gt;"Completed"))&amp;" open"))</f>
        <v/>
      </c>
      <c r="Z50" s="99">
        <f>IF(A50="","",B50&amp;"|"&amp;COUNTIFS($B$6:B50,B50,$A$6:A50,"?*"))</f>
        <v/>
      </c>
      <c r="AA50" s="99">
        <f>IF(OR(A50="",I50="",G50="Completed"),"",IF(I50&gt;=StatusDate,I50+ROW()/100000,""))</f>
        <v/>
      </c>
      <c r="AB50" s="99">
        <f>IF(A50="","",IF(AND(G50&lt;&gt;"Completed",OR(G50="Blocked",AND(TRIM(P50)&lt;&gt;"",P50&lt;&gt;"None"))),ROW(),""))</f>
        <v/>
      </c>
      <c r="AC50" s="99">
        <f>IF(A50="","",IF(G50="Completed","Done",IF(G50="Blocked","Blocked",IF(X50="OVERDUE","Overdue",IF(AND(W50&lt;&gt;"",W50&lt;=2),"Due soon",IF(AND(Y50&lt;&gt;"",LEFT(Y50,1)="⏳",G50&lt;&gt;"Not Started"),"Dependency open",IF(AND(S50&lt;&gt;"None",S50&lt;&gt;"",G50&lt;&gt;"Completed"),"External req.","On track")))))))</f>
        <v/>
      </c>
    </row>
    <row r="51" ht="62" customHeight="1">
      <c r="A51" s="89" t="inlineStr">
        <is>
          <t>P3-05</t>
        </is>
      </c>
      <c r="B51" s="90" t="inlineStr">
        <is>
          <t>Phase 3</t>
        </is>
      </c>
      <c r="C51" s="91" t="inlineStr">
        <is>
          <t>Engagement</t>
        </is>
      </c>
      <c r="D51" s="91" t="inlineStr">
        <is>
          <t>Social sharing</t>
        </is>
      </c>
      <c r="E51" s="91" t="inlineStr">
        <is>
          <t>WhatsApp, X, Facebook, LinkedIn, Telegram, copy-link and native Web Share API on mobile; no third-party scripts.</t>
        </is>
      </c>
      <c r="F51" s="90" t="inlineStr">
        <is>
          <t>P1</t>
        </is>
      </c>
      <c r="G51" s="92" t="inlineStr">
        <is>
          <t>Not Started</t>
        </is>
      </c>
      <c r="H51" s="93" t="n">
        <v>46313</v>
      </c>
      <c r="I51" s="93" t="n">
        <v>46313</v>
      </c>
      <c r="J51" s="94" t="n">
        <v>0</v>
      </c>
      <c r="K51" s="91" t="inlineStr">
        <is>
          <t>P3-01</t>
        </is>
      </c>
      <c r="L51" s="91" t="inlineStr">
        <is>
          <t>Staging (Hostinger)</t>
        </is>
      </c>
      <c r="M51" s="91" t="inlineStr">
        <is>
          <t>template-parts/article/share.php, assets/js/modules/share.js</t>
        </is>
      </c>
      <c r="N51" s="91" t="inlineStr">
        <is>
          <t>Share each network; check URL encoding of Arabic titles</t>
        </is>
      </c>
      <c r="O51" s="91" t="inlineStr">
        <is>
          <t>All share targets open with correct title and URL</t>
        </is>
      </c>
      <c r="P51" s="95" t="n"/>
      <c r="Q51" s="95" t="n"/>
      <c r="R51" s="96" t="n"/>
      <c r="S51" s="91" t="inlineStr">
        <is>
          <t>None</t>
        </is>
      </c>
      <c r="T51" s="92" t="inlineStr">
        <is>
          <t>Not Tested</t>
        </is>
      </c>
      <c r="U51" s="97">
        <f>IF(A51="",0,IF(G51="Completed",1,IF(G51="Not Started",0,MIN(0.99,N(J51)))))</f>
        <v/>
      </c>
      <c r="V51" s="97">
        <f>IF(OR(A51="",H51="",I51=""),0,MAX(0,MIN(1,(StatusDate-H51+1)/(I51-H51+1))))</f>
        <v/>
      </c>
      <c r="W51" s="98">
        <f>IF(OR(A51="",I51="",G51="Completed"),"",I51-StatusDate)</f>
        <v/>
      </c>
      <c r="X51" s="99">
        <f>IF(A51="","",IF(AND(G51&lt;&gt;"Completed",I51&lt;&gt;"",I51&lt;StatusDate),"OVERDUE",""))</f>
        <v/>
      </c>
      <c r="Y51" s="99">
        <f>IF(OR(A51="",K51=""),"",IF(SUMPRODUCT(($A$6:$A$400&lt;&gt;"")*ISNUMBER(SEARCH($A$6:$A$400,K51))*($G$6:$G$400&lt;&gt;"Completed"))=0,"✓ Ready","⏳ "&amp;SUMPRODUCT(($A$6:$A$400&lt;&gt;"")*ISNUMBER(SEARCH($A$6:$A$400,K51))*($G$6:$G$400&lt;&gt;"Completed"))&amp;" open"))</f>
        <v/>
      </c>
      <c r="Z51" s="99">
        <f>IF(A51="","",B51&amp;"|"&amp;COUNTIFS($B$6:B51,B51,$A$6:A51,"?*"))</f>
        <v/>
      </c>
      <c r="AA51" s="99">
        <f>IF(OR(A51="",I51="",G51="Completed"),"",IF(I51&gt;=StatusDate,I51+ROW()/100000,""))</f>
        <v/>
      </c>
      <c r="AB51" s="99">
        <f>IF(A51="","",IF(AND(G51&lt;&gt;"Completed",OR(G51="Blocked",AND(TRIM(P51)&lt;&gt;"",P51&lt;&gt;"None"))),ROW(),""))</f>
        <v/>
      </c>
      <c r="AC51" s="99">
        <f>IF(A51="","",IF(G51="Completed","Done",IF(G51="Blocked","Blocked",IF(X51="OVERDUE","Overdue",IF(AND(W51&lt;&gt;"",W51&lt;=2),"Due soon",IF(AND(Y51&lt;&gt;"",LEFT(Y51,1)="⏳",G51&lt;&gt;"Not Started"),"Dependency open",IF(AND(S51&lt;&gt;"None",S51&lt;&gt;"",G51&lt;&gt;"Completed"),"External req.","On track")))))))</f>
        <v/>
      </c>
    </row>
    <row r="52" ht="62" customHeight="1">
      <c r="A52" s="89" t="inlineStr">
        <is>
          <t>P3-06</t>
        </is>
      </c>
      <c r="B52" s="90" t="inlineStr">
        <is>
          <t>Phase 3</t>
        </is>
      </c>
      <c r="C52" s="91" t="inlineStr">
        <is>
          <t>AdOps</t>
        </is>
      </c>
      <c r="D52" s="91" t="inlineStr">
        <is>
          <t>In-article advertisement injection</t>
        </is>
      </c>
      <c r="E52" s="91" t="inlineStr">
        <is>
          <t>the_content filter injects ad slot after paragraph N and every M paragraphs; skips short articles; never inside blockquote/table/embed; configurable in Customizer.</t>
        </is>
      </c>
      <c r="F52" s="90" t="inlineStr">
        <is>
          <t>P1</t>
        </is>
      </c>
      <c r="G52" s="92" t="inlineStr">
        <is>
          <t>Not Started</t>
        </is>
      </c>
      <c r="H52" s="93" t="n">
        <v>46313</v>
      </c>
      <c r="I52" s="93" t="n">
        <v>46314</v>
      </c>
      <c r="J52" s="94" t="n">
        <v>0</v>
      </c>
      <c r="K52" s="91" t="inlineStr">
        <is>
          <t>P3-01, P2-23</t>
        </is>
      </c>
      <c r="L52" s="91" t="inlineStr">
        <is>
          <t>Staging (Hostinger)</t>
        </is>
      </c>
      <c r="M52" s="91" t="inlineStr">
        <is>
          <t>inc/content-filters.php</t>
        </is>
      </c>
      <c r="N52" s="91" t="inlineStr">
        <is>
          <t>Test short, long and embed-heavy articles</t>
        </is>
      </c>
      <c r="O52" s="91" t="inlineStr">
        <is>
          <t>Ads appear at configured positions without breaking content</t>
        </is>
      </c>
      <c r="P52" s="95" t="n"/>
      <c r="Q52" s="95" t="n"/>
      <c r="R52" s="96" t="n"/>
      <c r="S52" s="91" t="inlineStr">
        <is>
          <t>None</t>
        </is>
      </c>
      <c r="T52" s="92" t="inlineStr">
        <is>
          <t>Not Tested</t>
        </is>
      </c>
      <c r="U52" s="97">
        <f>IF(A52="",0,IF(G52="Completed",1,IF(G52="Not Started",0,MIN(0.99,N(J52)))))</f>
        <v/>
      </c>
      <c r="V52" s="97">
        <f>IF(OR(A52="",H52="",I52=""),0,MAX(0,MIN(1,(StatusDate-H52+1)/(I52-H52+1))))</f>
        <v/>
      </c>
      <c r="W52" s="98">
        <f>IF(OR(A52="",I52="",G52="Completed"),"",I52-StatusDate)</f>
        <v/>
      </c>
      <c r="X52" s="99">
        <f>IF(A52="","",IF(AND(G52&lt;&gt;"Completed",I52&lt;&gt;"",I52&lt;StatusDate),"OVERDUE",""))</f>
        <v/>
      </c>
      <c r="Y52" s="99">
        <f>IF(OR(A52="",K52=""),"",IF(SUMPRODUCT(($A$6:$A$400&lt;&gt;"")*ISNUMBER(SEARCH($A$6:$A$400,K52))*($G$6:$G$400&lt;&gt;"Completed"))=0,"✓ Ready","⏳ "&amp;SUMPRODUCT(($A$6:$A$400&lt;&gt;"")*ISNUMBER(SEARCH($A$6:$A$400,K52))*($G$6:$G$400&lt;&gt;"Completed"))&amp;" open"))</f>
        <v/>
      </c>
      <c r="Z52" s="99">
        <f>IF(A52="","",B52&amp;"|"&amp;COUNTIFS($B$6:B52,B52,$A$6:A52,"?*"))</f>
        <v/>
      </c>
      <c r="AA52" s="99">
        <f>IF(OR(A52="",I52="",G52="Completed"),"",IF(I52&gt;=StatusDate,I52+ROW()/100000,""))</f>
        <v/>
      </c>
      <c r="AB52" s="99">
        <f>IF(A52="","",IF(AND(G52&lt;&gt;"Completed",OR(G52="Blocked",AND(TRIM(P52)&lt;&gt;"",P52&lt;&gt;"None"))),ROW(),""))</f>
        <v/>
      </c>
      <c r="AC52" s="99">
        <f>IF(A52="","",IF(G52="Completed","Done",IF(G52="Blocked","Blocked",IF(X52="OVERDUE","Overdue",IF(AND(W52&lt;&gt;"",W52&lt;=2),"Due soon",IF(AND(Y52&lt;&gt;"",LEFT(Y52,1)="⏳",G52&lt;&gt;"Not Started"),"Dependency open",IF(AND(S52&lt;&gt;"None",S52&lt;&gt;"",G52&lt;&gt;"Completed"),"External req.","On track")))))))</f>
        <v/>
      </c>
    </row>
    <row r="53" ht="62" customHeight="1">
      <c r="A53" s="89" t="inlineStr">
        <is>
          <t>P3-07</t>
        </is>
      </c>
      <c r="B53" s="90" t="inlineStr">
        <is>
          <t>Phase 3</t>
        </is>
      </c>
      <c r="C53" s="91" t="inlineStr">
        <is>
          <t>Engagement</t>
        </is>
      </c>
      <c r="D53" s="91" t="inlineStr">
        <is>
          <t>Related articles</t>
        </is>
      </c>
      <c r="E53" s="91" t="inlineStr">
        <is>
          <t>Related posts by shared category + tags, cached, excludes current post, fallback to latest in category.</t>
        </is>
      </c>
      <c r="F53" s="90" t="inlineStr">
        <is>
          <t>P1</t>
        </is>
      </c>
      <c r="G53" s="92" t="inlineStr">
        <is>
          <t>In Progress</t>
        </is>
      </c>
      <c r="H53" s="93" t="n">
        <v>46314</v>
      </c>
      <c r="I53" s="93" t="n">
        <v>46314</v>
      </c>
      <c r="J53" s="94" t="n">
        <v>0.3</v>
      </c>
      <c r="K53" s="91" t="inlineStr">
        <is>
          <t>P3-01, P1-14</t>
        </is>
      </c>
      <c r="L53" s="91" t="inlineStr">
        <is>
          <t>Staging (Hostinger)</t>
        </is>
      </c>
      <c r="M53" s="91" t="inlineStr">
        <is>
          <t>template-parts/article/related.php</t>
        </is>
      </c>
      <c r="N53" s="91" t="inlineStr">
        <is>
          <t>Check relevance on 5 posts; check cache</t>
        </is>
      </c>
      <c r="O53" s="91" t="inlineStr">
        <is>
          <t>Related list relevant and cached</t>
        </is>
      </c>
      <c r="P53" s="95" t="n"/>
      <c r="Q53" s="95" t="inlineStr">
        <is>
          <t>Related articles exist; algorithm completeness open.</t>
        </is>
      </c>
      <c r="R53" s="96" t="n"/>
      <c r="S53" s="91" t="inlineStr">
        <is>
          <t>None</t>
        </is>
      </c>
      <c r="T53" s="92" t="inlineStr">
        <is>
          <t>Not Tested</t>
        </is>
      </c>
      <c r="U53" s="97">
        <f>IF(A53="",0,IF(G53="Completed",1,IF(G53="Not Started",0,MIN(0.99,N(J53)))))</f>
        <v/>
      </c>
      <c r="V53" s="97">
        <f>IF(OR(A53="",H53="",I53=""),0,MAX(0,MIN(1,(StatusDate-H53+1)/(I53-H53+1))))</f>
        <v/>
      </c>
      <c r="W53" s="98">
        <f>IF(OR(A53="",I53="",G53="Completed"),"",I53-StatusDate)</f>
        <v/>
      </c>
      <c r="X53" s="99">
        <f>IF(A53="","",IF(AND(G53&lt;&gt;"Completed",I53&lt;&gt;"",I53&lt;StatusDate),"OVERDUE",""))</f>
        <v/>
      </c>
      <c r="Y53" s="99">
        <f>IF(OR(A53="",K53=""),"",IF(SUMPRODUCT(($A$6:$A$400&lt;&gt;"")*ISNUMBER(SEARCH($A$6:$A$400,K53))*($G$6:$G$400&lt;&gt;"Completed"))=0,"✓ Ready","⏳ "&amp;SUMPRODUCT(($A$6:$A$400&lt;&gt;"")*ISNUMBER(SEARCH($A$6:$A$400,K53))*($G$6:$G$400&lt;&gt;"Completed"))&amp;" open"))</f>
        <v/>
      </c>
      <c r="Z53" s="99">
        <f>IF(A53="","",B53&amp;"|"&amp;COUNTIFS($B$6:B53,B53,$A$6:A53,"?*"))</f>
        <v/>
      </c>
      <c r="AA53" s="99">
        <f>IF(OR(A53="",I53="",G53="Completed"),"",IF(I53&gt;=StatusDate,I53+ROW()/100000,""))</f>
        <v/>
      </c>
      <c r="AB53" s="99">
        <f>IF(A53="","",IF(AND(G53&lt;&gt;"Completed",OR(G53="Blocked",AND(TRIM(P53)&lt;&gt;"",P53&lt;&gt;"None"))),ROW(),""))</f>
        <v/>
      </c>
      <c r="AC53" s="99">
        <f>IF(A53="","",IF(G53="Completed","Done",IF(G53="Blocked","Blocked",IF(X53="OVERDUE","Overdue",IF(AND(W53&lt;&gt;"",W53&lt;=2),"Due soon",IF(AND(Y53&lt;&gt;"",LEFT(Y53,1)="⏳",G53&lt;&gt;"Not Started"),"Dependency open",IF(AND(S53&lt;&gt;"None",S53&lt;&gt;"",G53&lt;&gt;"Completed"),"External req.","On track")))))))</f>
        <v/>
      </c>
    </row>
    <row r="54" ht="62" customHeight="1">
      <c r="A54" s="89" t="inlineStr">
        <is>
          <t>P3-08</t>
        </is>
      </c>
      <c r="B54" s="90" t="inlineStr">
        <is>
          <t>Phase 3</t>
        </is>
      </c>
      <c r="C54" s="91" t="inlineStr">
        <is>
          <t>Author Profiles</t>
        </is>
      </c>
      <c r="D54" s="91" t="inlineStr">
        <is>
          <t>Author box &amp; author profile template</t>
        </is>
      </c>
      <c r="E54" s="91" t="inlineStr">
        <is>
          <t>Author box on articles; author.php with avatar, bio, social links, role and paginated post list.</t>
        </is>
      </c>
      <c r="F54" s="90" t="inlineStr">
        <is>
          <t>P0</t>
        </is>
      </c>
      <c r="G54" s="92" t="inlineStr">
        <is>
          <t>Not Started</t>
        </is>
      </c>
      <c r="H54" s="93" t="n">
        <v>46314</v>
      </c>
      <c r="I54" s="93" t="n">
        <v>46314</v>
      </c>
      <c r="J54" s="94" t="n">
        <v>0</v>
      </c>
      <c r="K54" s="91" t="inlineStr">
        <is>
          <t>P1-06</t>
        </is>
      </c>
      <c r="L54" s="91" t="inlineStr">
        <is>
          <t>Staging (Hostinger)</t>
        </is>
      </c>
      <c r="M54" s="91" t="inlineStr">
        <is>
          <t>author.php, template-parts/article/author-box.php</t>
        </is>
      </c>
      <c r="N54" s="91" t="inlineStr">
        <is>
          <t>Open 5 author pages incl. one with no bio/avatar</t>
        </is>
      </c>
      <c r="O54" s="91" t="inlineStr">
        <is>
          <t>Every author has a working profile page</t>
        </is>
      </c>
      <c r="P54" s="95" t="n"/>
      <c r="Q54" s="95" t="n"/>
      <c r="R54" s="96" t="n"/>
      <c r="S54" s="91" t="inlineStr">
        <is>
          <t>None</t>
        </is>
      </c>
      <c r="T54" s="92" t="inlineStr">
        <is>
          <t>Not Tested</t>
        </is>
      </c>
      <c r="U54" s="97">
        <f>IF(A54="",0,IF(G54="Completed",1,IF(G54="Not Started",0,MIN(0.99,N(J54)))))</f>
        <v/>
      </c>
      <c r="V54" s="97">
        <f>IF(OR(A54="",H54="",I54=""),0,MAX(0,MIN(1,(StatusDate-H54+1)/(I54-H54+1))))</f>
        <v/>
      </c>
      <c r="W54" s="98">
        <f>IF(OR(A54="",I54="",G54="Completed"),"",I54-StatusDate)</f>
        <v/>
      </c>
      <c r="X54" s="99">
        <f>IF(A54="","",IF(AND(G54&lt;&gt;"Completed",I54&lt;&gt;"",I54&lt;StatusDate),"OVERDUE",""))</f>
        <v/>
      </c>
      <c r="Y54" s="99">
        <f>IF(OR(A54="",K54=""),"",IF(SUMPRODUCT(($A$6:$A$400&lt;&gt;"")*ISNUMBER(SEARCH($A$6:$A$400,K54))*($G$6:$G$400&lt;&gt;"Completed"))=0,"✓ Ready","⏳ "&amp;SUMPRODUCT(($A$6:$A$400&lt;&gt;"")*ISNUMBER(SEARCH($A$6:$A$400,K54))*($G$6:$G$400&lt;&gt;"Completed"))&amp;" open"))</f>
        <v/>
      </c>
      <c r="Z54" s="99">
        <f>IF(A54="","",B54&amp;"|"&amp;COUNTIFS($B$6:B54,B54,$A$6:A54,"?*"))</f>
        <v/>
      </c>
      <c r="AA54" s="99">
        <f>IF(OR(A54="",I54="",G54="Completed"),"",IF(I54&gt;=StatusDate,I54+ROW()/100000,""))</f>
        <v/>
      </c>
      <c r="AB54" s="99">
        <f>IF(A54="","",IF(AND(G54&lt;&gt;"Completed",OR(G54="Blocked",AND(TRIM(P54)&lt;&gt;"",P54&lt;&gt;"None"))),ROW(),""))</f>
        <v/>
      </c>
      <c r="AC54" s="99">
        <f>IF(A54="","",IF(G54="Completed","Done",IF(G54="Blocked","Blocked",IF(X54="OVERDUE","Overdue",IF(AND(W54&lt;&gt;"",W54&lt;=2),"Due soon",IF(AND(Y54&lt;&gt;"",LEFT(Y54,1)="⏳",G54&lt;&gt;"Not Started"),"Dependency open",IF(AND(S54&lt;&gt;"None",S54&lt;&gt;"",G54&lt;&gt;"Completed"),"External req.","On track")))))))</f>
        <v/>
      </c>
    </row>
    <row r="55" ht="62" customHeight="1">
      <c r="A55" s="89" t="inlineStr">
        <is>
          <t>P3-09</t>
        </is>
      </c>
      <c r="B55" s="90" t="inlineStr">
        <is>
          <t>Phase 3</t>
        </is>
      </c>
      <c r="C55" s="91" t="inlineStr">
        <is>
          <t>Category Archives</t>
        </is>
      </c>
      <c r="D55" s="91" t="inlineStr">
        <is>
          <t>Category archive template</t>
        </is>
      </c>
      <c r="E55" s="91" t="inlineStr">
        <is>
          <t>category.php with category hero, featured lead post, subcategory navigation, post grid, sidebar.</t>
        </is>
      </c>
      <c r="F55" s="90" t="inlineStr">
        <is>
          <t>P0</t>
        </is>
      </c>
      <c r="G55" s="92" t="inlineStr">
        <is>
          <t>In Progress</t>
        </is>
      </c>
      <c r="H55" s="93" t="n">
        <v>46314</v>
      </c>
      <c r="I55" s="93" t="n">
        <v>46314</v>
      </c>
      <c r="J55" s="94" t="n">
        <v>0.4</v>
      </c>
      <c r="K55" s="91" t="inlineStr">
        <is>
          <t>P1-06</t>
        </is>
      </c>
      <c r="L55" s="91" t="inlineStr">
        <is>
          <t>Staging (Hostinger)</t>
        </is>
      </c>
      <c r="M55" s="91" t="inlineStr">
        <is>
          <t>category.php, archive.php</t>
        </is>
      </c>
      <c r="N55" s="91" t="inlineStr">
        <is>
          <t>Check every top-level category and 3 subcategories</t>
        </is>
      </c>
      <c r="O55" s="91" t="inlineStr">
        <is>
          <t>All categories render with correct posts and SEO-friendly URLs</t>
        </is>
      </c>
      <c r="P55" s="95" t="n"/>
      <c r="Q55" s="95" t="inlineStr">
        <is>
          <t>category.php exists. Open: SSR upgrade to plan spec.</t>
        </is>
      </c>
      <c r="R55" s="96" t="n"/>
      <c r="S55" s="91" t="inlineStr">
        <is>
          <t>None</t>
        </is>
      </c>
      <c r="T55" s="92" t="inlineStr">
        <is>
          <t>Not Tested</t>
        </is>
      </c>
      <c r="U55" s="97">
        <f>IF(A55="",0,IF(G55="Completed",1,IF(G55="Not Started",0,MIN(0.99,N(J55)))))</f>
        <v/>
      </c>
      <c r="V55" s="97">
        <f>IF(OR(A55="",H55="",I55=""),0,MAX(0,MIN(1,(StatusDate-H55+1)/(I55-H55+1))))</f>
        <v/>
      </c>
      <c r="W55" s="98">
        <f>IF(OR(A55="",I55="",G55="Completed"),"",I55-StatusDate)</f>
        <v/>
      </c>
      <c r="X55" s="99">
        <f>IF(A55="","",IF(AND(G55&lt;&gt;"Completed",I55&lt;&gt;"",I55&lt;StatusDate),"OVERDUE",""))</f>
        <v/>
      </c>
      <c r="Y55" s="99">
        <f>IF(OR(A55="",K55=""),"",IF(SUMPRODUCT(($A$6:$A$400&lt;&gt;"")*ISNUMBER(SEARCH($A$6:$A$400,K55))*($G$6:$G$400&lt;&gt;"Completed"))=0,"✓ Ready","⏳ "&amp;SUMPRODUCT(($A$6:$A$400&lt;&gt;"")*ISNUMBER(SEARCH($A$6:$A$400,K55))*($G$6:$G$400&lt;&gt;"Completed"))&amp;" open"))</f>
        <v/>
      </c>
      <c r="Z55" s="99">
        <f>IF(A55="","",B55&amp;"|"&amp;COUNTIFS($B$6:B55,B55,$A$6:A55,"?*"))</f>
        <v/>
      </c>
      <c r="AA55" s="99">
        <f>IF(OR(A55="",I55="",G55="Completed"),"",IF(I55&gt;=StatusDate,I55+ROW()/100000,""))</f>
        <v/>
      </c>
      <c r="AB55" s="99">
        <f>IF(A55="","",IF(AND(G55&lt;&gt;"Completed",OR(G55="Blocked",AND(TRIM(P55)&lt;&gt;"",P55&lt;&gt;"None"))),ROW(),""))</f>
        <v/>
      </c>
      <c r="AC55" s="99">
        <f>IF(A55="","",IF(G55="Completed","Done",IF(G55="Blocked","Blocked",IF(X55="OVERDUE","Overdue",IF(AND(W55&lt;&gt;"",W55&lt;=2),"Due soon",IF(AND(Y55&lt;&gt;"",LEFT(Y55,1)="⏳",G55&lt;&gt;"Not Started"),"Dependency open",IF(AND(S55&lt;&gt;"None",S55&lt;&gt;"",G55&lt;&gt;"Completed"),"External req.","On track")))))))</f>
        <v/>
      </c>
    </row>
    <row r="56" ht="62" customHeight="1">
      <c r="A56" s="89" t="inlineStr">
        <is>
          <t>P3-10</t>
        </is>
      </c>
      <c r="B56" s="90" t="inlineStr">
        <is>
          <t>Phase 3</t>
        </is>
      </c>
      <c r="C56" s="91" t="inlineStr">
        <is>
          <t>Taxonomy</t>
        </is>
      </c>
      <c r="D56" s="91" t="inlineStr">
        <is>
          <t>Tag archive, search results &amp; 404</t>
        </is>
      </c>
      <c r="E56" s="91" t="inlineStr">
        <is>
          <t>tag.php, search.php with highlighted results, 404.php with search and latest posts.</t>
        </is>
      </c>
      <c r="F56" s="90" t="inlineStr">
        <is>
          <t>P1</t>
        </is>
      </c>
      <c r="G56" s="92" t="inlineStr">
        <is>
          <t>In Progress</t>
        </is>
      </c>
      <c r="H56" s="93" t="n">
        <v>46314</v>
      </c>
      <c r="I56" s="93" t="n">
        <v>46314</v>
      </c>
      <c r="J56" s="94" t="n">
        <v>0.5</v>
      </c>
      <c r="K56" s="91" t="inlineStr">
        <is>
          <t>P3-09</t>
        </is>
      </c>
      <c r="L56" s="91" t="inlineStr">
        <is>
          <t>Staging (Hostinger)</t>
        </is>
      </c>
      <c r="M56" s="91" t="inlineStr">
        <is>
          <t>tag.php, search.php, 404.php</t>
        </is>
      </c>
      <c r="N56" s="91" t="inlineStr">
        <is>
          <t>Search Arabic terms; visit unknown URL</t>
        </is>
      </c>
      <c r="O56" s="91" t="inlineStr">
        <is>
          <t>Search returns relevant results; 404 helpful</t>
        </is>
      </c>
      <c r="P56" s="95" t="n"/>
      <c r="Q56" s="95" t="inlineStr">
        <is>
          <t>search.php + 404.php done. Open: tag.php.</t>
        </is>
      </c>
      <c r="R56" s="96" t="n"/>
      <c r="S56" s="91" t="inlineStr">
        <is>
          <t>None</t>
        </is>
      </c>
      <c r="T56" s="92" t="inlineStr">
        <is>
          <t>Not Tested</t>
        </is>
      </c>
      <c r="U56" s="97">
        <f>IF(A56="",0,IF(G56="Completed",1,IF(G56="Not Started",0,MIN(0.99,N(J56)))))</f>
        <v/>
      </c>
      <c r="V56" s="97">
        <f>IF(OR(A56="",H56="",I56=""),0,MAX(0,MIN(1,(StatusDate-H56+1)/(I56-H56+1))))</f>
        <v/>
      </c>
      <c r="W56" s="98">
        <f>IF(OR(A56="",I56="",G56="Completed"),"",I56-StatusDate)</f>
        <v/>
      </c>
      <c r="X56" s="99">
        <f>IF(A56="","",IF(AND(G56&lt;&gt;"Completed",I56&lt;&gt;"",I56&lt;StatusDate),"OVERDUE",""))</f>
        <v/>
      </c>
      <c r="Y56" s="99">
        <f>IF(OR(A56="",K56=""),"",IF(SUMPRODUCT(($A$6:$A$400&lt;&gt;"")*ISNUMBER(SEARCH($A$6:$A$400,K56))*($G$6:$G$400&lt;&gt;"Completed"))=0,"✓ Ready","⏳ "&amp;SUMPRODUCT(($A$6:$A$400&lt;&gt;"")*ISNUMBER(SEARCH($A$6:$A$400,K56))*($G$6:$G$400&lt;&gt;"Completed"))&amp;" open"))</f>
        <v/>
      </c>
      <c r="Z56" s="99">
        <f>IF(A56="","",B56&amp;"|"&amp;COUNTIFS($B$6:B56,B56,$A$6:A56,"?*"))</f>
        <v/>
      </c>
      <c r="AA56" s="99">
        <f>IF(OR(A56="",I56="",G56="Completed"),"",IF(I56&gt;=StatusDate,I56+ROW()/100000,""))</f>
        <v/>
      </c>
      <c r="AB56" s="99">
        <f>IF(A56="","",IF(AND(G56&lt;&gt;"Completed",OR(G56="Blocked",AND(TRIM(P56)&lt;&gt;"",P56&lt;&gt;"None"))),ROW(),""))</f>
        <v/>
      </c>
      <c r="AC56" s="99">
        <f>IF(A56="","",IF(G56="Completed","Done",IF(G56="Blocked","Blocked",IF(X56="OVERDUE","Overdue",IF(AND(W56&lt;&gt;"",W56&lt;=2),"Due soon",IF(AND(Y56&lt;&gt;"",LEFT(Y56,1)="⏳",G56&lt;&gt;"Not Started"),"Dependency open",IF(AND(S56&lt;&gt;"None",S56&lt;&gt;"",G56&lt;&gt;"Completed"),"External req.","On track")))))))</f>
        <v/>
      </c>
    </row>
    <row r="57" ht="62" customHeight="1">
      <c r="A57" s="89" t="inlineStr">
        <is>
          <t>P3-11</t>
        </is>
      </c>
      <c r="B57" s="90" t="inlineStr">
        <is>
          <t>Phase 3</t>
        </is>
      </c>
      <c r="C57" s="91" t="inlineStr">
        <is>
          <t>AJAX Filtering</t>
        </is>
      </c>
      <c r="D57" s="91" t="inlineStr">
        <is>
          <t>AJAX archive filtering</t>
        </is>
      </c>
      <c r="E57" s="91" t="inlineStr">
        <is>
          <t>REST endpoint (nonce, sanitized params) filtering by subcategory, date range and sort; updates grid without reload; history.pushState with crawlable fallback URLs.</t>
        </is>
      </c>
      <c r="F57" s="90" t="inlineStr">
        <is>
          <t>P1</t>
        </is>
      </c>
      <c r="G57" s="92" t="inlineStr">
        <is>
          <t>In Progress</t>
        </is>
      </c>
      <c r="H57" s="93" t="n">
        <v>46314</v>
      </c>
      <c r="I57" s="93" t="n">
        <v>46315</v>
      </c>
      <c r="J57" s="94" t="n">
        <v>0.25</v>
      </c>
      <c r="K57" s="91" t="inlineStr">
        <is>
          <t>P3-09</t>
        </is>
      </c>
      <c r="L57" s="91" t="inlineStr">
        <is>
          <t>Staging (Hostinger)</t>
        </is>
      </c>
      <c r="M57" s="91" t="inlineStr">
        <is>
          <t>inc/rest/archive-filter.php, assets/js/modules/filter.js</t>
        </is>
      </c>
      <c r="N57" s="91" t="inlineStr">
        <is>
          <t>Apply filters; use back button; disable JS and confirm links still work</t>
        </is>
      </c>
      <c r="O57" s="91" t="inlineStr">
        <is>
          <t>Filtering fast (&lt; 500 ms server), shareable URLs, works without JS</t>
        </is>
      </c>
      <c r="P57" s="95" t="n"/>
      <c r="Q57" s="95" t="inlineStr">
        <is>
          <t>Still relies on prototype JS — needs REST endpoint version.</t>
        </is>
      </c>
      <c r="R57" s="96" t="n"/>
      <c r="S57" s="91" t="inlineStr">
        <is>
          <t>None</t>
        </is>
      </c>
      <c r="T57" s="92" t="inlineStr">
        <is>
          <t>Not Tested</t>
        </is>
      </c>
      <c r="U57" s="97">
        <f>IF(A57="",0,IF(G57="Completed",1,IF(G57="Not Started",0,MIN(0.99,N(J57)))))</f>
        <v/>
      </c>
      <c r="V57" s="97">
        <f>IF(OR(A57="",H57="",I57=""),0,MAX(0,MIN(1,(StatusDate-H57+1)/(I57-H57+1))))</f>
        <v/>
      </c>
      <c r="W57" s="98">
        <f>IF(OR(A57="",I57="",G57="Completed"),"",I57-StatusDate)</f>
        <v/>
      </c>
      <c r="X57" s="99">
        <f>IF(A57="","",IF(AND(G57&lt;&gt;"Completed",I57&lt;&gt;"",I57&lt;StatusDate),"OVERDUE",""))</f>
        <v/>
      </c>
      <c r="Y57" s="99">
        <f>IF(OR(A57="",K57=""),"",IF(SUMPRODUCT(($A$6:$A$400&lt;&gt;"")*ISNUMBER(SEARCH($A$6:$A$400,K57))*($G$6:$G$400&lt;&gt;"Completed"))=0,"✓ Ready","⏳ "&amp;SUMPRODUCT(($A$6:$A$400&lt;&gt;"")*ISNUMBER(SEARCH($A$6:$A$400,K57))*($G$6:$G$400&lt;&gt;"Completed"))&amp;" open"))</f>
        <v/>
      </c>
      <c r="Z57" s="99">
        <f>IF(A57="","",B57&amp;"|"&amp;COUNTIFS($B$6:B57,B57,$A$6:A57,"?*"))</f>
        <v/>
      </c>
      <c r="AA57" s="99">
        <f>IF(OR(A57="",I57="",G57="Completed"),"",IF(I57&gt;=StatusDate,I57+ROW()/100000,""))</f>
        <v/>
      </c>
      <c r="AB57" s="99">
        <f>IF(A57="","",IF(AND(G57&lt;&gt;"Completed",OR(G57="Blocked",AND(TRIM(P57)&lt;&gt;"",P57&lt;&gt;"None"))),ROW(),""))</f>
        <v/>
      </c>
      <c r="AC57" s="99">
        <f>IF(A57="","",IF(G57="Completed","Done",IF(G57="Blocked","Blocked",IF(X57="OVERDUE","Overdue",IF(AND(W57&lt;&gt;"",W57&lt;=2),"Due soon",IF(AND(Y57&lt;&gt;"",LEFT(Y57,1)="⏳",G57&lt;&gt;"Not Started"),"Dependency open",IF(AND(S57&lt;&gt;"None",S57&lt;&gt;"",G57&lt;&gt;"Completed"),"External req.","On track")))))))</f>
        <v/>
      </c>
    </row>
    <row r="58" ht="62" customHeight="1">
      <c r="A58" s="89" t="inlineStr">
        <is>
          <t>P3-12</t>
        </is>
      </c>
      <c r="B58" s="90" t="inlineStr">
        <is>
          <t>Phase 3</t>
        </is>
      </c>
      <c r="C58" s="91" t="inlineStr">
        <is>
          <t>Archive UX</t>
        </is>
      </c>
      <c r="D58" s="91" t="inlineStr">
        <is>
          <t>Grid / list view switching</t>
        </is>
      </c>
      <c r="E58" s="91" t="inlineStr">
        <is>
          <t>Toggle between grid and list views; remembers preference per visitor.</t>
        </is>
      </c>
      <c r="F58" s="90" t="inlineStr">
        <is>
          <t>P2</t>
        </is>
      </c>
      <c r="G58" s="92" t="inlineStr">
        <is>
          <t>In Progress</t>
        </is>
      </c>
      <c r="H58" s="93" t="n">
        <v>46315</v>
      </c>
      <c r="I58" s="93" t="n">
        <v>46315</v>
      </c>
      <c r="J58" s="94" t="n">
        <v>0.25</v>
      </c>
      <c r="K58" s="91" t="inlineStr">
        <is>
          <t>P3-09</t>
        </is>
      </c>
      <c r="L58" s="91" t="inlineStr">
        <is>
          <t>Staging (Hostinger)</t>
        </is>
      </c>
      <c r="M58" s="91" t="inlineStr">
        <is>
          <t>assets/js/modules/view-toggle.js</t>
        </is>
      </c>
      <c r="N58" s="91" t="inlineStr">
        <is>
          <t>Toggle on archive; reload page; preference kept</t>
        </is>
      </c>
      <c r="O58" s="91" t="inlineStr">
        <is>
          <t>Toggle works on all archives</t>
        </is>
      </c>
      <c r="P58" s="95" t="n"/>
      <c r="Q58" s="95" t="inlineStr">
        <is>
          <t>Still relies on prototype JS.</t>
        </is>
      </c>
      <c r="R58" s="96" t="n"/>
      <c r="S58" s="91" t="inlineStr">
        <is>
          <t>None</t>
        </is>
      </c>
      <c r="T58" s="92" t="inlineStr">
        <is>
          <t>Not Tested</t>
        </is>
      </c>
      <c r="U58" s="97">
        <f>IF(A58="",0,IF(G58="Completed",1,IF(G58="Not Started",0,MIN(0.99,N(J58)))))</f>
        <v/>
      </c>
      <c r="V58" s="97">
        <f>IF(OR(A58="",H58="",I58=""),0,MAX(0,MIN(1,(StatusDate-H58+1)/(I58-H58+1))))</f>
        <v/>
      </c>
      <c r="W58" s="98">
        <f>IF(OR(A58="",I58="",G58="Completed"),"",I58-StatusDate)</f>
        <v/>
      </c>
      <c r="X58" s="99">
        <f>IF(A58="","",IF(AND(G58&lt;&gt;"Completed",I58&lt;&gt;"",I58&lt;StatusDate),"OVERDUE",""))</f>
        <v/>
      </c>
      <c r="Y58" s="99">
        <f>IF(OR(A58="",K58=""),"",IF(SUMPRODUCT(($A$6:$A$400&lt;&gt;"")*ISNUMBER(SEARCH($A$6:$A$400,K58))*($G$6:$G$400&lt;&gt;"Completed"))=0,"✓ Ready","⏳ "&amp;SUMPRODUCT(($A$6:$A$400&lt;&gt;"")*ISNUMBER(SEARCH($A$6:$A$400,K58))*($G$6:$G$400&lt;&gt;"Completed"))&amp;" open"))</f>
        <v/>
      </c>
      <c r="Z58" s="99">
        <f>IF(A58="","",B58&amp;"|"&amp;COUNTIFS($B$6:B58,B58,$A$6:A58,"?*"))</f>
        <v/>
      </c>
      <c r="AA58" s="99">
        <f>IF(OR(A58="",I58="",G58="Completed"),"",IF(I58&gt;=StatusDate,I58+ROW()/100000,""))</f>
        <v/>
      </c>
      <c r="AB58" s="99">
        <f>IF(A58="","",IF(AND(G58&lt;&gt;"Completed",OR(G58="Blocked",AND(TRIM(P58)&lt;&gt;"",P58&lt;&gt;"None"))),ROW(),""))</f>
        <v/>
      </c>
      <c r="AC58" s="99">
        <f>IF(A58="","",IF(G58="Completed","Done",IF(G58="Blocked","Blocked",IF(X58="OVERDUE","Overdue",IF(AND(W58&lt;&gt;"",W58&lt;=2),"Due soon",IF(AND(Y58&lt;&gt;"",LEFT(Y58,1)="⏳",G58&lt;&gt;"Not Started"),"Dependency open",IF(AND(S58&lt;&gt;"None",S58&lt;&gt;"",G58&lt;&gt;"Completed"),"External req.","On track")))))))</f>
        <v/>
      </c>
    </row>
    <row r="59" ht="62" customHeight="1">
      <c r="A59" s="89" t="inlineStr">
        <is>
          <t>P3-13</t>
        </is>
      </c>
      <c r="B59" s="90" t="inlineStr">
        <is>
          <t>Phase 3</t>
        </is>
      </c>
      <c r="C59" s="91" t="inlineStr">
        <is>
          <t>Pagination</t>
        </is>
      </c>
      <c r="D59" s="91" t="inlineStr">
        <is>
          <t>Pagination</t>
        </is>
      </c>
      <c r="E59" s="91" t="inlineStr">
        <is>
          <t>Numbered pagination with SEO-friendly /page/N/ URLs; optional 'load more' enhancement.</t>
        </is>
      </c>
      <c r="F59" s="90" t="inlineStr">
        <is>
          <t>P0</t>
        </is>
      </c>
      <c r="G59" s="92" t="inlineStr">
        <is>
          <t>Not Started</t>
        </is>
      </c>
      <c r="H59" s="93" t="n">
        <v>46315</v>
      </c>
      <c r="I59" s="93" t="n">
        <v>46315</v>
      </c>
      <c r="J59" s="94" t="n">
        <v>0</v>
      </c>
      <c r="K59" s="91" t="inlineStr">
        <is>
          <t>P3-09</t>
        </is>
      </c>
      <c r="L59" s="91" t="inlineStr">
        <is>
          <t>Staging (Hostinger)</t>
        </is>
      </c>
      <c r="M59" s="91" t="inlineStr">
        <is>
          <t>template-parts/components/pagination.php</t>
        </is>
      </c>
      <c r="N59" s="91" t="inlineStr">
        <is>
          <t>Navigate to last page of large category; check rel/canonical</t>
        </is>
      </c>
      <c r="O59" s="91" t="inlineStr">
        <is>
          <t>Pagination works on all archives without duplicate content issues</t>
        </is>
      </c>
      <c r="P59" s="95" t="n"/>
      <c r="Q59" s="95" t="n"/>
      <c r="R59" s="96" t="n"/>
      <c r="S59" s="91" t="inlineStr">
        <is>
          <t>None</t>
        </is>
      </c>
      <c r="T59" s="92" t="inlineStr">
        <is>
          <t>Not Tested</t>
        </is>
      </c>
      <c r="U59" s="97">
        <f>IF(A59="",0,IF(G59="Completed",1,IF(G59="Not Started",0,MIN(0.99,N(J59)))))</f>
        <v/>
      </c>
      <c r="V59" s="97">
        <f>IF(OR(A59="",H59="",I59=""),0,MAX(0,MIN(1,(StatusDate-H59+1)/(I59-H59+1))))</f>
        <v/>
      </c>
      <c r="W59" s="98">
        <f>IF(OR(A59="",I59="",G59="Completed"),"",I59-StatusDate)</f>
        <v/>
      </c>
      <c r="X59" s="99">
        <f>IF(A59="","",IF(AND(G59&lt;&gt;"Completed",I59&lt;&gt;"",I59&lt;StatusDate),"OVERDUE",""))</f>
        <v/>
      </c>
      <c r="Y59" s="99">
        <f>IF(OR(A59="",K59=""),"",IF(SUMPRODUCT(($A$6:$A$400&lt;&gt;"")*ISNUMBER(SEARCH($A$6:$A$400,K59))*($G$6:$G$400&lt;&gt;"Completed"))=0,"✓ Ready","⏳ "&amp;SUMPRODUCT(($A$6:$A$400&lt;&gt;"")*ISNUMBER(SEARCH($A$6:$A$400,K59))*($G$6:$G$400&lt;&gt;"Completed"))&amp;" open"))</f>
        <v/>
      </c>
      <c r="Z59" s="99">
        <f>IF(A59="","",B59&amp;"|"&amp;COUNTIFS($B$6:B59,B59,$A$6:A59,"?*"))</f>
        <v/>
      </c>
      <c r="AA59" s="99">
        <f>IF(OR(A59="",I59="",G59="Completed"),"",IF(I59&gt;=StatusDate,I59+ROW()/100000,""))</f>
        <v/>
      </c>
      <c r="AB59" s="99">
        <f>IF(A59="","",IF(AND(G59&lt;&gt;"Completed",OR(G59="Blocked",AND(TRIM(P59)&lt;&gt;"",P59&lt;&gt;"None"))),ROW(),""))</f>
        <v/>
      </c>
      <c r="AC59" s="99">
        <f>IF(A59="","",IF(G59="Completed","Done",IF(G59="Blocked","Blocked",IF(X59="OVERDUE","Overdue",IF(AND(W59&lt;&gt;"",W59&lt;=2),"Due soon",IF(AND(Y59&lt;&gt;"",LEFT(Y59,1)="⏳",G59&lt;&gt;"Not Started"),"Dependency open",IF(AND(S59&lt;&gt;"None",S59&lt;&gt;"",G59&lt;&gt;"Completed"),"External req.","On track")))))))</f>
        <v/>
      </c>
    </row>
    <row r="60" ht="62" customHeight="1">
      <c r="A60" s="89" t="inlineStr">
        <is>
          <t>P3-14</t>
        </is>
      </c>
      <c r="B60" s="90" t="inlineStr">
        <is>
          <t>Phase 3</t>
        </is>
      </c>
      <c r="C60" s="91" t="inlineStr">
        <is>
          <t>Print</t>
        </is>
      </c>
      <c r="D60" s="91" t="inlineStr">
        <is>
          <t>Print stylesheet</t>
        </is>
      </c>
      <c r="E60" s="91" t="inlineStr">
        <is>
          <t>print.css hiding nav/ads/share, readable article typography, URL and date in footer.</t>
        </is>
      </c>
      <c r="F60" s="90" t="inlineStr">
        <is>
          <t>P2</t>
        </is>
      </c>
      <c r="G60" s="92" t="inlineStr">
        <is>
          <t>Not Started</t>
        </is>
      </c>
      <c r="H60" s="93" t="n">
        <v>46315</v>
      </c>
      <c r="I60" s="93" t="n">
        <v>46315</v>
      </c>
      <c r="J60" s="94" t="n">
        <v>0</v>
      </c>
      <c r="K60" s="91" t="inlineStr">
        <is>
          <t>P3-01</t>
        </is>
      </c>
      <c r="L60" s="91" t="inlineStr">
        <is>
          <t>Staging (Hostinger)</t>
        </is>
      </c>
      <c r="M60" s="91" t="inlineStr">
        <is>
          <t>assets/css/print.css</t>
        </is>
      </c>
      <c r="N60" s="91" t="inlineStr">
        <is>
          <t>Print preview article in Chrome and Safari</t>
        </is>
      </c>
      <c r="O60" s="91" t="inlineStr">
        <is>
          <t>Clean printable article</t>
        </is>
      </c>
      <c r="P60" s="95" t="n"/>
      <c r="Q60" s="95" t="n"/>
      <c r="R60" s="96" t="n"/>
      <c r="S60" s="91" t="inlineStr">
        <is>
          <t>None</t>
        </is>
      </c>
      <c r="T60" s="92" t="inlineStr">
        <is>
          <t>Not Tested</t>
        </is>
      </c>
      <c r="U60" s="97">
        <f>IF(A60="",0,IF(G60="Completed",1,IF(G60="Not Started",0,MIN(0.99,N(J60)))))</f>
        <v/>
      </c>
      <c r="V60" s="97">
        <f>IF(OR(A60="",H60="",I60=""),0,MAX(0,MIN(1,(StatusDate-H60+1)/(I60-H60+1))))</f>
        <v/>
      </c>
      <c r="W60" s="98">
        <f>IF(OR(A60="",I60="",G60="Completed"),"",I60-StatusDate)</f>
        <v/>
      </c>
      <c r="X60" s="99">
        <f>IF(A60="","",IF(AND(G60&lt;&gt;"Completed",I60&lt;&gt;"",I60&lt;StatusDate),"OVERDUE",""))</f>
        <v/>
      </c>
      <c r="Y60" s="99">
        <f>IF(OR(A60="",K60=""),"",IF(SUMPRODUCT(($A$6:$A$400&lt;&gt;"")*ISNUMBER(SEARCH($A$6:$A$400,K60))*($G$6:$G$400&lt;&gt;"Completed"))=0,"✓ Ready","⏳ "&amp;SUMPRODUCT(($A$6:$A$400&lt;&gt;"")*ISNUMBER(SEARCH($A$6:$A$400,K60))*($G$6:$G$400&lt;&gt;"Completed"))&amp;" open"))</f>
        <v/>
      </c>
      <c r="Z60" s="99">
        <f>IF(A60="","",B60&amp;"|"&amp;COUNTIFS($B$6:B60,B60,$A$6:A60,"?*"))</f>
        <v/>
      </c>
      <c r="AA60" s="99">
        <f>IF(OR(A60="",I60="",G60="Completed"),"",IF(I60&gt;=StatusDate,I60+ROW()/100000,""))</f>
        <v/>
      </c>
      <c r="AB60" s="99">
        <f>IF(A60="","",IF(AND(G60&lt;&gt;"Completed",OR(G60="Blocked",AND(TRIM(P60)&lt;&gt;"",P60&lt;&gt;"None"))),ROW(),""))</f>
        <v/>
      </c>
      <c r="AC60" s="99">
        <f>IF(A60="","",IF(G60="Completed","Done",IF(G60="Blocked","Blocked",IF(X60="OVERDUE","Overdue",IF(AND(W60&lt;&gt;"",W60&lt;=2),"Due soon",IF(AND(Y60&lt;&gt;"",LEFT(Y60,1)="⏳",G60&lt;&gt;"Not Started"),"Dependency open",IF(AND(S60&lt;&gt;"None",S60&lt;&gt;"",G60&lt;&gt;"Completed"),"External req.","On track")))))))</f>
        <v/>
      </c>
    </row>
    <row r="61" ht="62" customHeight="1">
      <c r="A61" s="89" t="inlineStr">
        <is>
          <t>P3-15</t>
        </is>
      </c>
      <c r="B61" s="90" t="inlineStr">
        <is>
          <t>Phase 3</t>
        </is>
      </c>
      <c r="C61" s="91" t="inlineStr">
        <is>
          <t>SEO</t>
        </is>
      </c>
      <c r="D61" s="91" t="inlineStr">
        <is>
          <t>SEO compatibility, schema &amp; breadcrumbs</t>
        </is>
      </c>
      <c r="E61" s="91" t="inlineStr">
        <is>
          <t>Compatibility with the active SEO plugin (titles, meta, canonical, OG/Twitter, sitemaps); NewsArticle/Article schema; breadcrumbs; no duplicate meta from theme.</t>
        </is>
      </c>
      <c r="F61" s="90" t="inlineStr">
        <is>
          <t>P0</t>
        </is>
      </c>
      <c r="G61" s="92" t="inlineStr">
        <is>
          <t>Not Started</t>
        </is>
      </c>
      <c r="H61" s="93" t="n">
        <v>46315</v>
      </c>
      <c r="I61" s="93" t="n">
        <v>46315</v>
      </c>
      <c r="J61" s="94" t="n">
        <v>0</v>
      </c>
      <c r="K61" s="91" t="inlineStr">
        <is>
          <t>P3-01, P3-09, P6-06</t>
        </is>
      </c>
      <c r="L61" s="91" t="inlineStr">
        <is>
          <t>Staging (Hostinger)</t>
        </is>
      </c>
      <c r="M61" s="91" t="inlineStr">
        <is>
          <t>inc/seo.php, header.php</t>
        </is>
      </c>
      <c r="N61" s="91" t="inlineStr">
        <is>
          <t>Compare head tags with baseline; Rich Results test on 3 articles</t>
        </is>
      </c>
      <c r="O61" s="91" t="inlineStr">
        <is>
          <t>SEO output matches or improves baseline; valid structured data</t>
        </is>
      </c>
      <c r="P61" s="95" t="n"/>
      <c r="Q61" s="95" t="n"/>
      <c r="R61" s="96" t="n"/>
      <c r="S61" s="91" t="inlineStr">
        <is>
          <t>None</t>
        </is>
      </c>
      <c r="T61" s="92" t="inlineStr">
        <is>
          <t>Not Tested</t>
        </is>
      </c>
      <c r="U61" s="97">
        <f>IF(A61="",0,IF(G61="Completed",1,IF(G61="Not Started",0,MIN(0.99,N(J61)))))</f>
        <v/>
      </c>
      <c r="V61" s="97">
        <f>IF(OR(A61="",H61="",I61=""),0,MAX(0,MIN(1,(StatusDate-H61+1)/(I61-H61+1))))</f>
        <v/>
      </c>
      <c r="W61" s="98">
        <f>IF(OR(A61="",I61="",G61="Completed"),"",I61-StatusDate)</f>
        <v/>
      </c>
      <c r="X61" s="99">
        <f>IF(A61="","",IF(AND(G61&lt;&gt;"Completed",I61&lt;&gt;"",I61&lt;StatusDate),"OVERDUE",""))</f>
        <v/>
      </c>
      <c r="Y61" s="99">
        <f>IF(OR(A61="",K61=""),"",IF(SUMPRODUCT(($A$6:$A$400&lt;&gt;"")*ISNUMBER(SEARCH($A$6:$A$400,K61))*($G$6:$G$400&lt;&gt;"Completed"))=0,"✓ Ready","⏳ "&amp;SUMPRODUCT(($A$6:$A$400&lt;&gt;"")*ISNUMBER(SEARCH($A$6:$A$400,K61))*($G$6:$G$400&lt;&gt;"Completed"))&amp;" open"))</f>
        <v/>
      </c>
      <c r="Z61" s="99">
        <f>IF(A61="","",B61&amp;"|"&amp;COUNTIFS($B$6:B61,B61,$A$6:A61,"?*"))</f>
        <v/>
      </c>
      <c r="AA61" s="99">
        <f>IF(OR(A61="",I61="",G61="Completed"),"",IF(I61&gt;=StatusDate,I61+ROW()/100000,""))</f>
        <v/>
      </c>
      <c r="AB61" s="99">
        <f>IF(A61="","",IF(AND(G61&lt;&gt;"Completed",OR(G61="Blocked",AND(TRIM(P61)&lt;&gt;"",P61&lt;&gt;"None"))),ROW(),""))</f>
        <v/>
      </c>
      <c r="AC61" s="99">
        <f>IF(A61="","",IF(G61="Completed","Done",IF(G61="Blocked","Blocked",IF(X61="OVERDUE","Overdue",IF(AND(W61&lt;&gt;"",W61&lt;=2),"Due soon",IF(AND(Y61&lt;&gt;"",LEFT(Y61,1)="⏳",G61&lt;&gt;"Not Started"),"Dependency open",IF(AND(S61&lt;&gt;"None",S61&lt;&gt;"",G61&lt;&gt;"Completed"),"External req.","On track")))))))</f>
        <v/>
      </c>
    </row>
    <row r="62" ht="62" customHeight="1">
      <c r="A62" s="89" t="inlineStr">
        <is>
          <t>P3-16</t>
        </is>
      </c>
      <c r="B62" s="90" t="inlineStr">
        <is>
          <t>Phase 3</t>
        </is>
      </c>
      <c r="C62" s="91" t="inlineStr">
        <is>
          <t>Phase QA</t>
        </is>
      </c>
      <c r="D62" s="91" t="inlineStr">
        <is>
          <t>Editorial templates sign-off</t>
        </is>
      </c>
      <c r="E62" s="91" t="inlineStr">
        <is>
          <t>Run template checks from QA sheet for article, category, author, tag and search templates.</t>
        </is>
      </c>
      <c r="F62" s="90" t="inlineStr">
        <is>
          <t>P0</t>
        </is>
      </c>
      <c r="G62" s="92" t="inlineStr">
        <is>
          <t>Not Started</t>
        </is>
      </c>
      <c r="H62" s="93" t="n">
        <v>46315</v>
      </c>
      <c r="I62" s="93" t="n">
        <v>46315</v>
      </c>
      <c r="J62" s="94" t="n">
        <v>0</v>
      </c>
      <c r="K62" s="91" t="inlineStr">
        <is>
          <t>P3-03, P3-11, P3-15</t>
        </is>
      </c>
      <c r="L62" s="91" t="inlineStr">
        <is>
          <t>Staging (Hostinger)</t>
        </is>
      </c>
      <c r="M62" s="91" t="inlineStr">
        <is>
          <t>—</t>
        </is>
      </c>
      <c r="N62" s="91" t="inlineStr">
        <is>
          <t>QA sheet rows for templates 2–4</t>
        </is>
      </c>
      <c r="O62" s="91" t="inlineStr">
        <is>
          <t>Templates approved for Phase 4</t>
        </is>
      </c>
      <c r="P62" s="95" t="n"/>
      <c r="Q62" s="95" t="n"/>
      <c r="R62" s="96" t="n"/>
      <c r="S62" s="91" t="inlineStr">
        <is>
          <t>None</t>
        </is>
      </c>
      <c r="T62" s="92" t="inlineStr">
        <is>
          <t>Not Tested</t>
        </is>
      </c>
      <c r="U62" s="97">
        <f>IF(A62="",0,IF(G62="Completed",1,IF(G62="Not Started",0,MIN(0.99,N(J62)))))</f>
        <v/>
      </c>
      <c r="V62" s="97">
        <f>IF(OR(A62="",H62="",I62=""),0,MAX(0,MIN(1,(StatusDate-H62+1)/(I62-H62+1))))</f>
        <v/>
      </c>
      <c r="W62" s="98">
        <f>IF(OR(A62="",I62="",G62="Completed"),"",I62-StatusDate)</f>
        <v/>
      </c>
      <c r="X62" s="99">
        <f>IF(A62="","",IF(AND(G62&lt;&gt;"Completed",I62&lt;&gt;"",I62&lt;StatusDate),"OVERDUE",""))</f>
        <v/>
      </c>
      <c r="Y62" s="99">
        <f>IF(OR(A62="",K62=""),"",IF(SUMPRODUCT(($A$6:$A$400&lt;&gt;"")*ISNUMBER(SEARCH($A$6:$A$400,K62))*($G$6:$G$400&lt;&gt;"Completed"))=0,"✓ Ready","⏳ "&amp;SUMPRODUCT(($A$6:$A$400&lt;&gt;"")*ISNUMBER(SEARCH($A$6:$A$400,K62))*($G$6:$G$400&lt;&gt;"Completed"))&amp;" open"))</f>
        <v/>
      </c>
      <c r="Z62" s="99">
        <f>IF(A62="","",B62&amp;"|"&amp;COUNTIFS($B$6:B62,B62,$A$6:A62,"?*"))</f>
        <v/>
      </c>
      <c r="AA62" s="99">
        <f>IF(OR(A62="",I62="",G62="Completed"),"",IF(I62&gt;=StatusDate,I62+ROW()/100000,""))</f>
        <v/>
      </c>
      <c r="AB62" s="99">
        <f>IF(A62="","",IF(AND(G62&lt;&gt;"Completed",OR(G62="Blocked",AND(TRIM(P62)&lt;&gt;"",P62&lt;&gt;"None"))),ROW(),""))</f>
        <v/>
      </c>
      <c r="AC62" s="99">
        <f>IF(A62="","",IF(G62="Completed","Done",IF(G62="Blocked","Blocked",IF(X62="OVERDUE","Overdue",IF(AND(W62&lt;&gt;"",W62&lt;=2),"Due soon",IF(AND(Y62&lt;&gt;"",LEFT(Y62,1)="⏳",G62&lt;&gt;"Not Started"),"Dependency open",IF(AND(S62&lt;&gt;"None",S62&lt;&gt;"",G62&lt;&gt;"Completed"),"External req.","On track")))))))</f>
        <v/>
      </c>
    </row>
    <row r="63" ht="62" customHeight="1">
      <c r="A63" s="89" t="inlineStr">
        <is>
          <t>P4-01</t>
        </is>
      </c>
      <c r="B63" s="90" t="inlineStr">
        <is>
          <t>Phase 4</t>
        </is>
      </c>
      <c r="C63" s="91" t="inlineStr">
        <is>
          <t>CPT Engine</t>
        </is>
      </c>
      <c r="D63" s="91" t="inlineStr">
        <is>
          <t>Register magazine_issue custom post type</t>
        </is>
      </c>
      <c r="E63" s="91" t="inlineStr">
        <is>
          <t>inc/cpt-issues.php: CPT with archive, rewrite slug, REST support, labels in Arabic, supports title/thumbnail/excerpt.</t>
        </is>
      </c>
      <c r="F63" s="90" t="inlineStr">
        <is>
          <t>P0</t>
        </is>
      </c>
      <c r="G63" s="92" t="inlineStr">
        <is>
          <t>Completed</t>
        </is>
      </c>
      <c r="H63" s="93" t="n">
        <v>46316</v>
      </c>
      <c r="I63" s="93" t="n">
        <v>46316</v>
      </c>
      <c r="J63" s="94" t="n">
        <v>1</v>
      </c>
      <c r="K63" s="91" t="inlineStr">
        <is>
          <t>P1-17</t>
        </is>
      </c>
      <c r="L63" s="91" t="inlineStr">
        <is>
          <t>Staging (Hostinger)</t>
        </is>
      </c>
      <c r="M63" s="91" t="inlineStr">
        <is>
          <t>inc/cpt-issues.php</t>
        </is>
      </c>
      <c r="N63" s="91" t="inlineStr">
        <is>
          <t>Create test issue; check archive URL and REST response; flush permalinks</t>
        </is>
      </c>
      <c r="O63" s="91" t="inlineStr">
        <is>
          <t>CPT live with clean URLs</t>
        </is>
      </c>
      <c r="P63" s="95" t="n"/>
      <c r="Q63" s="95" t="inlineStr">
        <is>
          <t>CPT registered with slug 'issue' (plan said magazine_issue) — keep 'issue' consistently.</t>
        </is>
      </c>
      <c r="R63" s="96" t="n">
        <v>46306</v>
      </c>
      <c r="S63" s="91" t="inlineStr">
        <is>
          <t>None</t>
        </is>
      </c>
      <c r="T63" s="92" t="inlineStr">
        <is>
          <t>Not Tested</t>
        </is>
      </c>
      <c r="U63" s="97">
        <f>IF(A63="",0,IF(G63="Completed",1,IF(G63="Not Started",0,MIN(0.99,N(J63)))))</f>
        <v/>
      </c>
      <c r="V63" s="97">
        <f>IF(OR(A63="",H63="",I63=""),0,MAX(0,MIN(1,(StatusDate-H63+1)/(I63-H63+1))))</f>
        <v/>
      </c>
      <c r="W63" s="98">
        <f>IF(OR(A63="",I63="",G63="Completed"),"",I63-StatusDate)</f>
        <v/>
      </c>
      <c r="X63" s="99">
        <f>IF(A63="","",IF(AND(G63&lt;&gt;"Completed",I63&lt;&gt;"",I63&lt;StatusDate),"OVERDUE",""))</f>
        <v/>
      </c>
      <c r="Y63" s="99">
        <f>IF(OR(A63="",K63=""),"",IF(SUMPRODUCT(($A$6:$A$400&lt;&gt;"")*ISNUMBER(SEARCH($A$6:$A$400,K63))*($G$6:$G$400&lt;&gt;"Completed"))=0,"✓ Ready","⏳ "&amp;SUMPRODUCT(($A$6:$A$400&lt;&gt;"")*ISNUMBER(SEARCH($A$6:$A$400,K63))*($G$6:$G$400&lt;&gt;"Completed"))&amp;" open"))</f>
        <v/>
      </c>
      <c r="Z63" s="99">
        <f>IF(A63="","",B63&amp;"|"&amp;COUNTIFS($B$6:B63,B63,$A$6:A63,"?*"))</f>
        <v/>
      </c>
      <c r="AA63" s="99">
        <f>IF(OR(A63="",I63="",G63="Completed"),"",IF(I63&gt;=StatusDate,I63+ROW()/100000,""))</f>
        <v/>
      </c>
      <c r="AB63" s="99">
        <f>IF(A63="","",IF(AND(G63&lt;&gt;"Completed",OR(G63="Blocked",AND(TRIM(P63)&lt;&gt;"",P63&lt;&gt;"None"))),ROW(),""))</f>
        <v/>
      </c>
      <c r="AC63" s="99">
        <f>IF(A63="","",IF(G63="Completed","Done",IF(G63="Blocked","Blocked",IF(X63="OVERDUE","Overdue",IF(AND(W63&lt;&gt;"",W63&lt;=2),"Due soon",IF(AND(Y63&lt;&gt;"",LEFT(Y63,1)="⏳",G63&lt;&gt;"Not Started"),"Dependency open",IF(AND(S63&lt;&gt;"None",S63&lt;&gt;"",G63&lt;&gt;"Completed"),"External req.","On track")))))))</f>
        <v/>
      </c>
    </row>
    <row r="64" ht="62" customHeight="1">
      <c r="A64" s="89" t="inlineStr">
        <is>
          <t>P4-02</t>
        </is>
      </c>
      <c r="B64" s="90" t="inlineStr">
        <is>
          <t>Phase 4</t>
        </is>
      </c>
      <c r="C64" s="91" t="inlineStr">
        <is>
          <t>CPT Engine</t>
        </is>
      </c>
      <c r="D64" s="91" t="inlineStr">
        <is>
          <t>Issue fields: number, date, year, decade, PDF, access</t>
        </is>
      </c>
      <c r="E64" s="91" t="inlineStr">
        <is>
          <t>Meta fields: issue number, publication month/year, year &amp; decade (auto-derived), PDF attachment, page count, access level (free / members / subscribers), featured articles.</t>
        </is>
      </c>
      <c r="F64" s="90" t="inlineStr">
        <is>
          <t>P0</t>
        </is>
      </c>
      <c r="G64" s="92" t="inlineStr">
        <is>
          <t>Not Started</t>
        </is>
      </c>
      <c r="H64" s="93" t="n">
        <v>46316</v>
      </c>
      <c r="I64" s="93" t="n">
        <v>46316</v>
      </c>
      <c r="J64" s="94" t="n">
        <v>0</v>
      </c>
      <c r="K64" s="91" t="inlineStr">
        <is>
          <t>P4-01</t>
        </is>
      </c>
      <c r="L64" s="91" t="inlineStr">
        <is>
          <t>Staging (Hostinger)</t>
        </is>
      </c>
      <c r="M64" s="91" t="inlineStr">
        <is>
          <t>inc/issue-meta.php</t>
        </is>
      </c>
      <c r="N64" s="91" t="inlineStr">
        <is>
          <t>Save issue; decade auto-calculates; invalid values rejected</t>
        </is>
      </c>
      <c r="O64" s="91" t="inlineStr">
        <is>
          <t>All issue metadata editable and validated</t>
        </is>
      </c>
      <c r="P64" s="95" t="n"/>
      <c r="Q64" s="95" t="n"/>
      <c r="R64" s="96" t="n"/>
      <c r="S64" s="91" t="inlineStr">
        <is>
          <t>None</t>
        </is>
      </c>
      <c r="T64" s="92" t="inlineStr">
        <is>
          <t>Not Tested</t>
        </is>
      </c>
      <c r="U64" s="97">
        <f>IF(A64="",0,IF(G64="Completed",1,IF(G64="Not Started",0,MIN(0.99,N(J64)))))</f>
        <v/>
      </c>
      <c r="V64" s="97">
        <f>IF(OR(A64="",H64="",I64=""),0,MAX(0,MIN(1,(StatusDate-H64+1)/(I64-H64+1))))</f>
        <v/>
      </c>
      <c r="W64" s="98">
        <f>IF(OR(A64="",I64="",G64="Completed"),"",I64-StatusDate)</f>
        <v/>
      </c>
      <c r="X64" s="99">
        <f>IF(A64="","",IF(AND(G64&lt;&gt;"Completed",I64&lt;&gt;"",I64&lt;StatusDate),"OVERDUE",""))</f>
        <v/>
      </c>
      <c r="Y64" s="99">
        <f>IF(OR(A64="",K64=""),"",IF(SUMPRODUCT(($A$6:$A$400&lt;&gt;"")*ISNUMBER(SEARCH($A$6:$A$400,K64))*($G$6:$G$400&lt;&gt;"Completed"))=0,"✓ Ready","⏳ "&amp;SUMPRODUCT(($A$6:$A$400&lt;&gt;"")*ISNUMBER(SEARCH($A$6:$A$400,K64))*($G$6:$G$400&lt;&gt;"Completed"))&amp;" open"))</f>
        <v/>
      </c>
      <c r="Z64" s="99">
        <f>IF(A64="","",B64&amp;"|"&amp;COUNTIFS($B$6:B64,B64,$A$6:A64,"?*"))</f>
        <v/>
      </c>
      <c r="AA64" s="99">
        <f>IF(OR(A64="",I64="",G64="Completed"),"",IF(I64&gt;=StatusDate,I64+ROW()/100000,""))</f>
        <v/>
      </c>
      <c r="AB64" s="99">
        <f>IF(A64="","",IF(AND(G64&lt;&gt;"Completed",OR(G64="Blocked",AND(TRIM(P64)&lt;&gt;"",P64&lt;&gt;"None"))),ROW(),""))</f>
        <v/>
      </c>
      <c r="AC64" s="99">
        <f>IF(A64="","",IF(G64="Completed","Done",IF(G64="Blocked","Blocked",IF(X64="OVERDUE","Overdue",IF(AND(W64&lt;&gt;"",W64&lt;=2),"Due soon",IF(AND(Y64&lt;&gt;"",LEFT(Y64,1)="⏳",G64&lt;&gt;"Not Started"),"Dependency open",IF(AND(S64&lt;&gt;"None",S64&lt;&gt;"",G64&lt;&gt;"Completed"),"External req.","On track")))))))</f>
        <v/>
      </c>
    </row>
    <row r="65" ht="62" customHeight="1">
      <c r="A65" s="89" t="inlineStr">
        <is>
          <t>P4-03</t>
        </is>
      </c>
      <c r="B65" s="90" t="inlineStr">
        <is>
          <t>Phase 4</t>
        </is>
      </c>
      <c r="C65" s="91" t="inlineStr">
        <is>
          <t>Historical Assets</t>
        </is>
      </c>
      <c r="D65" s="91" t="inlineStr">
        <is>
          <t>Collect 48 historical issue PDFs, covers &amp; manifest</t>
        </is>
      </c>
      <c r="E65" s="91" t="inlineStr">
        <is>
          <t>Request from client: all 48 PDFs, cover images and a manifest (issue number, date, title). Track missing items.</t>
        </is>
      </c>
      <c r="F65" s="90" t="inlineStr">
        <is>
          <t>P0</t>
        </is>
      </c>
      <c r="G65" s="92" t="inlineStr">
        <is>
          <t>Not Started</t>
        </is>
      </c>
      <c r="H65" s="93" t="n">
        <v>46307</v>
      </c>
      <c r="I65" s="93" t="n">
        <v>46315</v>
      </c>
      <c r="J65" s="94" t="n">
        <v>0</v>
      </c>
      <c r="K65" s="91" t="n"/>
      <c r="L65" s="91" t="inlineStr">
        <is>
          <t>External / Third-party</t>
        </is>
      </c>
      <c r="M65" s="91" t="inlineStr">
        <is>
          <t>url: shared drive</t>
        </is>
      </c>
      <c r="N65" s="91" t="inlineStr">
        <is>
          <t>Count received files = 48 PDFs + 48 covers; manifest complete</t>
        </is>
      </c>
      <c r="O65" s="91" t="inlineStr">
        <is>
          <t>All historical assets received and checked</t>
        </is>
      </c>
      <c r="P65" s="95" t="n"/>
      <c r="Q65" s="95" t="n"/>
      <c r="R65" s="96" t="n"/>
      <c r="S65" s="91" t="inlineStr">
        <is>
          <t>Historical Assets</t>
        </is>
      </c>
      <c r="T65" s="92" t="inlineStr">
        <is>
          <t>Not Tested</t>
        </is>
      </c>
      <c r="U65" s="97">
        <f>IF(A65="",0,IF(G65="Completed",1,IF(G65="Not Started",0,MIN(0.99,N(J65)))))</f>
        <v/>
      </c>
      <c r="V65" s="97">
        <f>IF(OR(A65="",H65="",I65=""),0,MAX(0,MIN(1,(StatusDate-H65+1)/(I65-H65+1))))</f>
        <v/>
      </c>
      <c r="W65" s="98">
        <f>IF(OR(A65="",I65="",G65="Completed"),"",I65-StatusDate)</f>
        <v/>
      </c>
      <c r="X65" s="99">
        <f>IF(A65="","",IF(AND(G65&lt;&gt;"Completed",I65&lt;&gt;"",I65&lt;StatusDate),"OVERDUE",""))</f>
        <v/>
      </c>
      <c r="Y65" s="99">
        <f>IF(OR(A65="",K65=""),"",IF(SUMPRODUCT(($A$6:$A$400&lt;&gt;"")*ISNUMBER(SEARCH($A$6:$A$400,K65))*($G$6:$G$400&lt;&gt;"Completed"))=0,"✓ Ready","⏳ "&amp;SUMPRODUCT(($A$6:$A$400&lt;&gt;"")*ISNUMBER(SEARCH($A$6:$A$400,K65))*($G$6:$G$400&lt;&gt;"Completed"))&amp;" open"))</f>
        <v/>
      </c>
      <c r="Z65" s="99">
        <f>IF(A65="","",B65&amp;"|"&amp;COUNTIFS($B$6:B65,B65,$A$6:A65,"?*"))</f>
        <v/>
      </c>
      <c r="AA65" s="99">
        <f>IF(OR(A65="",I65="",G65="Completed"),"",IF(I65&gt;=StatusDate,I65+ROW()/100000,""))</f>
        <v/>
      </c>
      <c r="AB65" s="99">
        <f>IF(A65="","",IF(AND(G65&lt;&gt;"Completed",OR(G65="Blocked",AND(TRIM(P65)&lt;&gt;"",P65&lt;&gt;"None"))),ROW(),""))</f>
        <v/>
      </c>
      <c r="AC65" s="99">
        <f>IF(A65="","",IF(G65="Completed","Done",IF(G65="Blocked","Blocked",IF(X65="OVERDUE","Overdue",IF(AND(W65&lt;&gt;"",W65&lt;=2),"Due soon",IF(AND(Y65&lt;&gt;"",LEFT(Y65,1)="⏳",G65&lt;&gt;"Not Started"),"Dependency open",IF(AND(S65&lt;&gt;"None",S65&lt;&gt;"",G65&lt;&gt;"Completed"),"External req.","On track")))))))</f>
        <v/>
      </c>
    </row>
    <row r="66" ht="62" customHeight="1">
      <c r="A66" s="89" t="inlineStr">
        <is>
          <t>P4-04</t>
        </is>
      </c>
      <c r="B66" s="90" t="inlineStr">
        <is>
          <t>Phase 4</t>
        </is>
      </c>
      <c r="C66" s="91" t="inlineStr">
        <is>
          <t>Migration</t>
        </is>
      </c>
      <c r="D66" s="91" t="inlineStr">
        <is>
          <t>Historical issue migration (import 48 issues)</t>
        </is>
      </c>
      <c r="E66" s="91" t="inlineStr">
        <is>
          <t>CSV manifest + idempotent importer (WP-CLI via Hostinger SSH or one-time admin tool) creating issues, attaching covers and PDFs; re-runnable without duplicates.</t>
        </is>
      </c>
      <c r="F66" s="90" t="inlineStr">
        <is>
          <t>P0</t>
        </is>
      </c>
      <c r="G66" s="92" t="inlineStr">
        <is>
          <t>Not Started</t>
        </is>
      </c>
      <c r="H66" s="93" t="n">
        <v>46316</v>
      </c>
      <c r="I66" s="93" t="n">
        <v>46316</v>
      </c>
      <c r="J66" s="94" t="n">
        <v>0</v>
      </c>
      <c r="K66" s="91" t="inlineStr">
        <is>
          <t>P4-02, P4-03</t>
        </is>
      </c>
      <c r="L66" s="91" t="inlineStr">
        <is>
          <t>Staging (Hostinger)</t>
        </is>
      </c>
      <c r="M66" s="91" t="inlineStr">
        <is>
          <t>inc/issue-import.php, issues-manifest.csv</t>
        </is>
      </c>
      <c r="N66" s="91" t="inlineStr">
        <is>
          <t>Run import twice; still 48 issues; spot-check 10</t>
        </is>
      </c>
      <c r="O66" s="91" t="inlineStr">
        <is>
          <t>All 48 issues imported with correct metadata, covers and PDFs</t>
        </is>
      </c>
      <c r="P66" s="95" t="n"/>
      <c r="Q66" s="95" t="n"/>
      <c r="R66" s="96" t="n"/>
      <c r="S66" s="91" t="inlineStr">
        <is>
          <t>Server Access</t>
        </is>
      </c>
      <c r="T66" s="92" t="inlineStr">
        <is>
          <t>Not Tested</t>
        </is>
      </c>
      <c r="U66" s="97">
        <f>IF(A66="",0,IF(G66="Completed",1,IF(G66="Not Started",0,MIN(0.99,N(J66)))))</f>
        <v/>
      </c>
      <c r="V66" s="97">
        <f>IF(OR(A66="",H66="",I66=""),0,MAX(0,MIN(1,(StatusDate-H66+1)/(I66-H66+1))))</f>
        <v/>
      </c>
      <c r="W66" s="98">
        <f>IF(OR(A66="",I66="",G66="Completed"),"",I66-StatusDate)</f>
        <v/>
      </c>
      <c r="X66" s="99">
        <f>IF(A66="","",IF(AND(G66&lt;&gt;"Completed",I66&lt;&gt;"",I66&lt;StatusDate),"OVERDUE",""))</f>
        <v/>
      </c>
      <c r="Y66" s="99">
        <f>IF(OR(A66="",K66=""),"",IF(SUMPRODUCT(($A$6:$A$400&lt;&gt;"")*ISNUMBER(SEARCH($A$6:$A$400,K66))*($G$6:$G$400&lt;&gt;"Completed"))=0,"✓ Ready","⏳ "&amp;SUMPRODUCT(($A$6:$A$400&lt;&gt;"")*ISNUMBER(SEARCH($A$6:$A$400,K66))*($G$6:$G$400&lt;&gt;"Completed"))&amp;" open"))</f>
        <v/>
      </c>
      <c r="Z66" s="99">
        <f>IF(A66="","",B66&amp;"|"&amp;COUNTIFS($B$6:B66,B66,$A$6:A66,"?*"))</f>
        <v/>
      </c>
      <c r="AA66" s="99">
        <f>IF(OR(A66="",I66="",G66="Completed"),"",IF(I66&gt;=StatusDate,I66+ROW()/100000,""))</f>
        <v/>
      </c>
      <c r="AB66" s="99">
        <f>IF(A66="","",IF(AND(G66&lt;&gt;"Completed",OR(G66="Blocked",AND(TRIM(P66)&lt;&gt;"",P66&lt;&gt;"None"))),ROW(),""))</f>
        <v/>
      </c>
      <c r="AC66" s="99">
        <f>IF(A66="","",IF(G66="Completed","Done",IF(G66="Blocked","Blocked",IF(X66="OVERDUE","Overdue",IF(AND(W66&lt;&gt;"",W66&lt;=2),"Due soon",IF(AND(Y66&lt;&gt;"",LEFT(Y66,1)="⏳",G66&lt;&gt;"Not Started"),"Dependency open",IF(AND(S66&lt;&gt;"None",S66&lt;&gt;"",G66&lt;&gt;"Completed"),"External req.","On track")))))))</f>
        <v/>
      </c>
    </row>
    <row r="67" ht="62" customHeight="1">
      <c r="A67" s="89" t="inlineStr">
        <is>
          <t>P4-05</t>
        </is>
      </c>
      <c r="B67" s="90" t="inlineStr">
        <is>
          <t>Phase 4</t>
        </is>
      </c>
      <c r="C67" s="91" t="inlineStr">
        <is>
          <t>Cover Images</t>
        </is>
      </c>
      <c r="D67" s="91" t="inlineStr">
        <is>
          <t>Cover image optimization</t>
        </is>
      </c>
      <c r="E67" s="91" t="inlineStr">
        <is>
          <t>Generate WebP and required sizes for covers; consistent aspect ratio.</t>
        </is>
      </c>
      <c r="F67" s="90" t="inlineStr">
        <is>
          <t>P1</t>
        </is>
      </c>
      <c r="G67" s="92" t="inlineStr">
        <is>
          <t>Not Started</t>
        </is>
      </c>
      <c r="H67" s="93" t="n">
        <v>46316</v>
      </c>
      <c r="I67" s="93" t="n">
        <v>46316</v>
      </c>
      <c r="J67" s="94" t="n">
        <v>0</v>
      </c>
      <c r="K67" s="91" t="inlineStr">
        <is>
          <t>P4-04</t>
        </is>
      </c>
      <c r="L67" s="91" t="inlineStr">
        <is>
          <t>Staging (Hostinger)</t>
        </is>
      </c>
      <c r="M67" s="91" t="inlineStr">
        <is>
          <t>inc/media.php</t>
        </is>
      </c>
      <c r="N67" s="91" t="inlineStr">
        <is>
          <t>Check archive weight and image dimensions</t>
        </is>
      </c>
      <c r="O67" s="91" t="inlineStr">
        <is>
          <t>Covers sharp and lightweight</t>
        </is>
      </c>
      <c r="P67" s="95" t="n"/>
      <c r="Q67" s="95" t="n"/>
      <c r="R67" s="96" t="n"/>
      <c r="S67" s="91" t="inlineStr">
        <is>
          <t>None</t>
        </is>
      </c>
      <c r="T67" s="92" t="inlineStr">
        <is>
          <t>Not Tested</t>
        </is>
      </c>
      <c r="U67" s="97">
        <f>IF(A67="",0,IF(G67="Completed",1,IF(G67="Not Started",0,MIN(0.99,N(J67)))))</f>
        <v/>
      </c>
      <c r="V67" s="97">
        <f>IF(OR(A67="",H67="",I67=""),0,MAX(0,MIN(1,(StatusDate-H67+1)/(I67-H67+1))))</f>
        <v/>
      </c>
      <c r="W67" s="98">
        <f>IF(OR(A67="",I67="",G67="Completed"),"",I67-StatusDate)</f>
        <v/>
      </c>
      <c r="X67" s="99">
        <f>IF(A67="","",IF(AND(G67&lt;&gt;"Completed",I67&lt;&gt;"",I67&lt;StatusDate),"OVERDUE",""))</f>
        <v/>
      </c>
      <c r="Y67" s="99">
        <f>IF(OR(A67="",K67=""),"",IF(SUMPRODUCT(($A$6:$A$400&lt;&gt;"")*ISNUMBER(SEARCH($A$6:$A$400,K67))*($G$6:$G$400&lt;&gt;"Completed"))=0,"✓ Ready","⏳ "&amp;SUMPRODUCT(($A$6:$A$400&lt;&gt;"")*ISNUMBER(SEARCH($A$6:$A$400,K67))*($G$6:$G$400&lt;&gt;"Completed"))&amp;" open"))</f>
        <v/>
      </c>
      <c r="Z67" s="99">
        <f>IF(A67="","",B67&amp;"|"&amp;COUNTIFS($B$6:B67,B67,$A$6:A67,"?*"))</f>
        <v/>
      </c>
      <c r="AA67" s="99">
        <f>IF(OR(A67="",I67="",G67="Completed"),"",IF(I67&gt;=StatusDate,I67+ROW()/100000,""))</f>
        <v/>
      </c>
      <c r="AB67" s="99">
        <f>IF(A67="","",IF(AND(G67&lt;&gt;"Completed",OR(G67="Blocked",AND(TRIM(P67)&lt;&gt;"",P67&lt;&gt;"None"))),ROW(),""))</f>
        <v/>
      </c>
      <c r="AC67" s="99">
        <f>IF(A67="","",IF(G67="Completed","Done",IF(G67="Blocked","Blocked",IF(X67="OVERDUE","Overdue",IF(AND(W67&lt;&gt;"",W67&lt;=2),"Due soon",IF(AND(Y67&lt;&gt;"",LEFT(Y67,1)="⏳",G67&lt;&gt;"Not Started"),"Dependency open",IF(AND(S67&lt;&gt;"None",S67&lt;&gt;"",G67&lt;&gt;"Completed"),"External req.","On track")))))))</f>
        <v/>
      </c>
    </row>
    <row r="68" ht="62" customHeight="1">
      <c r="A68" s="89" t="inlineStr">
        <is>
          <t>P4-06</t>
        </is>
      </c>
      <c r="B68" s="90" t="inlineStr">
        <is>
          <t>Phase 4</t>
        </is>
      </c>
      <c r="C68" s="91" t="inlineStr">
        <is>
          <t>Issue Archive</t>
        </is>
      </c>
      <c r="D68" s="91" t="inlineStr">
        <is>
          <t>Issue archive template</t>
        </is>
      </c>
      <c r="E68" s="91" t="inlineStr">
        <is>
          <t>archive-magazine_issue.php: cover grid, newest first, issue number/date, pagination.</t>
        </is>
      </c>
      <c r="F68" s="90" t="inlineStr">
        <is>
          <t>P0</t>
        </is>
      </c>
      <c r="G68" s="92" t="inlineStr">
        <is>
          <t>In Progress</t>
        </is>
      </c>
      <c r="H68" s="93" t="n">
        <v>46316</v>
      </c>
      <c r="I68" s="93" t="n">
        <v>46316</v>
      </c>
      <c r="J68" s="94" t="n">
        <v>0.5</v>
      </c>
      <c r="K68" s="91" t="inlineStr">
        <is>
          <t>P4-01</t>
        </is>
      </c>
      <c r="L68" s="91" t="inlineStr">
        <is>
          <t>Staging (Hostinger)</t>
        </is>
      </c>
      <c r="M68" s="91" t="inlineStr">
        <is>
          <t>archive-magazine_issue.php, template-parts/issue/card.php</t>
        </is>
      </c>
      <c r="N68" s="91" t="inlineStr">
        <is>
          <t>Open archive; check ordering and pagination</t>
        </is>
      </c>
      <c r="O68" s="91" t="inlineStr">
        <is>
          <t>Archive lists all issues correctly</t>
        </is>
      </c>
      <c r="P68" s="95" t="n"/>
      <c r="Q68" s="95" t="inlineStr">
        <is>
          <t>archive-issue.php template exists. Open: real data after import + filters.</t>
        </is>
      </c>
      <c r="R68" s="96" t="n"/>
      <c r="S68" s="91" t="inlineStr">
        <is>
          <t>None</t>
        </is>
      </c>
      <c r="T68" s="92" t="inlineStr">
        <is>
          <t>Not Tested</t>
        </is>
      </c>
      <c r="U68" s="97">
        <f>IF(A68="",0,IF(G68="Completed",1,IF(G68="Not Started",0,MIN(0.99,N(J68)))))</f>
        <v/>
      </c>
      <c r="V68" s="97">
        <f>IF(OR(A68="",H68="",I68=""),0,MAX(0,MIN(1,(StatusDate-H68+1)/(I68-H68+1))))</f>
        <v/>
      </c>
      <c r="W68" s="98">
        <f>IF(OR(A68="",I68="",G68="Completed"),"",I68-StatusDate)</f>
        <v/>
      </c>
      <c r="X68" s="99">
        <f>IF(A68="","",IF(AND(G68&lt;&gt;"Completed",I68&lt;&gt;"",I68&lt;StatusDate),"OVERDUE",""))</f>
        <v/>
      </c>
      <c r="Y68" s="99">
        <f>IF(OR(A68="",K68=""),"",IF(SUMPRODUCT(($A$6:$A$400&lt;&gt;"")*ISNUMBER(SEARCH($A$6:$A$400,K68))*($G$6:$G$400&lt;&gt;"Completed"))=0,"✓ Ready","⏳ "&amp;SUMPRODUCT(($A$6:$A$400&lt;&gt;"")*ISNUMBER(SEARCH($A$6:$A$400,K68))*($G$6:$G$400&lt;&gt;"Completed"))&amp;" open"))</f>
        <v/>
      </c>
      <c r="Z68" s="99">
        <f>IF(A68="","",B68&amp;"|"&amp;COUNTIFS($B$6:B68,B68,$A$6:A68,"?*"))</f>
        <v/>
      </c>
      <c r="AA68" s="99">
        <f>IF(OR(A68="",I68="",G68="Completed"),"",IF(I68&gt;=StatusDate,I68+ROW()/100000,""))</f>
        <v/>
      </c>
      <c r="AB68" s="99">
        <f>IF(A68="","",IF(AND(G68&lt;&gt;"Completed",OR(G68="Blocked",AND(TRIM(P68)&lt;&gt;"",P68&lt;&gt;"None"))),ROW(),""))</f>
        <v/>
      </c>
      <c r="AC68" s="99">
        <f>IF(A68="","",IF(G68="Completed","Done",IF(G68="Blocked","Blocked",IF(X68="OVERDUE","Overdue",IF(AND(W68&lt;&gt;"",W68&lt;=2),"Due soon",IF(AND(Y68&lt;&gt;"",LEFT(Y68,1)="⏳",G68&lt;&gt;"Not Started"),"Dependency open",IF(AND(S68&lt;&gt;"None",S68&lt;&gt;"",G68&lt;&gt;"Completed"),"External req.","On track")))))))</f>
        <v/>
      </c>
    </row>
    <row r="69" ht="62" customHeight="1">
      <c r="A69" s="89" t="inlineStr">
        <is>
          <t>P4-07</t>
        </is>
      </c>
      <c r="B69" s="90" t="inlineStr">
        <is>
          <t>Phase 4</t>
        </is>
      </c>
      <c r="C69" s="91" t="inlineStr">
        <is>
          <t>Issue Archive</t>
        </is>
      </c>
      <c r="D69" s="91" t="inlineStr">
        <is>
          <t>Year &amp; decade filtering</t>
        </is>
      </c>
      <c r="E69" s="91" t="inlineStr">
        <is>
          <t>Filter issues by decade then year (query vars + optional AJAX), crawlable URLs.</t>
        </is>
      </c>
      <c r="F69" s="90" t="inlineStr">
        <is>
          <t>P1</t>
        </is>
      </c>
      <c r="G69" s="92" t="inlineStr">
        <is>
          <t>Not Started</t>
        </is>
      </c>
      <c r="H69" s="93" t="n">
        <v>46316</v>
      </c>
      <c r="I69" s="93" t="n">
        <v>46316</v>
      </c>
      <c r="J69" s="94" t="n">
        <v>0</v>
      </c>
      <c r="K69" s="91" t="inlineStr">
        <is>
          <t>P4-06</t>
        </is>
      </c>
      <c r="L69" s="91" t="inlineStr">
        <is>
          <t>Staging (Hostinger)</t>
        </is>
      </c>
      <c r="M69" s="91" t="inlineStr">
        <is>
          <t>archive-magazine_issue.php, assets/js/modules/issue-filter.js</t>
        </is>
      </c>
      <c r="N69" s="91" t="inlineStr">
        <is>
          <t>Filter each decade/year; counts match manifest</t>
        </is>
      </c>
      <c r="O69" s="91" t="inlineStr">
        <is>
          <t>Filters return correct issues</t>
        </is>
      </c>
      <c r="P69" s="95" t="n"/>
      <c r="Q69" s="95" t="n"/>
      <c r="R69" s="96" t="n"/>
      <c r="S69" s="91" t="inlineStr">
        <is>
          <t>None</t>
        </is>
      </c>
      <c r="T69" s="92" t="inlineStr">
        <is>
          <t>Not Tested</t>
        </is>
      </c>
      <c r="U69" s="97">
        <f>IF(A69="",0,IF(G69="Completed",1,IF(G69="Not Started",0,MIN(0.99,N(J69)))))</f>
        <v/>
      </c>
      <c r="V69" s="97">
        <f>IF(OR(A69="",H69="",I69=""),0,MAX(0,MIN(1,(StatusDate-H69+1)/(I69-H69+1))))</f>
        <v/>
      </c>
      <c r="W69" s="98">
        <f>IF(OR(A69="",I69="",G69="Completed"),"",I69-StatusDate)</f>
        <v/>
      </c>
      <c r="X69" s="99">
        <f>IF(A69="","",IF(AND(G69&lt;&gt;"Completed",I69&lt;&gt;"",I69&lt;StatusDate),"OVERDUE",""))</f>
        <v/>
      </c>
      <c r="Y69" s="99">
        <f>IF(OR(A69="",K69=""),"",IF(SUMPRODUCT(($A$6:$A$400&lt;&gt;"")*ISNUMBER(SEARCH($A$6:$A$400,K69))*($G$6:$G$400&lt;&gt;"Completed"))=0,"✓ Ready","⏳ "&amp;SUMPRODUCT(($A$6:$A$400&lt;&gt;"")*ISNUMBER(SEARCH($A$6:$A$400,K69))*($G$6:$G$400&lt;&gt;"Completed"))&amp;" open"))</f>
        <v/>
      </c>
      <c r="Z69" s="99">
        <f>IF(A69="","",B69&amp;"|"&amp;COUNTIFS($B$6:B69,B69,$A$6:A69,"?*"))</f>
        <v/>
      </c>
      <c r="AA69" s="99">
        <f>IF(OR(A69="",I69="",G69="Completed"),"",IF(I69&gt;=StatusDate,I69+ROW()/100000,""))</f>
        <v/>
      </c>
      <c r="AB69" s="99">
        <f>IF(A69="","",IF(AND(G69&lt;&gt;"Completed",OR(G69="Blocked",AND(TRIM(P69)&lt;&gt;"",P69&lt;&gt;"None"))),ROW(),""))</f>
        <v/>
      </c>
      <c r="AC69" s="99">
        <f>IF(A69="","",IF(G69="Completed","Done",IF(G69="Blocked","Blocked",IF(X69="OVERDUE","Overdue",IF(AND(W69&lt;&gt;"",W69&lt;=2),"Due soon",IF(AND(Y69&lt;&gt;"",LEFT(Y69,1)="⏳",G69&lt;&gt;"Not Started"),"Dependency open",IF(AND(S69&lt;&gt;"None",S69&lt;&gt;"",G69&lt;&gt;"Completed"),"External req.","On track")))))))</f>
        <v/>
      </c>
    </row>
    <row r="70" ht="62" customHeight="1">
      <c r="A70" s="89" t="inlineStr">
        <is>
          <t>P4-08</t>
        </is>
      </c>
      <c r="B70" s="90" t="inlineStr">
        <is>
          <t>Phase 4</t>
        </is>
      </c>
      <c r="C70" s="91" t="inlineStr">
        <is>
          <t>Single Issue</t>
        </is>
      </c>
      <c r="D70" s="91" t="inlineStr">
        <is>
          <t>Single issue page</t>
        </is>
      </c>
      <c r="E70" s="91" t="inlineStr">
        <is>
          <t>single-magazine_issue.php: large cover, issue details, highlights/table of contents, read &amp; download actions, previous/next issue.</t>
        </is>
      </c>
      <c r="F70" s="90" t="inlineStr">
        <is>
          <t>P0</t>
        </is>
      </c>
      <c r="G70" s="92" t="inlineStr">
        <is>
          <t>In Progress</t>
        </is>
      </c>
      <c r="H70" s="93" t="n">
        <v>46317</v>
      </c>
      <c r="I70" s="93" t="n">
        <v>46317</v>
      </c>
      <c r="J70" s="94" t="n">
        <v>0.5</v>
      </c>
      <c r="K70" s="91" t="inlineStr">
        <is>
          <t>P4-02</t>
        </is>
      </c>
      <c r="L70" s="91" t="inlineStr">
        <is>
          <t>Staging (Hostinger)</t>
        </is>
      </c>
      <c r="M70" s="91" t="inlineStr">
        <is>
          <t>single-magazine_issue.php</t>
        </is>
      </c>
      <c r="N70" s="91" t="inlineStr">
        <is>
          <t>Open 5 issues incl. oldest and newest</t>
        </is>
      </c>
      <c r="O70" s="91" t="inlineStr">
        <is>
          <t>Single issue page complete for every issue</t>
        </is>
      </c>
      <c r="P70" s="95" t="n"/>
      <c r="Q70" s="95" t="inlineStr">
        <is>
          <t>single-issue.php template exists. Open: reader + download actions.</t>
        </is>
      </c>
      <c r="R70" s="96" t="n"/>
      <c r="S70" s="91" t="inlineStr">
        <is>
          <t>None</t>
        </is>
      </c>
      <c r="T70" s="92" t="inlineStr">
        <is>
          <t>Not Tested</t>
        </is>
      </c>
      <c r="U70" s="97">
        <f>IF(A70="",0,IF(G70="Completed",1,IF(G70="Not Started",0,MIN(0.99,N(J70)))))</f>
        <v/>
      </c>
      <c r="V70" s="97">
        <f>IF(OR(A70="",H70="",I70=""),0,MAX(0,MIN(1,(StatusDate-H70+1)/(I70-H70+1))))</f>
        <v/>
      </c>
      <c r="W70" s="98">
        <f>IF(OR(A70="",I70="",G70="Completed"),"",I70-StatusDate)</f>
        <v/>
      </c>
      <c r="X70" s="99">
        <f>IF(A70="","",IF(AND(G70&lt;&gt;"Completed",I70&lt;&gt;"",I70&lt;StatusDate),"OVERDUE",""))</f>
        <v/>
      </c>
      <c r="Y70" s="99">
        <f>IF(OR(A70="",K70=""),"",IF(SUMPRODUCT(($A$6:$A$400&lt;&gt;"")*ISNUMBER(SEARCH($A$6:$A$400,K70))*($G$6:$G$400&lt;&gt;"Completed"))=0,"✓ Ready","⏳ "&amp;SUMPRODUCT(($A$6:$A$400&lt;&gt;"")*ISNUMBER(SEARCH($A$6:$A$400,K70))*($G$6:$G$400&lt;&gt;"Completed"))&amp;" open"))</f>
        <v/>
      </c>
      <c r="Z70" s="99">
        <f>IF(A70="","",B70&amp;"|"&amp;COUNTIFS($B$6:B70,B70,$A$6:A70,"?*"))</f>
        <v/>
      </c>
      <c r="AA70" s="99">
        <f>IF(OR(A70="",I70="",G70="Completed"),"",IF(I70&gt;=StatusDate,I70+ROW()/100000,""))</f>
        <v/>
      </c>
      <c r="AB70" s="99">
        <f>IF(A70="","",IF(AND(G70&lt;&gt;"Completed",OR(G70="Blocked",AND(TRIM(P70)&lt;&gt;"",P70&lt;&gt;"None"))),ROW(),""))</f>
        <v/>
      </c>
      <c r="AC70" s="99">
        <f>IF(A70="","",IF(G70="Completed","Done",IF(G70="Blocked","Blocked",IF(X70="OVERDUE","Overdue",IF(AND(W70&lt;&gt;"",W70&lt;=2),"Due soon",IF(AND(Y70&lt;&gt;"",LEFT(Y70,1)="⏳",G70&lt;&gt;"Not Started"),"Dependency open",IF(AND(S70&lt;&gt;"None",S70&lt;&gt;"",G70&lt;&gt;"Completed"),"External req.","On track")))))))</f>
        <v/>
      </c>
    </row>
    <row r="71" ht="62" customHeight="1">
      <c r="A71" s="89" t="inlineStr">
        <is>
          <t>P4-09</t>
        </is>
      </c>
      <c r="B71" s="90" t="inlineStr">
        <is>
          <t>Phase 4</t>
        </is>
      </c>
      <c r="C71" s="91" t="inlineStr">
        <is>
          <t>Flipbook</t>
        </is>
      </c>
      <c r="D71" s="91" t="inlineStr">
        <is>
          <t>Flipbook reader</t>
        </is>
      </c>
      <c r="E71" s="91" t="inlineStr">
        <is>
          <t>Self-hosted PDF.js based flipbook, lazy-loaded only on issue pages, page navigation, zoom, fullscreen; mobile fallback to scroll view.</t>
        </is>
      </c>
      <c r="F71" s="90" t="inlineStr">
        <is>
          <t>P1</t>
        </is>
      </c>
      <c r="G71" s="92" t="inlineStr">
        <is>
          <t>Not Started</t>
        </is>
      </c>
      <c r="H71" s="93" t="n">
        <v>46317</v>
      </c>
      <c r="I71" s="93" t="n">
        <v>46317</v>
      </c>
      <c r="J71" s="94" t="n">
        <v>0</v>
      </c>
      <c r="K71" s="91" t="inlineStr">
        <is>
          <t>P4-08</t>
        </is>
      </c>
      <c r="L71" s="91" t="inlineStr">
        <is>
          <t>Staging (Hostinger)</t>
        </is>
      </c>
      <c r="M71" s="91" t="inlineStr">
        <is>
          <t>assets/js/modules/flipbook.js, assets/vendor/pdfjs/*</t>
        </is>
      </c>
      <c r="N71" s="91" t="inlineStr">
        <is>
          <t>Open large PDF on mobile &amp; desktop; measure load time</t>
        </is>
      </c>
      <c r="O71" s="91" t="inlineStr">
        <is>
          <t>Readable flipbook on desktop &amp; mobile without blocking page load</t>
        </is>
      </c>
      <c r="P71" s="95" t="n"/>
      <c r="Q71" s="95" t="n"/>
      <c r="R71" s="96" t="n"/>
      <c r="S71" s="91" t="inlineStr">
        <is>
          <t>None</t>
        </is>
      </c>
      <c r="T71" s="92" t="inlineStr">
        <is>
          <t>Not Tested</t>
        </is>
      </c>
      <c r="U71" s="97">
        <f>IF(A71="",0,IF(G71="Completed",1,IF(G71="Not Started",0,MIN(0.99,N(J71)))))</f>
        <v/>
      </c>
      <c r="V71" s="97">
        <f>IF(OR(A71="",H71="",I71=""),0,MAX(0,MIN(1,(StatusDate-H71+1)/(I71-H71+1))))</f>
        <v/>
      </c>
      <c r="W71" s="98">
        <f>IF(OR(A71="",I71="",G71="Completed"),"",I71-StatusDate)</f>
        <v/>
      </c>
      <c r="X71" s="99">
        <f>IF(A71="","",IF(AND(G71&lt;&gt;"Completed",I71&lt;&gt;"",I71&lt;StatusDate),"OVERDUE",""))</f>
        <v/>
      </c>
      <c r="Y71" s="99">
        <f>IF(OR(A71="",K71=""),"",IF(SUMPRODUCT(($A$6:$A$400&lt;&gt;"")*ISNUMBER(SEARCH($A$6:$A$400,K71))*($G$6:$G$400&lt;&gt;"Completed"))=0,"✓ Ready","⏳ "&amp;SUMPRODUCT(($A$6:$A$400&lt;&gt;"")*ISNUMBER(SEARCH($A$6:$A$400,K71))*($G$6:$G$400&lt;&gt;"Completed"))&amp;" open"))</f>
        <v/>
      </c>
      <c r="Z71" s="99">
        <f>IF(A71="","",B71&amp;"|"&amp;COUNTIFS($B$6:B71,B71,$A$6:A71,"?*"))</f>
        <v/>
      </c>
      <c r="AA71" s="99">
        <f>IF(OR(A71="",I71="",G71="Completed"),"",IF(I71&gt;=StatusDate,I71+ROW()/100000,""))</f>
        <v/>
      </c>
      <c r="AB71" s="99">
        <f>IF(A71="","",IF(AND(G71&lt;&gt;"Completed",OR(G71="Blocked",AND(TRIM(P71)&lt;&gt;"",P71&lt;&gt;"None"))),ROW(),""))</f>
        <v/>
      </c>
      <c r="AC71" s="99">
        <f>IF(A71="","",IF(G71="Completed","Done",IF(G71="Blocked","Blocked",IF(X71="OVERDUE","Overdue",IF(AND(W71&lt;&gt;"",W71&lt;=2),"Due soon",IF(AND(Y71&lt;&gt;"",LEFT(Y71,1)="⏳",G71&lt;&gt;"Not Started"),"Dependency open",IF(AND(S71&lt;&gt;"None",S71&lt;&gt;"",G71&lt;&gt;"Completed"),"External req.","On track")))))))</f>
        <v/>
      </c>
    </row>
    <row r="72" ht="62" customHeight="1">
      <c r="A72" s="89" t="inlineStr">
        <is>
          <t>P4-10</t>
        </is>
      </c>
      <c r="B72" s="90" t="inlineStr">
        <is>
          <t>Phase 4</t>
        </is>
      </c>
      <c r="C72" s="91" t="inlineStr">
        <is>
          <t>PDF Downloads</t>
        </is>
      </c>
      <c r="D72" s="91" t="inlineStr">
        <is>
          <t>Secure PDF downloads</t>
        </is>
      </c>
      <c r="E72" s="91" t="inlineStr">
        <is>
          <t>Download endpoint with nonce and access check, download counter, correct filename/headers.</t>
        </is>
      </c>
      <c r="F72" s="90" t="inlineStr">
        <is>
          <t>P0</t>
        </is>
      </c>
      <c r="G72" s="92" t="inlineStr">
        <is>
          <t>Not Started</t>
        </is>
      </c>
      <c r="H72" s="93" t="n">
        <v>46317</v>
      </c>
      <c r="I72" s="93" t="n">
        <v>46317</v>
      </c>
      <c r="J72" s="94" t="n">
        <v>0</v>
      </c>
      <c r="K72" s="91" t="inlineStr">
        <is>
          <t>P4-08</t>
        </is>
      </c>
      <c r="L72" s="91" t="inlineStr">
        <is>
          <t>Staging (Hostinger)</t>
        </is>
      </c>
      <c r="M72" s="91" t="inlineStr">
        <is>
          <t>inc/pdf-download.php</t>
        </is>
      </c>
      <c r="N72" s="91" t="inlineStr">
        <is>
          <t>Download as guest/member/subscriber; check headers</t>
        </is>
      </c>
      <c r="O72" s="91" t="inlineStr">
        <is>
          <t>Downloads work and respect access rules</t>
        </is>
      </c>
      <c r="P72" s="95" t="n"/>
      <c r="Q72" s="95" t="n"/>
      <c r="R72" s="96" t="n"/>
      <c r="S72" s="91" t="inlineStr">
        <is>
          <t>None</t>
        </is>
      </c>
      <c r="T72" s="92" t="inlineStr">
        <is>
          <t>Not Tested</t>
        </is>
      </c>
      <c r="U72" s="97">
        <f>IF(A72="",0,IF(G72="Completed",1,IF(G72="Not Started",0,MIN(0.99,N(J72)))))</f>
        <v/>
      </c>
      <c r="V72" s="97">
        <f>IF(OR(A72="",H72="",I72=""),0,MAX(0,MIN(1,(StatusDate-H72+1)/(I72-H72+1))))</f>
        <v/>
      </c>
      <c r="W72" s="98">
        <f>IF(OR(A72="",I72="",G72="Completed"),"",I72-StatusDate)</f>
        <v/>
      </c>
      <c r="X72" s="99">
        <f>IF(A72="","",IF(AND(G72&lt;&gt;"Completed",I72&lt;&gt;"",I72&lt;StatusDate),"OVERDUE",""))</f>
        <v/>
      </c>
      <c r="Y72" s="99">
        <f>IF(OR(A72="",K72=""),"",IF(SUMPRODUCT(($A$6:$A$400&lt;&gt;"")*ISNUMBER(SEARCH($A$6:$A$400,K72))*($G$6:$G$400&lt;&gt;"Completed"))=0,"✓ Ready","⏳ "&amp;SUMPRODUCT(($A$6:$A$400&lt;&gt;"")*ISNUMBER(SEARCH($A$6:$A$400,K72))*($G$6:$G$400&lt;&gt;"Completed"))&amp;" open"))</f>
        <v/>
      </c>
      <c r="Z72" s="99">
        <f>IF(A72="","",B72&amp;"|"&amp;COUNTIFS($B$6:B72,B72,$A$6:A72,"?*"))</f>
        <v/>
      </c>
      <c r="AA72" s="99">
        <f>IF(OR(A72="",I72="",G72="Completed"),"",IF(I72&gt;=StatusDate,I72+ROW()/100000,""))</f>
        <v/>
      </c>
      <c r="AB72" s="99">
        <f>IF(A72="","",IF(AND(G72&lt;&gt;"Completed",OR(G72="Blocked",AND(TRIM(P72)&lt;&gt;"",P72&lt;&gt;"None"))),ROW(),""))</f>
        <v/>
      </c>
      <c r="AC72" s="99">
        <f>IF(A72="","",IF(G72="Completed","Done",IF(G72="Blocked","Blocked",IF(X72="OVERDUE","Overdue",IF(AND(W72&lt;&gt;"",W72&lt;=2),"Due soon",IF(AND(Y72&lt;&gt;"",LEFT(Y72,1)="⏳",G72&lt;&gt;"Not Started"),"Dependency open",IF(AND(S72&lt;&gt;"None",S72&lt;&gt;"",G72&lt;&gt;"Completed"),"External req.","On track")))))))</f>
        <v/>
      </c>
    </row>
    <row r="73" ht="62" customHeight="1">
      <c r="A73" s="89" t="inlineStr">
        <is>
          <t>P4-11</t>
        </is>
      </c>
      <c r="B73" s="90" t="inlineStr">
        <is>
          <t>Phase 4</t>
        </is>
      </c>
      <c r="C73" s="91" t="inlineStr">
        <is>
          <t>Access Control</t>
        </is>
      </c>
      <c r="D73" s="91" t="inlineStr">
        <is>
          <t>Issue access restrictions</t>
        </is>
      </c>
      <c r="E73" s="91" t="inlineStr">
        <is>
          <t>Gate reader and downloads by access level/subscription tier; block direct /uploads PDF access (.htaccess/LiteSpeed rule) or serve via PHP.</t>
        </is>
      </c>
      <c r="F73" s="90" t="inlineStr">
        <is>
          <t>P0</t>
        </is>
      </c>
      <c r="G73" s="92" t="inlineStr">
        <is>
          <t>Not Started</t>
        </is>
      </c>
      <c r="H73" s="93" t="n">
        <v>46317</v>
      </c>
      <c r="I73" s="93" t="n">
        <v>46317</v>
      </c>
      <c r="J73" s="94" t="n">
        <v>0</v>
      </c>
      <c r="K73" s="91" t="inlineStr">
        <is>
          <t>P4-10, P5-07</t>
        </is>
      </c>
      <c r="L73" s="91" t="inlineStr">
        <is>
          <t>Staging (Hostinger)</t>
        </is>
      </c>
      <c r="M73" s="91" t="inlineStr">
        <is>
          <t>inc/pdf-download.php, .htaccess</t>
        </is>
      </c>
      <c r="N73" s="91" t="inlineStr">
        <is>
          <t>Try direct PDF URL logged-out; test each tier</t>
        </is>
      </c>
      <c r="O73" s="91" t="inlineStr">
        <is>
          <t>Restricted PDFs cannot be accessed without entitlement</t>
        </is>
      </c>
      <c r="P73" s="95" t="n"/>
      <c r="Q73" s="95" t="n"/>
      <c r="R73" s="96" t="n"/>
      <c r="S73" s="91" t="inlineStr">
        <is>
          <t>Server Access</t>
        </is>
      </c>
      <c r="T73" s="92" t="inlineStr">
        <is>
          <t>Not Tested</t>
        </is>
      </c>
      <c r="U73" s="97">
        <f>IF(A73="",0,IF(G73="Completed",1,IF(G73="Not Started",0,MIN(0.99,N(J73)))))</f>
        <v/>
      </c>
      <c r="V73" s="97">
        <f>IF(OR(A73="",H73="",I73=""),0,MAX(0,MIN(1,(StatusDate-H73+1)/(I73-H73+1))))</f>
        <v/>
      </c>
      <c r="W73" s="98">
        <f>IF(OR(A73="",I73="",G73="Completed"),"",I73-StatusDate)</f>
        <v/>
      </c>
      <c r="X73" s="99">
        <f>IF(A73="","",IF(AND(G73&lt;&gt;"Completed",I73&lt;&gt;"",I73&lt;StatusDate),"OVERDUE",""))</f>
        <v/>
      </c>
      <c r="Y73" s="99">
        <f>IF(OR(A73="",K73=""),"",IF(SUMPRODUCT(($A$6:$A$400&lt;&gt;"")*ISNUMBER(SEARCH($A$6:$A$400,K73))*($G$6:$G$400&lt;&gt;"Completed"))=0,"✓ Ready","⏳ "&amp;SUMPRODUCT(($A$6:$A$400&lt;&gt;"")*ISNUMBER(SEARCH($A$6:$A$400,K73))*($G$6:$G$400&lt;&gt;"Completed"))&amp;" open"))</f>
        <v/>
      </c>
      <c r="Z73" s="99">
        <f>IF(A73="","",B73&amp;"|"&amp;COUNTIFS($B$6:B73,B73,$A$6:A73,"?*"))</f>
        <v/>
      </c>
      <c r="AA73" s="99">
        <f>IF(OR(A73="",I73="",G73="Completed"),"",IF(I73&gt;=StatusDate,I73+ROW()/100000,""))</f>
        <v/>
      </c>
      <c r="AB73" s="99">
        <f>IF(A73="","",IF(AND(G73&lt;&gt;"Completed",OR(G73="Blocked",AND(TRIM(P73)&lt;&gt;"",P73&lt;&gt;"None"))),ROW(),""))</f>
        <v/>
      </c>
      <c r="AC73" s="99">
        <f>IF(A73="","",IF(G73="Completed","Done",IF(G73="Blocked","Blocked",IF(X73="OVERDUE","Overdue",IF(AND(W73&lt;&gt;"",W73&lt;=2),"Due soon",IF(AND(Y73&lt;&gt;"",LEFT(Y73,1)="⏳",G73&lt;&gt;"Not Started"),"Dependency open",IF(AND(S73&lt;&gt;"None",S73&lt;&gt;"",G73&lt;&gt;"Completed"),"External req.","On track")))))))</f>
        <v/>
      </c>
    </row>
    <row r="74" ht="62" customHeight="1">
      <c r="A74" s="89" t="inlineStr">
        <is>
          <t>P4-12</t>
        </is>
      </c>
      <c r="B74" s="90" t="inlineStr">
        <is>
          <t>Phase 4</t>
        </is>
      </c>
      <c r="C74" s="91" t="inlineStr">
        <is>
          <t>Phase QA</t>
        </is>
      </c>
      <c r="D74" s="91" t="inlineStr">
        <is>
          <t>Verify all 48 issues</t>
        </is>
      </c>
      <c r="E74" s="91" t="inlineStr">
        <is>
          <t>Checklist pass: 48/48 issues present, cover, PDF opens, metadata correct, filters accurate.</t>
        </is>
      </c>
      <c r="F74" s="90" t="inlineStr">
        <is>
          <t>P0</t>
        </is>
      </c>
      <c r="G74" s="92" t="inlineStr">
        <is>
          <t>Not Started</t>
        </is>
      </c>
      <c r="H74" s="93" t="n">
        <v>46317</v>
      </c>
      <c r="I74" s="93" t="n">
        <v>46317</v>
      </c>
      <c r="J74" s="94" t="n">
        <v>0</v>
      </c>
      <c r="K74" s="91" t="inlineStr">
        <is>
          <t>P4-04, P4-07, P4-09</t>
        </is>
      </c>
      <c r="L74" s="91" t="inlineStr">
        <is>
          <t>Staging (Hostinger)</t>
        </is>
      </c>
      <c r="M74" s="91" t="inlineStr">
        <is>
          <t>issues-manifest.csv</t>
        </is>
      </c>
      <c r="N74" s="91" t="inlineStr">
        <is>
          <t>Tick all 48 against manifest</t>
        </is>
      </c>
      <c r="O74" s="91" t="inlineStr">
        <is>
          <t>48/48 issues verified</t>
        </is>
      </c>
      <c r="P74" s="95" t="n"/>
      <c r="Q74" s="95" t="n"/>
      <c r="R74" s="96" t="n"/>
      <c r="S74" s="91" t="inlineStr">
        <is>
          <t>None</t>
        </is>
      </c>
      <c r="T74" s="92" t="inlineStr">
        <is>
          <t>Not Tested</t>
        </is>
      </c>
      <c r="U74" s="97">
        <f>IF(A74="",0,IF(G74="Completed",1,IF(G74="Not Started",0,MIN(0.99,N(J74)))))</f>
        <v/>
      </c>
      <c r="V74" s="97">
        <f>IF(OR(A74="",H74="",I74=""),0,MAX(0,MIN(1,(StatusDate-H74+1)/(I74-H74+1))))</f>
        <v/>
      </c>
      <c r="W74" s="98">
        <f>IF(OR(A74="",I74="",G74="Completed"),"",I74-StatusDate)</f>
        <v/>
      </c>
      <c r="X74" s="99">
        <f>IF(A74="","",IF(AND(G74&lt;&gt;"Completed",I74&lt;&gt;"",I74&lt;StatusDate),"OVERDUE",""))</f>
        <v/>
      </c>
      <c r="Y74" s="99">
        <f>IF(OR(A74="",K74=""),"",IF(SUMPRODUCT(($A$6:$A$400&lt;&gt;"")*ISNUMBER(SEARCH($A$6:$A$400,K74))*($G$6:$G$400&lt;&gt;"Completed"))=0,"✓ Ready","⏳ "&amp;SUMPRODUCT(($A$6:$A$400&lt;&gt;"")*ISNUMBER(SEARCH($A$6:$A$400,K74))*($G$6:$G$400&lt;&gt;"Completed"))&amp;" open"))</f>
        <v/>
      </c>
      <c r="Z74" s="99">
        <f>IF(A74="","",B74&amp;"|"&amp;COUNTIFS($B$6:B74,B74,$A$6:A74,"?*"))</f>
        <v/>
      </c>
      <c r="AA74" s="99">
        <f>IF(OR(A74="",I74="",G74="Completed"),"",IF(I74&gt;=StatusDate,I74+ROW()/100000,""))</f>
        <v/>
      </c>
      <c r="AB74" s="99">
        <f>IF(A74="","",IF(AND(G74&lt;&gt;"Completed",OR(G74="Blocked",AND(TRIM(P74)&lt;&gt;"",P74&lt;&gt;"None"))),ROW(),""))</f>
        <v/>
      </c>
      <c r="AC74" s="99">
        <f>IF(A74="","",IF(G74="Completed","Done",IF(G74="Blocked","Blocked",IF(X74="OVERDUE","Overdue",IF(AND(W74&lt;&gt;"",W74&lt;=2),"Due soon",IF(AND(Y74&lt;&gt;"",LEFT(Y74,1)="⏳",G74&lt;&gt;"Not Started"),"Dependency open",IF(AND(S74&lt;&gt;"None",S74&lt;&gt;"",G74&lt;&gt;"Completed"),"External req.","On track")))))))</f>
        <v/>
      </c>
    </row>
    <row r="75" ht="62" customHeight="1">
      <c r="A75" s="89" t="inlineStr">
        <is>
          <t>P5-01</t>
        </is>
      </c>
      <c r="B75" s="90" t="inlineStr">
        <is>
          <t>Phase 5</t>
        </is>
      </c>
      <c r="C75" s="91" t="inlineStr">
        <is>
          <t>Credentials</t>
        </is>
      </c>
      <c r="D75" s="91" t="inlineStr">
        <is>
          <t>Request Google OAuth credentials</t>
        </is>
      </c>
      <c r="E75" s="91" t="inlineStr">
        <is>
          <t>Google Cloud project, OAuth consent screen, client ID/secret, authorised redirect URIs for staging and production.</t>
        </is>
      </c>
      <c r="F75" s="90" t="inlineStr">
        <is>
          <t>P1</t>
        </is>
      </c>
      <c r="G75" s="92" t="inlineStr">
        <is>
          <t>Not Started</t>
        </is>
      </c>
      <c r="H75" s="93" t="n">
        <v>46307</v>
      </c>
      <c r="I75" s="93" t="n">
        <v>46315</v>
      </c>
      <c r="J75" s="94" t="n">
        <v>0</v>
      </c>
      <c r="K75" s="91" t="n"/>
      <c r="L75" s="91" t="inlineStr">
        <is>
          <t>External / Third-party</t>
        </is>
      </c>
      <c r="M75" s="91" t="inlineStr">
        <is>
          <t>—</t>
        </is>
      </c>
      <c r="N75" s="91" t="inlineStr">
        <is>
          <t>Credentials received and stored securely (not in Git)</t>
        </is>
      </c>
      <c r="O75" s="91" t="inlineStr">
        <is>
          <t>Valid client ID/secret for both domains</t>
        </is>
      </c>
      <c r="P75" s="95" t="n"/>
      <c r="Q75" s="95" t="n"/>
      <c r="R75" s="96" t="n"/>
      <c r="S75" s="91" t="inlineStr">
        <is>
          <t>Credentials</t>
        </is>
      </c>
      <c r="T75" s="92" t="inlineStr">
        <is>
          <t>Not Tested</t>
        </is>
      </c>
      <c r="U75" s="97">
        <f>IF(A75="",0,IF(G75="Completed",1,IF(G75="Not Started",0,MIN(0.99,N(J75)))))</f>
        <v/>
      </c>
      <c r="V75" s="97">
        <f>IF(OR(A75="",H75="",I75=""),0,MAX(0,MIN(1,(StatusDate-H75+1)/(I75-H75+1))))</f>
        <v/>
      </c>
      <c r="W75" s="98">
        <f>IF(OR(A75="",I75="",G75="Completed"),"",I75-StatusDate)</f>
        <v/>
      </c>
      <c r="X75" s="99">
        <f>IF(A75="","",IF(AND(G75&lt;&gt;"Completed",I75&lt;&gt;"",I75&lt;StatusDate),"OVERDUE",""))</f>
        <v/>
      </c>
      <c r="Y75" s="99">
        <f>IF(OR(A75="",K75=""),"",IF(SUMPRODUCT(($A$6:$A$400&lt;&gt;"")*ISNUMBER(SEARCH($A$6:$A$400,K75))*($G$6:$G$400&lt;&gt;"Completed"))=0,"✓ Ready","⏳ "&amp;SUMPRODUCT(($A$6:$A$400&lt;&gt;"")*ISNUMBER(SEARCH($A$6:$A$400,K75))*($G$6:$G$400&lt;&gt;"Completed"))&amp;" open"))</f>
        <v/>
      </c>
      <c r="Z75" s="99">
        <f>IF(A75="","",B75&amp;"|"&amp;COUNTIFS($B$6:B75,B75,$A$6:A75,"?*"))</f>
        <v/>
      </c>
      <c r="AA75" s="99">
        <f>IF(OR(A75="",I75="",G75="Completed"),"",IF(I75&gt;=StatusDate,I75+ROW()/100000,""))</f>
        <v/>
      </c>
      <c r="AB75" s="99">
        <f>IF(A75="","",IF(AND(G75&lt;&gt;"Completed",OR(G75="Blocked",AND(TRIM(P75)&lt;&gt;"",P75&lt;&gt;"None"))),ROW(),""))</f>
        <v/>
      </c>
      <c r="AC75" s="99">
        <f>IF(A75="","",IF(G75="Completed","Done",IF(G75="Blocked","Blocked",IF(X75="OVERDUE","Overdue",IF(AND(W75&lt;&gt;"",W75&lt;=2),"Due soon",IF(AND(Y75&lt;&gt;"",LEFT(Y75,1)="⏳",G75&lt;&gt;"Not Started"),"Dependency open",IF(AND(S75&lt;&gt;"None",S75&lt;&gt;"",G75&lt;&gt;"Completed"),"External req.","On track")))))))</f>
        <v/>
      </c>
    </row>
    <row r="76" ht="62" customHeight="1">
      <c r="A76" s="89" t="inlineStr">
        <is>
          <t>P5-02</t>
        </is>
      </c>
      <c r="B76" s="90" t="inlineStr">
        <is>
          <t>Phase 5</t>
        </is>
      </c>
      <c r="C76" s="91" t="inlineStr">
        <is>
          <t>Credentials</t>
        </is>
      </c>
      <c r="D76" s="91" t="inlineStr">
        <is>
          <t>Request Sign in with Apple credentials</t>
        </is>
      </c>
      <c r="E76" s="91" t="inlineStr">
        <is>
          <t>Apple Developer Program membership (client), Services ID, key, team ID, domain verification for both domains.</t>
        </is>
      </c>
      <c r="F76" s="90" t="inlineStr">
        <is>
          <t>P1</t>
        </is>
      </c>
      <c r="G76" s="92" t="inlineStr">
        <is>
          <t>Not Started</t>
        </is>
      </c>
      <c r="H76" s="93" t="n">
        <v>46307</v>
      </c>
      <c r="I76" s="93" t="n">
        <v>46315</v>
      </c>
      <c r="J76" s="94" t="n">
        <v>0</v>
      </c>
      <c r="K76" s="91" t="n"/>
      <c r="L76" s="91" t="inlineStr">
        <is>
          <t>External / Third-party</t>
        </is>
      </c>
      <c r="M76" s="91" t="inlineStr">
        <is>
          <t>—</t>
        </is>
      </c>
      <c r="N76" s="91" t="inlineStr">
        <is>
          <t>Credentials received; domain verification file placed</t>
        </is>
      </c>
      <c r="O76" s="91" t="inlineStr">
        <is>
          <t>Valid Apple credentials for both domains</t>
        </is>
      </c>
      <c r="P76" s="95" t="n"/>
      <c r="Q76" s="95" t="n"/>
      <c r="R76" s="96" t="n"/>
      <c r="S76" s="91" t="inlineStr">
        <is>
          <t>Credentials</t>
        </is>
      </c>
      <c r="T76" s="92" t="inlineStr">
        <is>
          <t>Not Tested</t>
        </is>
      </c>
      <c r="U76" s="97">
        <f>IF(A76="",0,IF(G76="Completed",1,IF(G76="Not Started",0,MIN(0.99,N(J76)))))</f>
        <v/>
      </c>
      <c r="V76" s="97">
        <f>IF(OR(A76="",H76="",I76=""),0,MAX(0,MIN(1,(StatusDate-H76+1)/(I76-H76+1))))</f>
        <v/>
      </c>
      <c r="W76" s="98">
        <f>IF(OR(A76="",I76="",G76="Completed"),"",I76-StatusDate)</f>
        <v/>
      </c>
      <c r="X76" s="99">
        <f>IF(A76="","",IF(AND(G76&lt;&gt;"Completed",I76&lt;&gt;"",I76&lt;StatusDate),"OVERDUE",""))</f>
        <v/>
      </c>
      <c r="Y76" s="99">
        <f>IF(OR(A76="",K76=""),"",IF(SUMPRODUCT(($A$6:$A$400&lt;&gt;"")*ISNUMBER(SEARCH($A$6:$A$400,K76))*($G$6:$G$400&lt;&gt;"Completed"))=0,"✓ Ready","⏳ "&amp;SUMPRODUCT(($A$6:$A$400&lt;&gt;"")*ISNUMBER(SEARCH($A$6:$A$400,K76))*($G$6:$G$400&lt;&gt;"Completed"))&amp;" open"))</f>
        <v/>
      </c>
      <c r="Z76" s="99">
        <f>IF(A76="","",B76&amp;"|"&amp;COUNTIFS($B$6:B76,B76,$A$6:A76,"?*"))</f>
        <v/>
      </c>
      <c r="AA76" s="99">
        <f>IF(OR(A76="",I76="",G76="Completed"),"",IF(I76&gt;=StatusDate,I76+ROW()/100000,""))</f>
        <v/>
      </c>
      <c r="AB76" s="99">
        <f>IF(A76="","",IF(AND(G76&lt;&gt;"Completed",OR(G76="Blocked",AND(TRIM(P76)&lt;&gt;"",P76&lt;&gt;"None"))),ROW(),""))</f>
        <v/>
      </c>
      <c r="AC76" s="99">
        <f>IF(A76="","",IF(G76="Completed","Done",IF(G76="Blocked","Blocked",IF(X76="OVERDUE","Overdue",IF(AND(W76&lt;&gt;"",W76&lt;=2),"Due soon",IF(AND(Y76&lt;&gt;"",LEFT(Y76,1)="⏳",G76&lt;&gt;"Not Started"),"Dependency open",IF(AND(S76&lt;&gt;"None",S76&lt;&gt;"",G76&lt;&gt;"Completed"),"External req.","On track")))))))</f>
        <v/>
      </c>
    </row>
    <row r="77" ht="62" customHeight="1">
      <c r="A77" s="89" t="inlineStr">
        <is>
          <t>P5-03</t>
        </is>
      </c>
      <c r="B77" s="90" t="inlineStr">
        <is>
          <t>Phase 5</t>
        </is>
      </c>
      <c r="C77" s="91" t="inlineStr">
        <is>
          <t>Payments</t>
        </is>
      </c>
      <c r="D77" s="91" t="inlineStr">
        <is>
          <t>Confirm payment provider &amp; obtain API keys</t>
        </is>
      </c>
      <c r="E77" s="91" t="inlineStr">
        <is>
          <t>Client confirms gateway; obtain sandbox + live API keys, webhook signing secret, merchant approval and supported currencies.</t>
        </is>
      </c>
      <c r="F77" s="90" t="inlineStr">
        <is>
          <t>P0</t>
        </is>
      </c>
      <c r="G77" s="92" t="inlineStr">
        <is>
          <t>Not Started</t>
        </is>
      </c>
      <c r="H77" s="93" t="n">
        <v>46307</v>
      </c>
      <c r="I77" s="93" t="n">
        <v>46317</v>
      </c>
      <c r="J77" s="94" t="n">
        <v>0</v>
      </c>
      <c r="K77" s="91" t="n"/>
      <c r="L77" s="91" t="inlineStr">
        <is>
          <t>External / Third-party</t>
        </is>
      </c>
      <c r="M77" s="91" t="inlineStr">
        <is>
          <t>—</t>
        </is>
      </c>
      <c r="N77" s="91" t="inlineStr">
        <is>
          <t>Sandbox transaction possible; live approval date known</t>
        </is>
      </c>
      <c r="O77" s="91" t="inlineStr">
        <is>
          <t>Sandbox keys in hand; live approval confirmed before cutover</t>
        </is>
      </c>
      <c r="P77" s="95" t="n"/>
      <c r="Q77" s="95" t="n"/>
      <c r="R77" s="96" t="n"/>
      <c r="S77" s="91" t="inlineStr">
        <is>
          <t>Payment Approval</t>
        </is>
      </c>
      <c r="T77" s="92" t="inlineStr">
        <is>
          <t>Not Tested</t>
        </is>
      </c>
      <c r="U77" s="97">
        <f>IF(A77="",0,IF(G77="Completed",1,IF(G77="Not Started",0,MIN(0.99,N(J77)))))</f>
        <v/>
      </c>
      <c r="V77" s="97">
        <f>IF(OR(A77="",H77="",I77=""),0,MAX(0,MIN(1,(StatusDate-H77+1)/(I77-H77+1))))</f>
        <v/>
      </c>
      <c r="W77" s="98">
        <f>IF(OR(A77="",I77="",G77="Completed"),"",I77-StatusDate)</f>
        <v/>
      </c>
      <c r="X77" s="99">
        <f>IF(A77="","",IF(AND(G77&lt;&gt;"Completed",I77&lt;&gt;"",I77&lt;StatusDate),"OVERDUE",""))</f>
        <v/>
      </c>
      <c r="Y77" s="99">
        <f>IF(OR(A77="",K77=""),"",IF(SUMPRODUCT(($A$6:$A$400&lt;&gt;"")*ISNUMBER(SEARCH($A$6:$A$400,K77))*($G$6:$G$400&lt;&gt;"Completed"))=0,"✓ Ready","⏳ "&amp;SUMPRODUCT(($A$6:$A$400&lt;&gt;"")*ISNUMBER(SEARCH($A$6:$A$400,K77))*($G$6:$G$400&lt;&gt;"Completed"))&amp;" open"))</f>
        <v/>
      </c>
      <c r="Z77" s="99">
        <f>IF(A77="","",B77&amp;"|"&amp;COUNTIFS($B$6:B77,B77,$A$6:A77,"?*"))</f>
        <v/>
      </c>
      <c r="AA77" s="99">
        <f>IF(OR(A77="",I77="",G77="Completed"),"",IF(I77&gt;=StatusDate,I77+ROW()/100000,""))</f>
        <v/>
      </c>
      <c r="AB77" s="99">
        <f>IF(A77="","",IF(AND(G77&lt;&gt;"Completed",OR(G77="Blocked",AND(TRIM(P77)&lt;&gt;"",P77&lt;&gt;"None"))),ROW(),""))</f>
        <v/>
      </c>
      <c r="AC77" s="99">
        <f>IF(A77="","",IF(G77="Completed","Done",IF(G77="Blocked","Blocked",IF(X77="OVERDUE","Overdue",IF(AND(W77&lt;&gt;"",W77&lt;=2),"Due soon",IF(AND(Y77&lt;&gt;"",LEFT(Y77,1)="⏳",G77&lt;&gt;"Not Started"),"Dependency open",IF(AND(S77&lt;&gt;"None",S77&lt;&gt;"",G77&lt;&gt;"Completed"),"External req.","On track")))))))</f>
        <v/>
      </c>
    </row>
    <row r="78" ht="62" customHeight="1">
      <c r="A78" s="89" t="inlineStr">
        <is>
          <t>P5-04</t>
        </is>
      </c>
      <c r="B78" s="90" t="inlineStr">
        <is>
          <t>Phase 5</t>
        </is>
      </c>
      <c r="C78" s="91" t="inlineStr">
        <is>
          <t>Authentication</t>
        </is>
      </c>
      <c r="D78" s="91" t="inlineStr">
        <is>
          <t>Login, registration &amp; password reset</t>
        </is>
      </c>
      <c r="E78" s="91" t="inlineStr">
        <is>
          <t>Custom templates using wp_signon/wp_insert_user; email verification; password reset flow; redirects; Arabic validation messages; wp-login.php styled fallback.</t>
        </is>
      </c>
      <c r="F78" s="90" t="inlineStr">
        <is>
          <t>P0</t>
        </is>
      </c>
      <c r="G78" s="92" t="inlineStr">
        <is>
          <t>In Progress</t>
        </is>
      </c>
      <c r="H78" s="93" t="n">
        <v>46318</v>
      </c>
      <c r="I78" s="93" t="n">
        <v>46318</v>
      </c>
      <c r="J78" s="94" t="n">
        <v>0.2</v>
      </c>
      <c r="K78" s="91" t="inlineStr">
        <is>
          <t>P1-17</t>
        </is>
      </c>
      <c r="L78" s="91" t="inlineStr">
        <is>
          <t>Staging (Hostinger)</t>
        </is>
      </c>
      <c r="M78" s="91" t="inlineStr">
        <is>
          <t>page-templates/page-login.php, page-register.php, page-reset.php, inc/auth/*.php</t>
        </is>
      </c>
      <c r="N78" s="91" t="inlineStr">
        <is>
          <t>Register, verify, log in, reset password, log out</t>
        </is>
      </c>
      <c r="O78" s="91" t="inlineStr">
        <is>
          <t>Complete account lifecycle works with clear Arabic messages</t>
        </is>
      </c>
      <c r="P78" s="95" t="n"/>
      <c r="Q78" s="95" t="inlineStr">
        <is>
          <t>Login page template exists. Auth logic / OAuth still open.</t>
        </is>
      </c>
      <c r="R78" s="96" t="n"/>
      <c r="S78" s="91" t="inlineStr">
        <is>
          <t>None</t>
        </is>
      </c>
      <c r="T78" s="92" t="inlineStr">
        <is>
          <t>Not Tested</t>
        </is>
      </c>
      <c r="U78" s="97">
        <f>IF(A78="",0,IF(G78="Completed",1,IF(G78="Not Started",0,MIN(0.99,N(J78)))))</f>
        <v/>
      </c>
      <c r="V78" s="97">
        <f>IF(OR(A78="",H78="",I78=""),0,MAX(0,MIN(1,(StatusDate-H78+1)/(I78-H78+1))))</f>
        <v/>
      </c>
      <c r="W78" s="98">
        <f>IF(OR(A78="",I78="",G78="Completed"),"",I78-StatusDate)</f>
        <v/>
      </c>
      <c r="X78" s="99">
        <f>IF(A78="","",IF(AND(G78&lt;&gt;"Completed",I78&lt;&gt;"",I78&lt;StatusDate),"OVERDUE",""))</f>
        <v/>
      </c>
      <c r="Y78" s="99">
        <f>IF(OR(A78="",K78=""),"",IF(SUMPRODUCT(($A$6:$A$400&lt;&gt;"")*ISNUMBER(SEARCH($A$6:$A$400,K78))*($G$6:$G$400&lt;&gt;"Completed"))=0,"✓ Ready","⏳ "&amp;SUMPRODUCT(($A$6:$A$400&lt;&gt;"")*ISNUMBER(SEARCH($A$6:$A$400,K78))*($G$6:$G$400&lt;&gt;"Completed"))&amp;" open"))</f>
        <v/>
      </c>
      <c r="Z78" s="99">
        <f>IF(A78="","",B78&amp;"|"&amp;COUNTIFS($B$6:B78,B78,$A$6:A78,"?*"))</f>
        <v/>
      </c>
      <c r="AA78" s="99">
        <f>IF(OR(A78="",I78="",G78="Completed"),"",IF(I78&gt;=StatusDate,I78+ROW()/100000,""))</f>
        <v/>
      </c>
      <c r="AB78" s="99">
        <f>IF(A78="","",IF(AND(G78&lt;&gt;"Completed",OR(G78="Blocked",AND(TRIM(P78)&lt;&gt;"",P78&lt;&gt;"None"))),ROW(),""))</f>
        <v/>
      </c>
      <c r="AC78" s="99">
        <f>IF(A78="","",IF(G78="Completed","Done",IF(G78="Blocked","Blocked",IF(X78="OVERDUE","Overdue",IF(AND(W78&lt;&gt;"",W78&lt;=2),"Due soon",IF(AND(Y78&lt;&gt;"",LEFT(Y78,1)="⏳",G78&lt;&gt;"Not Started"),"Dependency open",IF(AND(S78&lt;&gt;"None",S78&lt;&gt;"",G78&lt;&gt;"Completed"),"External req.","On track")))))))</f>
        <v/>
      </c>
    </row>
    <row r="79" ht="62" customHeight="1">
      <c r="A79" s="89" t="inlineStr">
        <is>
          <t>P5-05</t>
        </is>
      </c>
      <c r="B79" s="90" t="inlineStr">
        <is>
          <t>Phase 5</t>
        </is>
      </c>
      <c r="C79" s="91" t="inlineStr">
        <is>
          <t>Authentication</t>
        </is>
      </c>
      <c r="D79" s="91" t="inlineStr">
        <is>
          <t>Google sign-in</t>
        </is>
      </c>
      <c r="E79" s="91" t="inlineStr">
        <is>
          <t>OAuth 2.0 flow (state param, token verification), link to existing account by verified email.</t>
        </is>
      </c>
      <c r="F79" s="90" t="inlineStr">
        <is>
          <t>P1</t>
        </is>
      </c>
      <c r="G79" s="92" t="inlineStr">
        <is>
          <t>Not Started</t>
        </is>
      </c>
      <c r="H79" s="93" t="n">
        <v>46318</v>
      </c>
      <c r="I79" s="93" t="n">
        <v>46318</v>
      </c>
      <c r="J79" s="94" t="n">
        <v>0</v>
      </c>
      <c r="K79" s="91" t="inlineStr">
        <is>
          <t>P5-01, P5-04</t>
        </is>
      </c>
      <c r="L79" s="91" t="inlineStr">
        <is>
          <t>Staging (Hostinger)</t>
        </is>
      </c>
      <c r="M79" s="91" t="inlineStr">
        <is>
          <t>inc/auth/social-google.php</t>
        </is>
      </c>
      <c r="N79" s="91" t="inlineStr">
        <is>
          <t>New and existing user sign-in; cancel flow</t>
        </is>
      </c>
      <c r="O79" s="91" t="inlineStr">
        <is>
          <t>Google sign-in works on staging and is ready for production URIs</t>
        </is>
      </c>
      <c r="P79" s="95" t="n"/>
      <c r="Q79" s="95" t="n"/>
      <c r="R79" s="96" t="n"/>
      <c r="S79" s="91" t="inlineStr">
        <is>
          <t>Credentials</t>
        </is>
      </c>
      <c r="T79" s="92" t="inlineStr">
        <is>
          <t>Not Tested</t>
        </is>
      </c>
      <c r="U79" s="97">
        <f>IF(A79="",0,IF(G79="Completed",1,IF(G79="Not Started",0,MIN(0.99,N(J79)))))</f>
        <v/>
      </c>
      <c r="V79" s="97">
        <f>IF(OR(A79="",H79="",I79=""),0,MAX(0,MIN(1,(StatusDate-H79+1)/(I79-H79+1))))</f>
        <v/>
      </c>
      <c r="W79" s="98">
        <f>IF(OR(A79="",I79="",G79="Completed"),"",I79-StatusDate)</f>
        <v/>
      </c>
      <c r="X79" s="99">
        <f>IF(A79="","",IF(AND(G79&lt;&gt;"Completed",I79&lt;&gt;"",I79&lt;StatusDate),"OVERDUE",""))</f>
        <v/>
      </c>
      <c r="Y79" s="99">
        <f>IF(OR(A79="",K79=""),"",IF(SUMPRODUCT(($A$6:$A$400&lt;&gt;"")*ISNUMBER(SEARCH($A$6:$A$400,K79))*($G$6:$G$400&lt;&gt;"Completed"))=0,"✓ Ready","⏳ "&amp;SUMPRODUCT(($A$6:$A$400&lt;&gt;"")*ISNUMBER(SEARCH($A$6:$A$400,K79))*($G$6:$G$400&lt;&gt;"Completed"))&amp;" open"))</f>
        <v/>
      </c>
      <c r="Z79" s="99">
        <f>IF(A79="","",B79&amp;"|"&amp;COUNTIFS($B$6:B79,B79,$A$6:A79,"?*"))</f>
        <v/>
      </c>
      <c r="AA79" s="99">
        <f>IF(OR(A79="",I79="",G79="Completed"),"",IF(I79&gt;=StatusDate,I79+ROW()/100000,""))</f>
        <v/>
      </c>
      <c r="AB79" s="99">
        <f>IF(A79="","",IF(AND(G79&lt;&gt;"Completed",OR(G79="Blocked",AND(TRIM(P79)&lt;&gt;"",P79&lt;&gt;"None"))),ROW(),""))</f>
        <v/>
      </c>
      <c r="AC79" s="99">
        <f>IF(A79="","",IF(G79="Completed","Done",IF(G79="Blocked","Blocked",IF(X79="OVERDUE","Overdue",IF(AND(W79&lt;&gt;"",W79&lt;=2),"Due soon",IF(AND(Y79&lt;&gt;"",LEFT(Y79,1)="⏳",G79&lt;&gt;"Not Started"),"Dependency open",IF(AND(S79&lt;&gt;"None",S79&lt;&gt;"",G79&lt;&gt;"Completed"),"External req.","On track")))))))</f>
        <v/>
      </c>
    </row>
    <row r="80" ht="62" customHeight="1">
      <c r="A80" s="89" t="inlineStr">
        <is>
          <t>P5-06</t>
        </is>
      </c>
      <c r="B80" s="90" t="inlineStr">
        <is>
          <t>Phase 5</t>
        </is>
      </c>
      <c r="C80" s="91" t="inlineStr">
        <is>
          <t>Authentication</t>
        </is>
      </c>
      <c r="D80" s="91" t="inlineStr">
        <is>
          <t>Sign in with Apple</t>
        </is>
      </c>
      <c r="E80" s="91" t="inlineStr">
        <is>
          <t>Apple JS/redirect flow, JWT verification, private-relay email handling, account linking.</t>
        </is>
      </c>
      <c r="F80" s="90" t="inlineStr">
        <is>
          <t>P2</t>
        </is>
      </c>
      <c r="G80" s="92" t="inlineStr">
        <is>
          <t>Not Started</t>
        </is>
      </c>
      <c r="H80" s="93" t="n">
        <v>46318</v>
      </c>
      <c r="I80" s="93" t="n">
        <v>46318</v>
      </c>
      <c r="J80" s="94" t="n">
        <v>0</v>
      </c>
      <c r="K80" s="91" t="inlineStr">
        <is>
          <t>P5-02, P5-04</t>
        </is>
      </c>
      <c r="L80" s="91" t="inlineStr">
        <is>
          <t>Staging (Hostinger)</t>
        </is>
      </c>
      <c r="M80" s="91" t="inlineStr">
        <is>
          <t>inc/auth/social-apple.php</t>
        </is>
      </c>
      <c r="N80" s="91" t="inlineStr">
        <is>
          <t>Sign in on Safari iOS &amp; desktop; hide-my-email case</t>
        </is>
      </c>
      <c r="O80" s="91" t="inlineStr">
        <is>
          <t>Apple sign-in works including private relay emails</t>
        </is>
      </c>
      <c r="P80" s="95" t="n"/>
      <c r="Q80" s="95" t="n"/>
      <c r="R80" s="96" t="n"/>
      <c r="S80" s="91" t="inlineStr">
        <is>
          <t>Credentials</t>
        </is>
      </c>
      <c r="T80" s="92" t="inlineStr">
        <is>
          <t>Not Tested</t>
        </is>
      </c>
      <c r="U80" s="97">
        <f>IF(A80="",0,IF(G80="Completed",1,IF(G80="Not Started",0,MIN(0.99,N(J80)))))</f>
        <v/>
      </c>
      <c r="V80" s="97">
        <f>IF(OR(A80="",H80="",I80=""),0,MAX(0,MIN(1,(StatusDate-H80+1)/(I80-H80+1))))</f>
        <v/>
      </c>
      <c r="W80" s="98">
        <f>IF(OR(A80="",I80="",G80="Completed"),"",I80-StatusDate)</f>
        <v/>
      </c>
      <c r="X80" s="99">
        <f>IF(A80="","",IF(AND(G80&lt;&gt;"Completed",I80&lt;&gt;"",I80&lt;StatusDate),"OVERDUE",""))</f>
        <v/>
      </c>
      <c r="Y80" s="99">
        <f>IF(OR(A80="",K80=""),"",IF(SUMPRODUCT(($A$6:$A$400&lt;&gt;"")*ISNUMBER(SEARCH($A$6:$A$400,K80))*($G$6:$G$400&lt;&gt;"Completed"))=0,"✓ Ready","⏳ "&amp;SUMPRODUCT(($A$6:$A$400&lt;&gt;"")*ISNUMBER(SEARCH($A$6:$A$400,K80))*($G$6:$G$400&lt;&gt;"Completed"))&amp;" open"))</f>
        <v/>
      </c>
      <c r="Z80" s="99">
        <f>IF(A80="","",B80&amp;"|"&amp;COUNTIFS($B$6:B80,B80,$A$6:A80,"?*"))</f>
        <v/>
      </c>
      <c r="AA80" s="99">
        <f>IF(OR(A80="",I80="",G80="Completed"),"",IF(I80&gt;=StatusDate,I80+ROW()/100000,""))</f>
        <v/>
      </c>
      <c r="AB80" s="99">
        <f>IF(A80="","",IF(AND(G80&lt;&gt;"Completed",OR(G80="Blocked",AND(TRIM(P80)&lt;&gt;"",P80&lt;&gt;"None"))),ROW(),""))</f>
        <v/>
      </c>
      <c r="AC80" s="99">
        <f>IF(A80="","",IF(G80="Completed","Done",IF(G80="Blocked","Blocked",IF(X80="OVERDUE","Overdue",IF(AND(W80&lt;&gt;"",W80&lt;=2),"Due soon",IF(AND(Y80&lt;&gt;"",LEFT(Y80,1)="⏳",G80&lt;&gt;"Not Started"),"Dependency open",IF(AND(S80&lt;&gt;"None",S80&lt;&gt;"",G80&lt;&gt;"Completed"),"External req.","On track")))))))</f>
        <v/>
      </c>
    </row>
    <row r="81" ht="62" customHeight="1">
      <c r="A81" s="89" t="inlineStr">
        <is>
          <t>P5-07</t>
        </is>
      </c>
      <c r="B81" s="90" t="inlineStr">
        <is>
          <t>Phase 5</t>
        </is>
      </c>
      <c r="C81" s="91" t="inlineStr">
        <is>
          <t>Subscriptions</t>
        </is>
      </c>
      <c r="D81" s="91" t="inlineStr">
        <is>
          <t>Subscription tiers model</t>
        </is>
      </c>
      <c r="E81" s="91" t="inlineStr">
        <is>
          <t>Tiers (e.g. Free, Digital, Premium) via roles/capabilities + user meta (plan, start, expiry); tier config editable in admin; pricing page.</t>
        </is>
      </c>
      <c r="F81" s="90" t="inlineStr">
        <is>
          <t>P0</t>
        </is>
      </c>
      <c r="G81" s="92" t="inlineStr">
        <is>
          <t>In Progress</t>
        </is>
      </c>
      <c r="H81" s="93" t="n">
        <v>46318</v>
      </c>
      <c r="I81" s="93" t="n">
        <v>46318</v>
      </c>
      <c r="J81" s="94" t="n">
        <v>0.15</v>
      </c>
      <c r="K81" s="91" t="inlineStr">
        <is>
          <t>P5-04</t>
        </is>
      </c>
      <c r="L81" s="91" t="inlineStr">
        <is>
          <t>Staging (Hostinger)</t>
        </is>
      </c>
      <c r="M81" s="91" t="inlineStr">
        <is>
          <t>inc/subscriptions/tiers.php, page-templates/page-subscribe.php</t>
        </is>
      </c>
      <c r="N81" s="91" t="inlineStr">
        <is>
          <t>Assign each tier manually; check entitlements</t>
        </is>
      </c>
      <c r="O81" s="91" t="inlineStr">
        <is>
          <t>Tiers control access across issues and content</t>
        </is>
      </c>
      <c r="P81" s="95" t="n"/>
      <c r="Q81" s="95" t="inlineStr">
        <is>
          <t>Subscribe page template exists. Tiers + payments still open.</t>
        </is>
      </c>
      <c r="R81" s="96" t="n"/>
      <c r="S81" s="91" t="inlineStr">
        <is>
          <t>None</t>
        </is>
      </c>
      <c r="T81" s="92" t="inlineStr">
        <is>
          <t>Not Tested</t>
        </is>
      </c>
      <c r="U81" s="97">
        <f>IF(A81="",0,IF(G81="Completed",1,IF(G81="Not Started",0,MIN(0.99,N(J81)))))</f>
        <v/>
      </c>
      <c r="V81" s="97">
        <f>IF(OR(A81="",H81="",I81=""),0,MAX(0,MIN(1,(StatusDate-H81+1)/(I81-H81+1))))</f>
        <v/>
      </c>
      <c r="W81" s="98">
        <f>IF(OR(A81="",I81="",G81="Completed"),"",I81-StatusDate)</f>
        <v/>
      </c>
      <c r="X81" s="99">
        <f>IF(A81="","",IF(AND(G81&lt;&gt;"Completed",I81&lt;&gt;"",I81&lt;StatusDate),"OVERDUE",""))</f>
        <v/>
      </c>
      <c r="Y81" s="99">
        <f>IF(OR(A81="",K81=""),"",IF(SUMPRODUCT(($A$6:$A$400&lt;&gt;"")*ISNUMBER(SEARCH($A$6:$A$400,K81))*($G$6:$G$400&lt;&gt;"Completed"))=0,"✓ Ready","⏳ "&amp;SUMPRODUCT(($A$6:$A$400&lt;&gt;"")*ISNUMBER(SEARCH($A$6:$A$400,K81))*($G$6:$G$400&lt;&gt;"Completed"))&amp;" open"))</f>
        <v/>
      </c>
      <c r="Z81" s="99">
        <f>IF(A81="","",B81&amp;"|"&amp;COUNTIFS($B$6:B81,B81,$A$6:A81,"?*"))</f>
        <v/>
      </c>
      <c r="AA81" s="99">
        <f>IF(OR(A81="",I81="",G81="Completed"),"",IF(I81&gt;=StatusDate,I81+ROW()/100000,""))</f>
        <v/>
      </c>
      <c r="AB81" s="99">
        <f>IF(A81="","",IF(AND(G81&lt;&gt;"Completed",OR(G81="Blocked",AND(TRIM(P81)&lt;&gt;"",P81&lt;&gt;"None"))),ROW(),""))</f>
        <v/>
      </c>
      <c r="AC81" s="99">
        <f>IF(A81="","",IF(G81="Completed","Done",IF(G81="Blocked","Blocked",IF(X81="OVERDUE","Overdue",IF(AND(W81&lt;&gt;"",W81&lt;=2),"Due soon",IF(AND(Y81&lt;&gt;"",LEFT(Y81,1)="⏳",G81&lt;&gt;"Not Started"),"Dependency open",IF(AND(S81&lt;&gt;"None",S81&lt;&gt;"",G81&lt;&gt;"Completed"),"External req.","On track")))))))</f>
        <v/>
      </c>
    </row>
    <row r="82" ht="62" customHeight="1">
      <c r="A82" s="89" t="inlineStr">
        <is>
          <t>P5-08</t>
        </is>
      </c>
      <c r="B82" s="90" t="inlineStr">
        <is>
          <t>Phase 5</t>
        </is>
      </c>
      <c r="C82" s="91" t="inlineStr">
        <is>
          <t>Payments</t>
        </is>
      </c>
      <c r="D82" s="91" t="inlineStr">
        <is>
          <t>Payment gateway checkout integration</t>
        </is>
      </c>
      <c r="E82" s="91" t="inlineStr">
        <is>
          <t>Hosted checkout (sandbox first), order record, success/failure pages, currency handling; no card data touches the server.</t>
        </is>
      </c>
      <c r="F82" s="90" t="inlineStr">
        <is>
          <t>P0</t>
        </is>
      </c>
      <c r="G82" s="92" t="inlineStr">
        <is>
          <t>Not Started</t>
        </is>
      </c>
      <c r="H82" s="93" t="n">
        <v>46318</v>
      </c>
      <c r="I82" s="93" t="n">
        <v>46319</v>
      </c>
      <c r="J82" s="94" t="n">
        <v>0</v>
      </c>
      <c r="K82" s="91" t="inlineStr">
        <is>
          <t>P5-03, P5-07</t>
        </is>
      </c>
      <c r="L82" s="91" t="inlineStr">
        <is>
          <t>Staging (Hostinger)</t>
        </is>
      </c>
      <c r="M82" s="91" t="inlineStr">
        <is>
          <t>inc/payments/gateway.php</t>
        </is>
      </c>
      <c r="N82" s="91" t="inlineStr">
        <is>
          <t>Sandbox: success, decline, cancel</t>
        </is>
      </c>
      <c r="O82" s="91" t="inlineStr">
        <is>
          <t>Paid checkout activates correct tier in sandbox</t>
        </is>
      </c>
      <c r="P82" s="95" t="n"/>
      <c r="Q82" s="95" t="n"/>
      <c r="R82" s="96" t="n"/>
      <c r="S82" s="91" t="inlineStr">
        <is>
          <t>Payment Approval</t>
        </is>
      </c>
      <c r="T82" s="92" t="inlineStr">
        <is>
          <t>Not Tested</t>
        </is>
      </c>
      <c r="U82" s="97">
        <f>IF(A82="",0,IF(G82="Completed",1,IF(G82="Not Started",0,MIN(0.99,N(J82)))))</f>
        <v/>
      </c>
      <c r="V82" s="97">
        <f>IF(OR(A82="",H82="",I82=""),0,MAX(0,MIN(1,(StatusDate-H82+1)/(I82-H82+1))))</f>
        <v/>
      </c>
      <c r="W82" s="98">
        <f>IF(OR(A82="",I82="",G82="Completed"),"",I82-StatusDate)</f>
        <v/>
      </c>
      <c r="X82" s="99">
        <f>IF(A82="","",IF(AND(G82&lt;&gt;"Completed",I82&lt;&gt;"",I82&lt;StatusDate),"OVERDUE",""))</f>
        <v/>
      </c>
      <c r="Y82" s="99">
        <f>IF(OR(A82="",K82=""),"",IF(SUMPRODUCT(($A$6:$A$400&lt;&gt;"")*ISNUMBER(SEARCH($A$6:$A$400,K82))*($G$6:$G$400&lt;&gt;"Completed"))=0,"✓ Ready","⏳ "&amp;SUMPRODUCT(($A$6:$A$400&lt;&gt;"")*ISNUMBER(SEARCH($A$6:$A$400,K82))*($G$6:$G$400&lt;&gt;"Completed"))&amp;" open"))</f>
        <v/>
      </c>
      <c r="Z82" s="99">
        <f>IF(A82="","",B82&amp;"|"&amp;COUNTIFS($B$6:B82,B82,$A$6:A82,"?*"))</f>
        <v/>
      </c>
      <c r="AA82" s="99">
        <f>IF(OR(A82="",I82="",G82="Completed"),"",IF(I82&gt;=StatusDate,I82+ROW()/100000,""))</f>
        <v/>
      </c>
      <c r="AB82" s="99">
        <f>IF(A82="","",IF(AND(G82&lt;&gt;"Completed",OR(G82="Blocked",AND(TRIM(P82)&lt;&gt;"",P82&lt;&gt;"None"))),ROW(),""))</f>
        <v/>
      </c>
      <c r="AC82" s="99">
        <f>IF(A82="","",IF(G82="Completed","Done",IF(G82="Blocked","Blocked",IF(X82="OVERDUE","Overdue",IF(AND(W82&lt;&gt;"",W82&lt;=2),"Due soon",IF(AND(Y82&lt;&gt;"",LEFT(Y82,1)="⏳",G82&lt;&gt;"Not Started"),"Dependency open",IF(AND(S82&lt;&gt;"None",S82&lt;&gt;"",G82&lt;&gt;"Completed"),"External req.","On track")))))))</f>
        <v/>
      </c>
    </row>
    <row r="83" ht="62" customHeight="1">
      <c r="A83" s="89" t="inlineStr">
        <is>
          <t>P5-09</t>
        </is>
      </c>
      <c r="B83" s="90" t="inlineStr">
        <is>
          <t>Phase 5</t>
        </is>
      </c>
      <c r="C83" s="91" t="inlineStr">
        <is>
          <t>Payments</t>
        </is>
      </c>
      <c r="D83" s="91" t="inlineStr">
        <is>
          <t>Payment webhooks</t>
        </is>
      </c>
      <c r="E83" s="91" t="inlineStr">
        <is>
          <t>Webhook endpoint with signature verification, idempotency keys, event logging, status transitions (paid, failed, refunded, renewed).</t>
        </is>
      </c>
      <c r="F83" s="90" t="inlineStr">
        <is>
          <t>P0</t>
        </is>
      </c>
      <c r="G83" s="92" t="inlineStr">
        <is>
          <t>Not Started</t>
        </is>
      </c>
      <c r="H83" s="93" t="n">
        <v>46319</v>
      </c>
      <c r="I83" s="93" t="n">
        <v>46319</v>
      </c>
      <c r="J83" s="94" t="n">
        <v>0</v>
      </c>
      <c r="K83" s="91" t="inlineStr">
        <is>
          <t>P5-08</t>
        </is>
      </c>
      <c r="L83" s="91" t="inlineStr">
        <is>
          <t>Staging (Hostinger)</t>
        </is>
      </c>
      <c r="M83" s="91" t="inlineStr">
        <is>
          <t>inc/payments/webhook.php</t>
        </is>
      </c>
      <c r="N83" s="91" t="inlineStr">
        <is>
          <t>Replay same event twice; tampered signature rejected</t>
        </is>
      </c>
      <c r="O83" s="91" t="inlineStr">
        <is>
          <t>Subscription state always matches gateway; duplicates ignored</t>
        </is>
      </c>
      <c r="P83" s="95" t="n"/>
      <c r="Q83" s="95" t="n"/>
      <c r="R83" s="96" t="n"/>
      <c r="S83" s="91" t="inlineStr">
        <is>
          <t>Payment Approval</t>
        </is>
      </c>
      <c r="T83" s="92" t="inlineStr">
        <is>
          <t>Not Tested</t>
        </is>
      </c>
      <c r="U83" s="97">
        <f>IF(A83="",0,IF(G83="Completed",1,IF(G83="Not Started",0,MIN(0.99,N(J83)))))</f>
        <v/>
      </c>
      <c r="V83" s="97">
        <f>IF(OR(A83="",H83="",I83=""),0,MAX(0,MIN(1,(StatusDate-H83+1)/(I83-H83+1))))</f>
        <v/>
      </c>
      <c r="W83" s="98">
        <f>IF(OR(A83="",I83="",G83="Completed"),"",I83-StatusDate)</f>
        <v/>
      </c>
      <c r="X83" s="99">
        <f>IF(A83="","",IF(AND(G83&lt;&gt;"Completed",I83&lt;&gt;"",I83&lt;StatusDate),"OVERDUE",""))</f>
        <v/>
      </c>
      <c r="Y83" s="99">
        <f>IF(OR(A83="",K83=""),"",IF(SUMPRODUCT(($A$6:$A$400&lt;&gt;"")*ISNUMBER(SEARCH($A$6:$A$400,K83))*($G$6:$G$400&lt;&gt;"Completed"))=0,"✓ Ready","⏳ "&amp;SUMPRODUCT(($A$6:$A$400&lt;&gt;"")*ISNUMBER(SEARCH($A$6:$A$400,K83))*($G$6:$G$400&lt;&gt;"Completed"))&amp;" open"))</f>
        <v/>
      </c>
      <c r="Z83" s="99">
        <f>IF(A83="","",B83&amp;"|"&amp;COUNTIFS($B$6:B83,B83,$A$6:A83,"?*"))</f>
        <v/>
      </c>
      <c r="AA83" s="99">
        <f>IF(OR(A83="",I83="",G83="Completed"),"",IF(I83&gt;=StatusDate,I83+ROW()/100000,""))</f>
        <v/>
      </c>
      <c r="AB83" s="99">
        <f>IF(A83="","",IF(AND(G83&lt;&gt;"Completed",OR(G83="Blocked",AND(TRIM(P83)&lt;&gt;"",P83&lt;&gt;"None"))),ROW(),""))</f>
        <v/>
      </c>
      <c r="AC83" s="99">
        <f>IF(A83="","",IF(G83="Completed","Done",IF(G83="Blocked","Blocked",IF(X83="OVERDUE","Overdue",IF(AND(W83&lt;&gt;"",W83&lt;=2),"Due soon",IF(AND(Y83&lt;&gt;"",LEFT(Y83,1)="⏳",G83&lt;&gt;"Not Started"),"Dependency open",IF(AND(S83&lt;&gt;"None",S83&lt;&gt;"",G83&lt;&gt;"Completed"),"External req.","On track")))))))</f>
        <v/>
      </c>
    </row>
    <row r="84" ht="62" customHeight="1">
      <c r="A84" s="89" t="inlineStr">
        <is>
          <t>P5-10</t>
        </is>
      </c>
      <c r="B84" s="90" t="inlineStr">
        <is>
          <t>Phase 5</t>
        </is>
      </c>
      <c r="C84" s="91" t="inlineStr">
        <is>
          <t>Subscriptions</t>
        </is>
      </c>
      <c r="D84" s="91" t="inlineStr">
        <is>
          <t>Renewal, expiry &amp; notification emails</t>
        </is>
      </c>
      <c r="E84" s="91" t="inlineStr">
        <is>
          <t>Daily cron for expiry, grace period, renewal reminders and receipts.</t>
        </is>
      </c>
      <c r="F84" s="90" t="inlineStr">
        <is>
          <t>P1</t>
        </is>
      </c>
      <c r="G84" s="92" t="inlineStr">
        <is>
          <t>Not Started</t>
        </is>
      </c>
      <c r="H84" s="93" t="n">
        <v>46319</v>
      </c>
      <c r="I84" s="93" t="n">
        <v>46319</v>
      </c>
      <c r="J84" s="94" t="n">
        <v>0</v>
      </c>
      <c r="K84" s="91" t="inlineStr">
        <is>
          <t>P5-09, P5-13</t>
        </is>
      </c>
      <c r="L84" s="91" t="inlineStr">
        <is>
          <t>Staging (Hostinger)</t>
        </is>
      </c>
      <c r="M84" s="91" t="inlineStr">
        <is>
          <t>inc/subscriptions/cron.php</t>
        </is>
      </c>
      <c r="N84" s="91" t="inlineStr">
        <is>
          <t>Force-expire a test user; check emails</t>
        </is>
      </c>
      <c r="O84" s="91" t="inlineStr">
        <is>
          <t>Expired users lose access; reminders sent</t>
        </is>
      </c>
      <c r="P84" s="95" t="n"/>
      <c r="Q84" s="95" t="n"/>
      <c r="R84" s="96" t="n"/>
      <c r="S84" s="91" t="inlineStr">
        <is>
          <t>None</t>
        </is>
      </c>
      <c r="T84" s="92" t="inlineStr">
        <is>
          <t>Not Tested</t>
        </is>
      </c>
      <c r="U84" s="97">
        <f>IF(A84="",0,IF(G84="Completed",1,IF(G84="Not Started",0,MIN(0.99,N(J84)))))</f>
        <v/>
      </c>
      <c r="V84" s="97">
        <f>IF(OR(A84="",H84="",I84=""),0,MAX(0,MIN(1,(StatusDate-H84+1)/(I84-H84+1))))</f>
        <v/>
      </c>
      <c r="W84" s="98">
        <f>IF(OR(A84="",I84="",G84="Completed"),"",I84-StatusDate)</f>
        <v/>
      </c>
      <c r="X84" s="99">
        <f>IF(A84="","",IF(AND(G84&lt;&gt;"Completed",I84&lt;&gt;"",I84&lt;StatusDate),"OVERDUE",""))</f>
        <v/>
      </c>
      <c r="Y84" s="99">
        <f>IF(OR(A84="",K84=""),"",IF(SUMPRODUCT(($A$6:$A$400&lt;&gt;"")*ISNUMBER(SEARCH($A$6:$A$400,K84))*($G$6:$G$400&lt;&gt;"Completed"))=0,"✓ Ready","⏳ "&amp;SUMPRODUCT(($A$6:$A$400&lt;&gt;"")*ISNUMBER(SEARCH($A$6:$A$400,K84))*($G$6:$G$400&lt;&gt;"Completed"))&amp;" open"))</f>
        <v/>
      </c>
      <c r="Z84" s="99">
        <f>IF(A84="","",B84&amp;"|"&amp;COUNTIFS($B$6:B84,B84,$A$6:A84,"?*"))</f>
        <v/>
      </c>
      <c r="AA84" s="99">
        <f>IF(OR(A84="",I84="",G84="Completed"),"",IF(I84&gt;=StatusDate,I84+ROW()/100000,""))</f>
        <v/>
      </c>
      <c r="AB84" s="99">
        <f>IF(A84="","",IF(AND(G84&lt;&gt;"Completed",OR(G84="Blocked",AND(TRIM(P84)&lt;&gt;"",P84&lt;&gt;"None"))),ROW(),""))</f>
        <v/>
      </c>
      <c r="AC84" s="99">
        <f>IF(A84="","",IF(G84="Completed","Done",IF(G84="Blocked","Blocked",IF(X84="OVERDUE","Overdue",IF(AND(W84&lt;&gt;"",W84&lt;=2),"Due soon",IF(AND(Y84&lt;&gt;"",LEFT(Y84,1)="⏳",G84&lt;&gt;"Not Started"),"Dependency open",IF(AND(S84&lt;&gt;"None",S84&lt;&gt;"",G84&lt;&gt;"Completed"),"External req.","On track")))))))</f>
        <v/>
      </c>
    </row>
    <row r="85" ht="62" customHeight="1">
      <c r="A85" s="89" t="inlineStr">
        <is>
          <t>P5-11</t>
        </is>
      </c>
      <c r="B85" s="90" t="inlineStr">
        <is>
          <t>Phase 5</t>
        </is>
      </c>
      <c r="C85" s="91" t="inlineStr">
        <is>
          <t>Member Dashboard</t>
        </is>
      </c>
      <c r="D85" s="91" t="inlineStr">
        <is>
          <t>Member dashboard</t>
        </is>
      </c>
      <c r="E85" s="91" t="inlineStr">
        <is>
          <t>Account page: profile edit, plan &amp; expiry, payment history, downloads, saved issues, logout.</t>
        </is>
      </c>
      <c r="F85" s="90" t="inlineStr">
        <is>
          <t>P0</t>
        </is>
      </c>
      <c r="G85" s="92" t="inlineStr">
        <is>
          <t>Not Started</t>
        </is>
      </c>
      <c r="H85" s="93" t="n">
        <v>46319</v>
      </c>
      <c r="I85" s="93" t="n">
        <v>46319</v>
      </c>
      <c r="J85" s="94" t="n">
        <v>0</v>
      </c>
      <c r="K85" s="91" t="inlineStr">
        <is>
          <t>P5-04, P5-07</t>
        </is>
      </c>
      <c r="L85" s="91" t="inlineStr">
        <is>
          <t>Staging (Hostinger)</t>
        </is>
      </c>
      <c r="M85" s="91" t="inlineStr">
        <is>
          <t>page-templates/page-account.php</t>
        </is>
      </c>
      <c r="N85" s="91" t="inlineStr">
        <is>
          <t>Check as free, member and subscriber</t>
        </is>
      </c>
      <c r="O85" s="91" t="inlineStr">
        <is>
          <t>Members manage account and see entitlements</t>
        </is>
      </c>
      <c r="P85" s="95" t="n"/>
      <c r="Q85" s="95" t="n"/>
      <c r="R85" s="96" t="n"/>
      <c r="S85" s="91" t="inlineStr">
        <is>
          <t>None</t>
        </is>
      </c>
      <c r="T85" s="92" t="inlineStr">
        <is>
          <t>Not Tested</t>
        </is>
      </c>
      <c r="U85" s="97">
        <f>IF(A85="",0,IF(G85="Completed",1,IF(G85="Not Started",0,MIN(0.99,N(J85)))))</f>
        <v/>
      </c>
      <c r="V85" s="97">
        <f>IF(OR(A85="",H85="",I85=""),0,MAX(0,MIN(1,(StatusDate-H85+1)/(I85-H85+1))))</f>
        <v/>
      </c>
      <c r="W85" s="98">
        <f>IF(OR(A85="",I85="",G85="Completed"),"",I85-StatusDate)</f>
        <v/>
      </c>
      <c r="X85" s="99">
        <f>IF(A85="","",IF(AND(G85&lt;&gt;"Completed",I85&lt;&gt;"",I85&lt;StatusDate),"OVERDUE",""))</f>
        <v/>
      </c>
      <c r="Y85" s="99">
        <f>IF(OR(A85="",K85=""),"",IF(SUMPRODUCT(($A$6:$A$400&lt;&gt;"")*ISNUMBER(SEARCH($A$6:$A$400,K85))*($G$6:$G$400&lt;&gt;"Completed"))=0,"✓ Ready","⏳ "&amp;SUMPRODUCT(($A$6:$A$400&lt;&gt;"")*ISNUMBER(SEARCH($A$6:$A$400,K85))*($G$6:$G$400&lt;&gt;"Completed"))&amp;" open"))</f>
        <v/>
      </c>
      <c r="Z85" s="99">
        <f>IF(A85="","",B85&amp;"|"&amp;COUNTIFS($B$6:B85,B85,$A$6:A85,"?*"))</f>
        <v/>
      </c>
      <c r="AA85" s="99">
        <f>IF(OR(A85="",I85="",G85="Completed"),"",IF(I85&gt;=StatusDate,I85+ROW()/100000,""))</f>
        <v/>
      </c>
      <c r="AB85" s="99">
        <f>IF(A85="","",IF(AND(G85&lt;&gt;"Completed",OR(G85="Blocked",AND(TRIM(P85)&lt;&gt;"",P85&lt;&gt;"None"))),ROW(),""))</f>
        <v/>
      </c>
      <c r="AC85" s="99">
        <f>IF(A85="","",IF(G85="Completed","Done",IF(G85="Blocked","Blocked",IF(X85="OVERDUE","Overdue",IF(AND(W85&lt;&gt;"",W85&lt;=2),"Due soon",IF(AND(Y85&lt;&gt;"",LEFT(Y85,1)="⏳",G85&lt;&gt;"Not Started"),"Dependency open",IF(AND(S85&lt;&gt;"None",S85&lt;&gt;"",G85&lt;&gt;"Completed"),"External req.","On track")))))))</f>
        <v/>
      </c>
    </row>
    <row r="86" ht="62" customHeight="1">
      <c r="A86" s="89" t="inlineStr">
        <is>
          <t>P5-12</t>
        </is>
      </c>
      <c r="B86" s="90" t="inlineStr">
        <is>
          <t>Phase 5</t>
        </is>
      </c>
      <c r="C86" s="91" t="inlineStr">
        <is>
          <t>Security</t>
        </is>
      </c>
      <c r="D86" s="91" t="inlineStr">
        <is>
          <t>Security hardening &amp; rate limiting</t>
        </is>
      </c>
      <c r="E86" s="91" t="inlineStr">
        <is>
          <t>Login/registration/reset rate limiting by IP + account, nonces on all forms, CAPTCHA/Turnstile or honeypot, password policy, generic error messages, sanitize/escape audit of auth code.</t>
        </is>
      </c>
      <c r="F86" s="90" t="inlineStr">
        <is>
          <t>P0</t>
        </is>
      </c>
      <c r="G86" s="92" t="inlineStr">
        <is>
          <t>Not Started</t>
        </is>
      </c>
      <c r="H86" s="93" t="n">
        <v>46319</v>
      </c>
      <c r="I86" s="93" t="n">
        <v>46319</v>
      </c>
      <c r="J86" s="94" t="n">
        <v>0</v>
      </c>
      <c r="K86" s="91" t="inlineStr">
        <is>
          <t>P5-04</t>
        </is>
      </c>
      <c r="L86" s="91" t="inlineStr">
        <is>
          <t>Staging (Hostinger)</t>
        </is>
      </c>
      <c r="M86" s="91" t="inlineStr">
        <is>
          <t>inc/security.php</t>
        </is>
      </c>
      <c r="N86" s="91" t="inlineStr">
        <is>
          <t>Brute-force 10 attempts → lockout; CSRF test without nonce</t>
        </is>
      </c>
      <c r="O86" s="91" t="inlineStr">
        <is>
          <t>Abuse throttled; no user enumeration; forms CSRF-safe</t>
        </is>
      </c>
      <c r="P86" s="95" t="n"/>
      <c r="Q86" s="95" t="n"/>
      <c r="R86" s="96" t="n"/>
      <c r="S86" s="91" t="inlineStr">
        <is>
          <t>None</t>
        </is>
      </c>
      <c r="T86" s="92" t="inlineStr">
        <is>
          <t>Not Tested</t>
        </is>
      </c>
      <c r="U86" s="97">
        <f>IF(A86="",0,IF(G86="Completed",1,IF(G86="Not Started",0,MIN(0.99,N(J86)))))</f>
        <v/>
      </c>
      <c r="V86" s="97">
        <f>IF(OR(A86="",H86="",I86=""),0,MAX(0,MIN(1,(StatusDate-H86+1)/(I86-H86+1))))</f>
        <v/>
      </c>
      <c r="W86" s="98">
        <f>IF(OR(A86="",I86="",G86="Completed"),"",I86-StatusDate)</f>
        <v/>
      </c>
      <c r="X86" s="99">
        <f>IF(A86="","",IF(AND(G86&lt;&gt;"Completed",I86&lt;&gt;"",I86&lt;StatusDate),"OVERDUE",""))</f>
        <v/>
      </c>
      <c r="Y86" s="99">
        <f>IF(OR(A86="",K86=""),"",IF(SUMPRODUCT(($A$6:$A$400&lt;&gt;"")*ISNUMBER(SEARCH($A$6:$A$400,K86))*($G$6:$G$400&lt;&gt;"Completed"))=0,"✓ Ready","⏳ "&amp;SUMPRODUCT(($A$6:$A$400&lt;&gt;"")*ISNUMBER(SEARCH($A$6:$A$400,K86))*($G$6:$G$400&lt;&gt;"Completed"))&amp;" open"))</f>
        <v/>
      </c>
      <c r="Z86" s="99">
        <f>IF(A86="","",B86&amp;"|"&amp;COUNTIFS($B$6:B86,B86,$A$6:A86,"?*"))</f>
        <v/>
      </c>
      <c r="AA86" s="99">
        <f>IF(OR(A86="",I86="",G86="Completed"),"",IF(I86&gt;=StatusDate,I86+ROW()/100000,""))</f>
        <v/>
      </c>
      <c r="AB86" s="99">
        <f>IF(A86="","",IF(AND(G86&lt;&gt;"Completed",OR(G86="Blocked",AND(TRIM(P86)&lt;&gt;"",P86&lt;&gt;"None"))),ROW(),""))</f>
        <v/>
      </c>
      <c r="AC86" s="99">
        <f>IF(A86="","",IF(G86="Completed","Done",IF(G86="Blocked","Blocked",IF(X86="OVERDUE","Overdue",IF(AND(W86&lt;&gt;"",W86&lt;=2),"Due soon",IF(AND(Y86&lt;&gt;"",LEFT(Y86,1)="⏳",G86&lt;&gt;"Not Started"),"Dependency open",IF(AND(S86&lt;&gt;"None",S86&lt;&gt;"",G86&lt;&gt;"Completed"),"External req.","On track")))))))</f>
        <v/>
      </c>
    </row>
    <row r="87" ht="62" customHeight="1">
      <c r="A87" s="89" t="inlineStr">
        <is>
          <t>P5-13</t>
        </is>
      </c>
      <c r="B87" s="90" t="inlineStr">
        <is>
          <t>Phase 5</t>
        </is>
      </c>
      <c r="C87" s="91" t="inlineStr">
        <is>
          <t>Email</t>
        </is>
      </c>
      <c r="D87" s="91" t="inlineStr">
        <is>
          <t>SMTP / transactional email setup</t>
        </is>
      </c>
      <c r="E87" s="91" t="inlineStr">
        <is>
          <t>Configure authenticated SMTP (SPF/DKIM) for verification, reset, receipts and lead notifications.</t>
        </is>
      </c>
      <c r="F87" s="90" t="inlineStr">
        <is>
          <t>P0</t>
        </is>
      </c>
      <c r="G87" s="92" t="inlineStr">
        <is>
          <t>Not Started</t>
        </is>
      </c>
      <c r="H87" s="93" t="n">
        <v>46319</v>
      </c>
      <c r="I87" s="93" t="n">
        <v>46320</v>
      </c>
      <c r="J87" s="94" t="n">
        <v>0</v>
      </c>
      <c r="K87" s="91" t="n"/>
      <c r="L87" s="91" t="inlineStr">
        <is>
          <t>Staging (Hostinger)</t>
        </is>
      </c>
      <c r="M87" s="91" t="inlineStr">
        <is>
          <t>wp-config.php or SMTP plugin settings</t>
        </is>
      </c>
      <c r="N87" s="91" t="inlineStr">
        <is>
          <t>Send test emails to Gmail/Outlook; check spam</t>
        </is>
      </c>
      <c r="O87" s="91" t="inlineStr">
        <is>
          <t>Transactional emails delivered to inbox</t>
        </is>
      </c>
      <c r="P87" s="95" t="n"/>
      <c r="Q87" s="95" t="n"/>
      <c r="R87" s="96" t="n"/>
      <c r="S87" s="91" t="inlineStr">
        <is>
          <t>Credentials</t>
        </is>
      </c>
      <c r="T87" s="92" t="inlineStr">
        <is>
          <t>Not Tested</t>
        </is>
      </c>
      <c r="U87" s="97">
        <f>IF(A87="",0,IF(G87="Completed",1,IF(G87="Not Started",0,MIN(0.99,N(J87)))))</f>
        <v/>
      </c>
      <c r="V87" s="97">
        <f>IF(OR(A87="",H87="",I87=""),0,MAX(0,MIN(1,(StatusDate-H87+1)/(I87-H87+1))))</f>
        <v/>
      </c>
      <c r="W87" s="98">
        <f>IF(OR(A87="",I87="",G87="Completed"),"",I87-StatusDate)</f>
        <v/>
      </c>
      <c r="X87" s="99">
        <f>IF(A87="","",IF(AND(G87&lt;&gt;"Completed",I87&lt;&gt;"",I87&lt;StatusDate),"OVERDUE",""))</f>
        <v/>
      </c>
      <c r="Y87" s="99">
        <f>IF(OR(A87="",K87=""),"",IF(SUMPRODUCT(($A$6:$A$400&lt;&gt;"")*ISNUMBER(SEARCH($A$6:$A$400,K87))*($G$6:$G$400&lt;&gt;"Completed"))=0,"✓ Ready","⏳ "&amp;SUMPRODUCT(($A$6:$A$400&lt;&gt;"")*ISNUMBER(SEARCH($A$6:$A$400,K87))*($G$6:$G$400&lt;&gt;"Completed"))&amp;" open"))</f>
        <v/>
      </c>
      <c r="Z87" s="99">
        <f>IF(A87="","",B87&amp;"|"&amp;COUNTIFS($B$6:B87,B87,$A$6:A87,"?*"))</f>
        <v/>
      </c>
      <c r="AA87" s="99">
        <f>IF(OR(A87="",I87="",G87="Completed"),"",IF(I87&gt;=StatusDate,I87+ROW()/100000,""))</f>
        <v/>
      </c>
      <c r="AB87" s="99">
        <f>IF(A87="","",IF(AND(G87&lt;&gt;"Completed",OR(G87="Blocked",AND(TRIM(P87)&lt;&gt;"",P87&lt;&gt;"None"))),ROW(),""))</f>
        <v/>
      </c>
      <c r="AC87" s="99">
        <f>IF(A87="","",IF(G87="Completed","Done",IF(G87="Blocked","Blocked",IF(X87="OVERDUE","Overdue",IF(AND(W87&lt;&gt;"",W87&lt;=2),"Due soon",IF(AND(Y87&lt;&gt;"",LEFT(Y87,1)="⏳",G87&lt;&gt;"Not Started"),"Dependency open",IF(AND(S87&lt;&gt;"None",S87&lt;&gt;"",G87&lt;&gt;"Completed"),"External req.","On track")))))))</f>
        <v/>
      </c>
    </row>
    <row r="88" ht="62" customHeight="1">
      <c r="A88" s="89" t="inlineStr">
        <is>
          <t>P5-14</t>
        </is>
      </c>
      <c r="B88" s="90" t="inlineStr">
        <is>
          <t>Phase 5</t>
        </is>
      </c>
      <c r="C88" s="91" t="inlineStr">
        <is>
          <t>AdOps</t>
        </is>
      </c>
      <c r="D88" s="91" t="inlineStr">
        <is>
          <t>Advertising page</t>
        </is>
      </c>
      <c r="E88" s="91" t="inlineStr">
        <is>
          <t>page-advertise.php: audience stats, placements, formats, CTA to lead form and media kit.</t>
        </is>
      </c>
      <c r="F88" s="90" t="inlineStr">
        <is>
          <t>P1</t>
        </is>
      </c>
      <c r="G88" s="92" t="inlineStr">
        <is>
          <t>In Progress</t>
        </is>
      </c>
      <c r="H88" s="93" t="n">
        <v>46320</v>
      </c>
      <c r="I88" s="93" t="n">
        <v>46320</v>
      </c>
      <c r="J88" s="94" t="n">
        <v>0.4</v>
      </c>
      <c r="K88" s="91" t="inlineStr">
        <is>
          <t>P1-17</t>
        </is>
      </c>
      <c r="L88" s="91" t="inlineStr">
        <is>
          <t>Staging (Hostinger)</t>
        </is>
      </c>
      <c r="M88" s="91" t="inlineStr">
        <is>
          <t>page-templates/page-advertise.php</t>
        </is>
      </c>
      <c r="N88" s="91" t="inlineStr">
        <is>
          <t>Content review with client; responsive check</t>
        </is>
      </c>
      <c r="O88" s="91" t="inlineStr">
        <is>
          <t>Advertising page live with editable content</t>
        </is>
      </c>
      <c r="P88" s="95" t="n"/>
      <c r="Q88" s="95" t="inlineStr">
        <is>
          <t>Advertise page template + Advertising options tab.</t>
        </is>
      </c>
      <c r="R88" s="96" t="n"/>
      <c r="S88" s="91" t="inlineStr">
        <is>
          <t>Client Content</t>
        </is>
      </c>
      <c r="T88" s="92" t="inlineStr">
        <is>
          <t>Not Tested</t>
        </is>
      </c>
      <c r="U88" s="97">
        <f>IF(A88="",0,IF(G88="Completed",1,IF(G88="Not Started",0,MIN(0.99,N(J88)))))</f>
        <v/>
      </c>
      <c r="V88" s="97">
        <f>IF(OR(A88="",H88="",I88=""),0,MAX(0,MIN(1,(StatusDate-H88+1)/(I88-H88+1))))</f>
        <v/>
      </c>
      <c r="W88" s="98">
        <f>IF(OR(A88="",I88="",G88="Completed"),"",I88-StatusDate)</f>
        <v/>
      </c>
      <c r="X88" s="99">
        <f>IF(A88="","",IF(AND(G88&lt;&gt;"Completed",I88&lt;&gt;"",I88&lt;StatusDate),"OVERDUE",""))</f>
        <v/>
      </c>
      <c r="Y88" s="99">
        <f>IF(OR(A88="",K88=""),"",IF(SUMPRODUCT(($A$6:$A$400&lt;&gt;"")*ISNUMBER(SEARCH($A$6:$A$400,K88))*($G$6:$G$400&lt;&gt;"Completed"))=0,"✓ Ready","⏳ "&amp;SUMPRODUCT(($A$6:$A$400&lt;&gt;"")*ISNUMBER(SEARCH($A$6:$A$400,K88))*($G$6:$G$400&lt;&gt;"Completed"))&amp;" open"))</f>
        <v/>
      </c>
      <c r="Z88" s="99">
        <f>IF(A88="","",B88&amp;"|"&amp;COUNTIFS($B$6:B88,B88,$A$6:A88,"?*"))</f>
        <v/>
      </c>
      <c r="AA88" s="99">
        <f>IF(OR(A88="",I88="",G88="Completed"),"",IF(I88&gt;=StatusDate,I88+ROW()/100000,""))</f>
        <v/>
      </c>
      <c r="AB88" s="99">
        <f>IF(A88="","",IF(AND(G88&lt;&gt;"Completed",OR(G88="Blocked",AND(TRIM(P88)&lt;&gt;"",P88&lt;&gt;"None"))),ROW(),""))</f>
        <v/>
      </c>
      <c r="AC88" s="99">
        <f>IF(A88="","",IF(G88="Completed","Done",IF(G88="Blocked","Blocked",IF(X88="OVERDUE","Overdue",IF(AND(W88&lt;&gt;"",W88&lt;=2),"Due soon",IF(AND(Y88&lt;&gt;"",LEFT(Y88,1)="⏳",G88&lt;&gt;"Not Started"),"Dependency open",IF(AND(S88&lt;&gt;"None",S88&lt;&gt;"",G88&lt;&gt;"Completed"),"External req.","On track")))))))</f>
        <v/>
      </c>
    </row>
    <row r="89" ht="62" customHeight="1">
      <c r="A89" s="89" t="inlineStr">
        <is>
          <t>P5-15</t>
        </is>
      </c>
      <c r="B89" s="90" t="inlineStr">
        <is>
          <t>Phase 5</t>
        </is>
      </c>
      <c r="C89" s="91" t="inlineStr">
        <is>
          <t>AdOps</t>
        </is>
      </c>
      <c r="D89" s="91" t="inlineStr">
        <is>
          <t>Advertising rate calculator</t>
        </is>
      </c>
      <c r="E89" s="91" t="inlineStr">
        <is>
          <t>Vanilla JS calculator: placement, size, duration, frequency → estimated price; rates editable in admin (no code).</t>
        </is>
      </c>
      <c r="F89" s="90" t="inlineStr">
        <is>
          <t>P1</t>
        </is>
      </c>
      <c r="G89" s="92" t="inlineStr">
        <is>
          <t>Not Started</t>
        </is>
      </c>
      <c r="H89" s="93" t="n">
        <v>46320</v>
      </c>
      <c r="I89" s="93" t="n">
        <v>46320</v>
      </c>
      <c r="J89" s="94" t="n">
        <v>0</v>
      </c>
      <c r="K89" s="91" t="inlineStr">
        <is>
          <t>P5-14</t>
        </is>
      </c>
      <c r="L89" s="91" t="inlineStr">
        <is>
          <t>Staging (Hostinger)</t>
        </is>
      </c>
      <c r="M89" s="91" t="inlineStr">
        <is>
          <t>assets/js/modules/rate-calculator.js, inc/adops-settings.php</t>
        </is>
      </c>
      <c r="N89" s="91" t="inlineStr">
        <is>
          <t>Test edge values; change a rate in admin</t>
        </is>
      </c>
      <c r="O89" s="91" t="inlineStr">
        <is>
          <t>Calculator accurate and admin-configurable</t>
        </is>
      </c>
      <c r="P89" s="95" t="n"/>
      <c r="Q89" s="95" t="n"/>
      <c r="R89" s="96" t="n"/>
      <c r="S89" s="91" t="inlineStr">
        <is>
          <t>Client Content</t>
        </is>
      </c>
      <c r="T89" s="92" t="inlineStr">
        <is>
          <t>Not Tested</t>
        </is>
      </c>
      <c r="U89" s="97">
        <f>IF(A89="",0,IF(G89="Completed",1,IF(G89="Not Started",0,MIN(0.99,N(J89)))))</f>
        <v/>
      </c>
      <c r="V89" s="97">
        <f>IF(OR(A89="",H89="",I89=""),0,MAX(0,MIN(1,(StatusDate-H89+1)/(I89-H89+1))))</f>
        <v/>
      </c>
      <c r="W89" s="98">
        <f>IF(OR(A89="",I89="",G89="Completed"),"",I89-StatusDate)</f>
        <v/>
      </c>
      <c r="X89" s="99">
        <f>IF(A89="","",IF(AND(G89&lt;&gt;"Completed",I89&lt;&gt;"",I89&lt;StatusDate),"OVERDUE",""))</f>
        <v/>
      </c>
      <c r="Y89" s="99">
        <f>IF(OR(A89="",K89=""),"",IF(SUMPRODUCT(($A$6:$A$400&lt;&gt;"")*ISNUMBER(SEARCH($A$6:$A$400,K89))*($G$6:$G$400&lt;&gt;"Completed"))=0,"✓ Ready","⏳ "&amp;SUMPRODUCT(($A$6:$A$400&lt;&gt;"")*ISNUMBER(SEARCH($A$6:$A$400,K89))*($G$6:$G$400&lt;&gt;"Completed"))&amp;" open"))</f>
        <v/>
      </c>
      <c r="Z89" s="99">
        <f>IF(A89="","",B89&amp;"|"&amp;COUNTIFS($B$6:B89,B89,$A$6:A89,"?*"))</f>
        <v/>
      </c>
      <c r="AA89" s="99">
        <f>IF(OR(A89="",I89="",G89="Completed"),"",IF(I89&gt;=StatusDate,I89+ROW()/100000,""))</f>
        <v/>
      </c>
      <c r="AB89" s="99">
        <f>IF(A89="","",IF(AND(G89&lt;&gt;"Completed",OR(G89="Blocked",AND(TRIM(P89)&lt;&gt;"",P89&lt;&gt;"None"))),ROW(),""))</f>
        <v/>
      </c>
      <c r="AC89" s="99">
        <f>IF(A89="","",IF(G89="Completed","Done",IF(G89="Blocked","Blocked",IF(X89="OVERDUE","Overdue",IF(AND(W89&lt;&gt;"",W89&lt;=2),"Due soon",IF(AND(Y89&lt;&gt;"",LEFT(Y89,1)="⏳",G89&lt;&gt;"Not Started"),"Dependency open",IF(AND(S89&lt;&gt;"None",S89&lt;&gt;"",G89&lt;&gt;"Completed"),"External req.","On track")))))))</f>
        <v/>
      </c>
    </row>
    <row r="90" ht="62" customHeight="1">
      <c r="A90" s="89" t="inlineStr">
        <is>
          <t>P5-16</t>
        </is>
      </c>
      <c r="B90" s="90" t="inlineStr">
        <is>
          <t>Phase 5</t>
        </is>
      </c>
      <c r="C90" s="91" t="inlineStr">
        <is>
          <t>AdOps</t>
        </is>
      </c>
      <c r="D90" s="91" t="inlineStr">
        <is>
          <t>Media kit download</t>
        </is>
      </c>
      <c r="E90" s="91" t="inlineStr">
        <is>
          <t>Media kit PDF download, optionally gated behind lead form.</t>
        </is>
      </c>
      <c r="F90" s="90" t="inlineStr">
        <is>
          <t>P2</t>
        </is>
      </c>
      <c r="G90" s="92" t="inlineStr">
        <is>
          <t>Not Started</t>
        </is>
      </c>
      <c r="H90" s="93" t="n">
        <v>46320</v>
      </c>
      <c r="I90" s="93" t="n">
        <v>46320</v>
      </c>
      <c r="J90" s="94" t="n">
        <v>0</v>
      </c>
      <c r="K90" s="91" t="inlineStr">
        <is>
          <t>P5-14, P5-17</t>
        </is>
      </c>
      <c r="L90" s="91" t="inlineStr">
        <is>
          <t>Staging (Hostinger)</t>
        </is>
      </c>
      <c r="M90" s="91" t="inlineStr">
        <is>
          <t>page-templates/page-advertise.php</t>
        </is>
      </c>
      <c r="N90" s="91" t="inlineStr">
        <is>
          <t>Download after form submit</t>
        </is>
      </c>
      <c r="O90" s="91" t="inlineStr">
        <is>
          <t>Media kit downloadable and tracked</t>
        </is>
      </c>
      <c r="P90" s="95" t="n"/>
      <c r="Q90" s="95" t="n"/>
      <c r="R90" s="96" t="n"/>
      <c r="S90" s="91" t="inlineStr">
        <is>
          <t>Client Content</t>
        </is>
      </c>
      <c r="T90" s="92" t="inlineStr">
        <is>
          <t>Not Tested</t>
        </is>
      </c>
      <c r="U90" s="97">
        <f>IF(A90="",0,IF(G90="Completed",1,IF(G90="Not Started",0,MIN(0.99,N(J90)))))</f>
        <v/>
      </c>
      <c r="V90" s="97">
        <f>IF(OR(A90="",H90="",I90=""),0,MAX(0,MIN(1,(StatusDate-H90+1)/(I90-H90+1))))</f>
        <v/>
      </c>
      <c r="W90" s="98">
        <f>IF(OR(A90="",I90="",G90="Completed"),"",I90-StatusDate)</f>
        <v/>
      </c>
      <c r="X90" s="99">
        <f>IF(A90="","",IF(AND(G90&lt;&gt;"Completed",I90&lt;&gt;"",I90&lt;StatusDate),"OVERDUE",""))</f>
        <v/>
      </c>
      <c r="Y90" s="99">
        <f>IF(OR(A90="",K90=""),"",IF(SUMPRODUCT(($A$6:$A$400&lt;&gt;"")*ISNUMBER(SEARCH($A$6:$A$400,K90))*($G$6:$G$400&lt;&gt;"Completed"))=0,"✓ Ready","⏳ "&amp;SUMPRODUCT(($A$6:$A$400&lt;&gt;"")*ISNUMBER(SEARCH($A$6:$A$400,K90))*($G$6:$G$400&lt;&gt;"Completed"))&amp;" open"))</f>
        <v/>
      </c>
      <c r="Z90" s="99">
        <f>IF(A90="","",B90&amp;"|"&amp;COUNTIFS($B$6:B90,B90,$A$6:A90,"?*"))</f>
        <v/>
      </c>
      <c r="AA90" s="99">
        <f>IF(OR(A90="",I90="",G90="Completed"),"",IF(I90&gt;=StatusDate,I90+ROW()/100000,""))</f>
        <v/>
      </c>
      <c r="AB90" s="99">
        <f>IF(A90="","",IF(AND(G90&lt;&gt;"Completed",OR(G90="Blocked",AND(TRIM(P90)&lt;&gt;"",P90&lt;&gt;"None"))),ROW(),""))</f>
        <v/>
      </c>
      <c r="AC90" s="99">
        <f>IF(A90="","",IF(G90="Completed","Done",IF(G90="Blocked","Blocked",IF(X90="OVERDUE","Overdue",IF(AND(W90&lt;&gt;"",W90&lt;=2),"Due soon",IF(AND(Y90&lt;&gt;"",LEFT(Y90,1)="⏳",G90&lt;&gt;"Not Started"),"Dependency open",IF(AND(S90&lt;&gt;"None",S90&lt;&gt;"",G90&lt;&gt;"Completed"),"External req.","On track")))))))</f>
        <v/>
      </c>
    </row>
    <row r="91" ht="62" customHeight="1">
      <c r="A91" s="89" t="inlineStr">
        <is>
          <t>P5-17</t>
        </is>
      </c>
      <c r="B91" s="90" t="inlineStr">
        <is>
          <t>Phase 5</t>
        </is>
      </c>
      <c r="C91" s="91" t="inlineStr">
        <is>
          <t>Leads</t>
        </is>
      </c>
      <c r="D91" s="91" t="inlineStr">
        <is>
          <t>Lead capture forms</t>
        </is>
      </c>
      <c r="E91" s="91" t="inlineStr">
        <is>
          <t>Advertising inquiry &amp; general lead forms stored as private 'lead' CPT + email notification; spam protection; admin export CSV.</t>
        </is>
      </c>
      <c r="F91" s="90" t="inlineStr">
        <is>
          <t>P0</t>
        </is>
      </c>
      <c r="G91" s="92" t="inlineStr">
        <is>
          <t>Not Started</t>
        </is>
      </c>
      <c r="H91" s="93" t="n">
        <v>46320</v>
      </c>
      <c r="I91" s="93" t="n">
        <v>46320</v>
      </c>
      <c r="J91" s="94" t="n">
        <v>0</v>
      </c>
      <c r="K91" s="91" t="inlineStr">
        <is>
          <t>P5-12, P5-13</t>
        </is>
      </c>
      <c r="L91" s="91" t="inlineStr">
        <is>
          <t>Staging (Hostinger)</t>
        </is>
      </c>
      <c r="M91" s="91" t="inlineStr">
        <is>
          <t>inc/leads.php</t>
        </is>
      </c>
      <c r="N91" s="91" t="inlineStr">
        <is>
          <t>Submit valid/invalid/spam; export CSV</t>
        </is>
      </c>
      <c r="O91" s="91" t="inlineStr">
        <is>
          <t>Every lead stored and notified; spam blocked</t>
        </is>
      </c>
      <c r="P91" s="95" t="n"/>
      <c r="Q91" s="95" t="n"/>
      <c r="R91" s="96" t="n"/>
      <c r="S91" s="91" t="inlineStr">
        <is>
          <t>None</t>
        </is>
      </c>
      <c r="T91" s="92" t="inlineStr">
        <is>
          <t>Not Tested</t>
        </is>
      </c>
      <c r="U91" s="97">
        <f>IF(A91="",0,IF(G91="Completed",1,IF(G91="Not Started",0,MIN(0.99,N(J91)))))</f>
        <v/>
      </c>
      <c r="V91" s="97">
        <f>IF(OR(A91="",H91="",I91=""),0,MAX(0,MIN(1,(StatusDate-H91+1)/(I91-H91+1))))</f>
        <v/>
      </c>
      <c r="W91" s="98">
        <f>IF(OR(A91="",I91="",G91="Completed"),"",I91-StatusDate)</f>
        <v/>
      </c>
      <c r="X91" s="99">
        <f>IF(A91="","",IF(AND(G91&lt;&gt;"Completed",I91&lt;&gt;"",I91&lt;StatusDate),"OVERDUE",""))</f>
        <v/>
      </c>
      <c r="Y91" s="99">
        <f>IF(OR(A91="",K91=""),"",IF(SUMPRODUCT(($A$6:$A$400&lt;&gt;"")*ISNUMBER(SEARCH($A$6:$A$400,K91))*($G$6:$G$400&lt;&gt;"Completed"))=0,"✓ Ready","⏳ "&amp;SUMPRODUCT(($A$6:$A$400&lt;&gt;"")*ISNUMBER(SEARCH($A$6:$A$400,K91))*($G$6:$G$400&lt;&gt;"Completed"))&amp;" open"))</f>
        <v/>
      </c>
      <c r="Z91" s="99">
        <f>IF(A91="","",B91&amp;"|"&amp;COUNTIFS($B$6:B91,B91,$A$6:A91,"?*"))</f>
        <v/>
      </c>
      <c r="AA91" s="99">
        <f>IF(OR(A91="",I91="",G91="Completed"),"",IF(I91&gt;=StatusDate,I91+ROW()/100000,""))</f>
        <v/>
      </c>
      <c r="AB91" s="99">
        <f>IF(A91="","",IF(AND(G91&lt;&gt;"Completed",OR(G91="Blocked",AND(TRIM(P91)&lt;&gt;"",P91&lt;&gt;"None"))),ROW(),""))</f>
        <v/>
      </c>
      <c r="AC91" s="99">
        <f>IF(A91="","",IF(G91="Completed","Done",IF(G91="Blocked","Blocked",IF(X91="OVERDUE","Overdue",IF(AND(W91&lt;&gt;"",W91&lt;=2),"Due soon",IF(AND(Y91&lt;&gt;"",LEFT(Y91,1)="⏳",G91&lt;&gt;"Not Started"),"Dependency open",IF(AND(S91&lt;&gt;"None",S91&lt;&gt;"",G91&lt;&gt;"Completed"),"External req.","On track")))))))</f>
        <v/>
      </c>
    </row>
    <row r="92" ht="62" customHeight="1">
      <c r="A92" s="89" t="inlineStr">
        <is>
          <t>P5-18</t>
        </is>
      </c>
      <c r="B92" s="90" t="inlineStr">
        <is>
          <t>Phase 5</t>
        </is>
      </c>
      <c r="C92" s="91" t="inlineStr">
        <is>
          <t>Pages</t>
        </is>
      </c>
      <c r="D92" s="91" t="inlineStr">
        <is>
          <t>About page</t>
        </is>
      </c>
      <c r="E92" s="91" t="inlineStr">
        <is>
          <t>page-about.php: mission, history, team, partners; editable via blocks/ACF-free fields.</t>
        </is>
      </c>
      <c r="F92" s="90" t="inlineStr">
        <is>
          <t>P1</t>
        </is>
      </c>
      <c r="G92" s="92" t="inlineStr">
        <is>
          <t>In Progress</t>
        </is>
      </c>
      <c r="H92" s="93" t="n">
        <v>46320</v>
      </c>
      <c r="I92" s="93" t="n">
        <v>46320</v>
      </c>
      <c r="J92" s="94" t="n">
        <v>0.5</v>
      </c>
      <c r="K92" s="91" t="inlineStr">
        <is>
          <t>P1-17</t>
        </is>
      </c>
      <c r="L92" s="91" t="inlineStr">
        <is>
          <t>Staging (Hostinger)</t>
        </is>
      </c>
      <c r="M92" s="91" t="inlineStr">
        <is>
          <t>page-templates/page-about.php</t>
        </is>
      </c>
      <c r="N92" s="91" t="inlineStr">
        <is>
          <t>Content review; responsive check</t>
        </is>
      </c>
      <c r="O92" s="91" t="inlineStr">
        <is>
          <t>About page live and editable</t>
        </is>
      </c>
      <c r="P92" s="95" t="n"/>
      <c r="Q92" s="95" t="inlineStr">
        <is>
          <t>About page template exists. Content review pending.</t>
        </is>
      </c>
      <c r="R92" s="96" t="n"/>
      <c r="S92" s="91" t="inlineStr">
        <is>
          <t>Client Content</t>
        </is>
      </c>
      <c r="T92" s="92" t="inlineStr">
        <is>
          <t>Not Tested</t>
        </is>
      </c>
      <c r="U92" s="97">
        <f>IF(A92="",0,IF(G92="Completed",1,IF(G92="Not Started",0,MIN(0.99,N(J92)))))</f>
        <v/>
      </c>
      <c r="V92" s="97">
        <f>IF(OR(A92="",H92="",I92=""),0,MAX(0,MIN(1,(StatusDate-H92+1)/(I92-H92+1))))</f>
        <v/>
      </c>
      <c r="W92" s="98">
        <f>IF(OR(A92="",I92="",G92="Completed"),"",I92-StatusDate)</f>
        <v/>
      </c>
      <c r="X92" s="99">
        <f>IF(A92="","",IF(AND(G92&lt;&gt;"Completed",I92&lt;&gt;"",I92&lt;StatusDate),"OVERDUE",""))</f>
        <v/>
      </c>
      <c r="Y92" s="99">
        <f>IF(OR(A92="",K92=""),"",IF(SUMPRODUCT(($A$6:$A$400&lt;&gt;"")*ISNUMBER(SEARCH($A$6:$A$400,K92))*($G$6:$G$400&lt;&gt;"Completed"))=0,"✓ Ready","⏳ "&amp;SUMPRODUCT(($A$6:$A$400&lt;&gt;"")*ISNUMBER(SEARCH($A$6:$A$400,K92))*($G$6:$G$400&lt;&gt;"Completed"))&amp;" open"))</f>
        <v/>
      </c>
      <c r="Z92" s="99">
        <f>IF(A92="","",B92&amp;"|"&amp;COUNTIFS($B$6:B92,B92,$A$6:A92,"?*"))</f>
        <v/>
      </c>
      <c r="AA92" s="99">
        <f>IF(OR(A92="",I92="",G92="Completed"),"",IF(I92&gt;=StatusDate,I92+ROW()/100000,""))</f>
        <v/>
      </c>
      <c r="AB92" s="99">
        <f>IF(A92="","",IF(AND(G92&lt;&gt;"Completed",OR(G92="Blocked",AND(TRIM(P92)&lt;&gt;"",P92&lt;&gt;"None"))),ROW(),""))</f>
        <v/>
      </c>
      <c r="AC92" s="99">
        <f>IF(A92="","",IF(G92="Completed","Done",IF(G92="Blocked","Blocked",IF(X92="OVERDUE","Overdue",IF(AND(W92&lt;&gt;"",W92&lt;=2),"Due soon",IF(AND(Y92&lt;&gt;"",LEFT(Y92,1)="⏳",G92&lt;&gt;"Not Started"),"Dependency open",IF(AND(S92&lt;&gt;"None",S92&lt;&gt;"",G92&lt;&gt;"Completed"),"External req.","On track")))))))</f>
        <v/>
      </c>
    </row>
    <row r="93" ht="62" customHeight="1">
      <c r="A93" s="89" t="inlineStr">
        <is>
          <t>P5-19</t>
        </is>
      </c>
      <c r="B93" s="90" t="inlineStr">
        <is>
          <t>Phase 5</t>
        </is>
      </c>
      <c r="C93" s="91" t="inlineStr">
        <is>
          <t>Pages</t>
        </is>
      </c>
      <c r="D93" s="91" t="inlineStr">
        <is>
          <t>Contact page</t>
        </is>
      </c>
      <c r="E93" s="91" t="inlineStr">
        <is>
          <t>page-contact.php: contact form (stored + emailed), details, map embed (lazy), social links.</t>
        </is>
      </c>
      <c r="F93" s="90" t="inlineStr">
        <is>
          <t>P0</t>
        </is>
      </c>
      <c r="G93" s="92" t="inlineStr">
        <is>
          <t>In Progress</t>
        </is>
      </c>
      <c r="H93" s="93" t="n">
        <v>46320</v>
      </c>
      <c r="I93" s="93" t="n">
        <v>46320</v>
      </c>
      <c r="J93" s="94" t="n">
        <v>0.4</v>
      </c>
      <c r="K93" s="91" t="inlineStr">
        <is>
          <t>P5-17</t>
        </is>
      </c>
      <c r="L93" s="91" t="inlineStr">
        <is>
          <t>Staging (Hostinger)</t>
        </is>
      </c>
      <c r="M93" s="91" t="inlineStr">
        <is>
          <t>page-templates/page-contact.php</t>
        </is>
      </c>
      <c r="N93" s="91" t="inlineStr">
        <is>
          <t>Submit form; check stored entry and email</t>
        </is>
      </c>
      <c r="O93" s="91" t="inlineStr">
        <is>
          <t>Contact form works end-to-end</t>
        </is>
      </c>
      <c r="P93" s="95" t="n"/>
      <c r="Q93" s="95" t="inlineStr">
        <is>
          <t>Contact page template exists. Form storage/email not confirmed.</t>
        </is>
      </c>
      <c r="R93" s="96" t="n"/>
      <c r="S93" s="91" t="inlineStr">
        <is>
          <t>None</t>
        </is>
      </c>
      <c r="T93" s="92" t="inlineStr">
        <is>
          <t>Not Tested</t>
        </is>
      </c>
      <c r="U93" s="97">
        <f>IF(A93="",0,IF(G93="Completed",1,IF(G93="Not Started",0,MIN(0.99,N(J93)))))</f>
        <v/>
      </c>
      <c r="V93" s="97">
        <f>IF(OR(A93="",H93="",I93=""),0,MAX(0,MIN(1,(StatusDate-H93+1)/(I93-H93+1))))</f>
        <v/>
      </c>
      <c r="W93" s="98">
        <f>IF(OR(A93="",I93="",G93="Completed"),"",I93-StatusDate)</f>
        <v/>
      </c>
      <c r="X93" s="99">
        <f>IF(A93="","",IF(AND(G93&lt;&gt;"Completed",I93&lt;&gt;"",I93&lt;StatusDate),"OVERDUE",""))</f>
        <v/>
      </c>
      <c r="Y93" s="99">
        <f>IF(OR(A93="",K93=""),"",IF(SUMPRODUCT(($A$6:$A$400&lt;&gt;"")*ISNUMBER(SEARCH($A$6:$A$400,K93))*($G$6:$G$400&lt;&gt;"Completed"))=0,"✓ Ready","⏳ "&amp;SUMPRODUCT(($A$6:$A$400&lt;&gt;"")*ISNUMBER(SEARCH($A$6:$A$400,K93))*($G$6:$G$400&lt;&gt;"Completed"))&amp;" open"))</f>
        <v/>
      </c>
      <c r="Z93" s="99">
        <f>IF(A93="","",B93&amp;"|"&amp;COUNTIFS($B$6:B93,B93,$A$6:A93,"?*"))</f>
        <v/>
      </c>
      <c r="AA93" s="99">
        <f>IF(OR(A93="",I93="",G93="Completed"),"",IF(I93&gt;=StatusDate,I93+ROW()/100000,""))</f>
        <v/>
      </c>
      <c r="AB93" s="99">
        <f>IF(A93="","",IF(AND(G93&lt;&gt;"Completed",OR(G93="Blocked",AND(TRIM(P93)&lt;&gt;"",P93&lt;&gt;"None"))),ROW(),""))</f>
        <v/>
      </c>
      <c r="AC93" s="99">
        <f>IF(A93="","",IF(G93="Completed","Done",IF(G93="Blocked","Blocked",IF(X93="OVERDUE","Overdue",IF(AND(W93&lt;&gt;"",W93&lt;=2),"Due soon",IF(AND(Y93&lt;&gt;"",LEFT(Y93,1)="⏳",G93&lt;&gt;"Not Started"),"Dependency open",IF(AND(S93&lt;&gt;"None",S93&lt;&gt;"",G93&lt;&gt;"Completed"),"External req.","On track")))))))</f>
        <v/>
      </c>
    </row>
    <row r="94" ht="62" customHeight="1">
      <c r="A94" s="89" t="inlineStr">
        <is>
          <t>P5-20</t>
        </is>
      </c>
      <c r="B94" s="90" t="inlineStr">
        <is>
          <t>Phase 5</t>
        </is>
      </c>
      <c r="C94" s="91" t="inlineStr">
        <is>
          <t>Roles</t>
        </is>
      </c>
      <c r="D94" s="91" t="inlineStr">
        <is>
          <t>Editorial roles &amp; permissions</t>
        </is>
      </c>
      <c r="E94" s="91" t="inlineStr">
        <is>
          <t>Define roles/capabilities: Editor-in-Chief, Editor, Writer/Contributor, Ad Manager, Subscriber tiers; restrict Customizer/Section Manager to editors+.</t>
        </is>
      </c>
      <c r="F94" s="90" t="inlineStr">
        <is>
          <t>P0</t>
        </is>
      </c>
      <c r="G94" s="92" t="inlineStr">
        <is>
          <t>Not Started</t>
        </is>
      </c>
      <c r="H94" s="93" t="n">
        <v>46320</v>
      </c>
      <c r="I94" s="93" t="n">
        <v>46320</v>
      </c>
      <c r="J94" s="94" t="n">
        <v>0</v>
      </c>
      <c r="K94" s="91" t="inlineStr">
        <is>
          <t>P2-02</t>
        </is>
      </c>
      <c r="L94" s="91" t="inlineStr">
        <is>
          <t>Staging (Hostinger)</t>
        </is>
      </c>
      <c r="M94" s="91" t="inlineStr">
        <is>
          <t>inc/roles.php</t>
        </is>
      </c>
      <c r="N94" s="91" t="inlineStr">
        <is>
          <t>Log in as each role; attempt forbidden actions</t>
        </is>
      </c>
      <c r="O94" s="91" t="inlineStr">
        <is>
          <t>Each role can do exactly what it needs and nothing more</t>
        </is>
      </c>
      <c r="P94" s="95" t="n"/>
      <c r="Q94" s="95" t="n"/>
      <c r="R94" s="96" t="n"/>
      <c r="S94" s="91" t="inlineStr">
        <is>
          <t>None</t>
        </is>
      </c>
      <c r="T94" s="92" t="inlineStr">
        <is>
          <t>Not Tested</t>
        </is>
      </c>
      <c r="U94" s="97">
        <f>IF(A94="",0,IF(G94="Completed",1,IF(G94="Not Started",0,MIN(0.99,N(J94)))))</f>
        <v/>
      </c>
      <c r="V94" s="97">
        <f>IF(OR(A94="",H94="",I94=""),0,MAX(0,MIN(1,(StatusDate-H94+1)/(I94-H94+1))))</f>
        <v/>
      </c>
      <c r="W94" s="98">
        <f>IF(OR(A94="",I94="",G94="Completed"),"",I94-StatusDate)</f>
        <v/>
      </c>
      <c r="X94" s="99">
        <f>IF(A94="","",IF(AND(G94&lt;&gt;"Completed",I94&lt;&gt;"",I94&lt;StatusDate),"OVERDUE",""))</f>
        <v/>
      </c>
      <c r="Y94" s="99">
        <f>IF(OR(A94="",K94=""),"",IF(SUMPRODUCT(($A$6:$A$400&lt;&gt;"")*ISNUMBER(SEARCH($A$6:$A$400,K94))*($G$6:$G$400&lt;&gt;"Completed"))=0,"✓ Ready","⏳ "&amp;SUMPRODUCT(($A$6:$A$400&lt;&gt;"")*ISNUMBER(SEARCH($A$6:$A$400,K94))*($G$6:$G$400&lt;&gt;"Completed"))&amp;" open"))</f>
        <v/>
      </c>
      <c r="Z94" s="99">
        <f>IF(A94="","",B94&amp;"|"&amp;COUNTIFS($B$6:B94,B94,$A$6:A94,"?*"))</f>
        <v/>
      </c>
      <c r="AA94" s="99">
        <f>IF(OR(A94="",I94="",G94="Completed"),"",IF(I94&gt;=StatusDate,I94+ROW()/100000,""))</f>
        <v/>
      </c>
      <c r="AB94" s="99">
        <f>IF(A94="","",IF(AND(G94&lt;&gt;"Completed",OR(G94="Blocked",AND(TRIM(P94)&lt;&gt;"",P94&lt;&gt;"None"))),ROW(),""))</f>
        <v/>
      </c>
      <c r="AC94" s="99">
        <f>IF(A94="","",IF(G94="Completed","Done",IF(G94="Blocked","Blocked",IF(X94="OVERDUE","Overdue",IF(AND(W94&lt;&gt;"",W94&lt;=2),"Due soon",IF(AND(Y94&lt;&gt;"",LEFT(Y94,1)="⏳",G94&lt;&gt;"Not Started"),"Dependency open",IF(AND(S94&lt;&gt;"None",S94&lt;&gt;"",G94&lt;&gt;"Completed"),"External req.","On track")))))))</f>
        <v/>
      </c>
    </row>
    <row r="95" ht="62" customHeight="1">
      <c r="A95" s="89" t="inlineStr">
        <is>
          <t>P6-01</t>
        </is>
      </c>
      <c r="B95" s="90" t="inlineStr">
        <is>
          <t>Phase 6</t>
        </is>
      </c>
      <c r="C95" s="91" t="inlineStr">
        <is>
          <t>Backup</t>
        </is>
      </c>
      <c r="D95" s="91" t="inlineStr">
        <is>
          <t>Full production backup (files + DB) before any work</t>
        </is>
      </c>
      <c r="E95" s="91" t="inlineStr">
        <is>
          <t>Full backup of production files (incl. large uploads) and database; store off-server; verify archive integrity and restore-test on staging.</t>
        </is>
      </c>
      <c r="F95" s="90" t="inlineStr">
        <is>
          <t>P0</t>
        </is>
      </c>
      <c r="G95" s="92" t="inlineStr">
        <is>
          <t>Not Started</t>
        </is>
      </c>
      <c r="H95" s="93" t="n">
        <v>46307</v>
      </c>
      <c r="I95" s="93" t="n">
        <v>46307</v>
      </c>
      <c r="J95" s="94" t="n">
        <v>0</v>
      </c>
      <c r="K95" s="91" t="n"/>
      <c r="L95" s="91" t="inlineStr">
        <is>
          <t>Production</t>
        </is>
      </c>
      <c r="M95" s="91" t="inlineStr">
        <is>
          <t>backups/ (off-server)</t>
        </is>
      </c>
      <c r="N95" s="91" t="inlineStr">
        <is>
          <t>Checksum verified; DB dump imports cleanly on staging</t>
        </is>
      </c>
      <c r="O95" s="91" t="inlineStr">
        <is>
          <t>Restorable backup exists before any change</t>
        </is>
      </c>
      <c r="P95" s="95" t="n"/>
      <c r="Q95" s="95" t="n"/>
      <c r="R95" s="96" t="n"/>
      <c r="S95" s="91" t="inlineStr">
        <is>
          <t>Server Access</t>
        </is>
      </c>
      <c r="T95" s="92" t="inlineStr">
        <is>
          <t>Not Tested</t>
        </is>
      </c>
      <c r="U95" s="97">
        <f>IF(A95="",0,IF(G95="Completed",1,IF(G95="Not Started",0,MIN(0.99,N(J95)))))</f>
        <v/>
      </c>
      <c r="V95" s="97">
        <f>IF(OR(A95="",H95="",I95=""),0,MAX(0,MIN(1,(StatusDate-H95+1)/(I95-H95+1))))</f>
        <v/>
      </c>
      <c r="W95" s="98">
        <f>IF(OR(A95="",I95="",G95="Completed"),"",I95-StatusDate)</f>
        <v/>
      </c>
      <c r="X95" s="99">
        <f>IF(A95="","",IF(AND(G95&lt;&gt;"Completed",I95&lt;&gt;"",I95&lt;StatusDate),"OVERDUE",""))</f>
        <v/>
      </c>
      <c r="Y95" s="99">
        <f>IF(OR(A95="",K95=""),"",IF(SUMPRODUCT(($A$6:$A$400&lt;&gt;"")*ISNUMBER(SEARCH($A$6:$A$400,K95))*($G$6:$G$400&lt;&gt;"Completed"))=0,"✓ Ready","⏳ "&amp;SUMPRODUCT(($A$6:$A$400&lt;&gt;"")*ISNUMBER(SEARCH($A$6:$A$400,K95))*($G$6:$G$400&lt;&gt;"Completed"))&amp;" open"))</f>
        <v/>
      </c>
      <c r="Z95" s="99">
        <f>IF(A95="","",B95&amp;"|"&amp;COUNTIFS($B$6:B95,B95,$A$6:A95,"?*"))</f>
        <v/>
      </c>
      <c r="AA95" s="99">
        <f>IF(OR(A95="",I95="",G95="Completed"),"",IF(I95&gt;=StatusDate,I95+ROW()/100000,""))</f>
        <v/>
      </c>
      <c r="AB95" s="99">
        <f>IF(A95="","",IF(AND(G95&lt;&gt;"Completed",OR(G95="Blocked",AND(TRIM(P95)&lt;&gt;"",P95&lt;&gt;"None"))),ROW(),""))</f>
        <v/>
      </c>
      <c r="AC95" s="99">
        <f>IF(A95="","",IF(G95="Completed","Done",IF(G95="Blocked","Blocked",IF(X95="OVERDUE","Overdue",IF(AND(W95&lt;&gt;"",W95&lt;=2),"Due soon",IF(AND(Y95&lt;&gt;"",LEFT(Y95,1)="⏳",G95&lt;&gt;"Not Started"),"Dependency open",IF(AND(S95&lt;&gt;"None",S95&lt;&gt;"",G95&lt;&gt;"Completed"),"External req.","On track")))))))</f>
        <v/>
      </c>
    </row>
    <row r="96" ht="62" customHeight="1">
      <c r="A96" s="89" t="inlineStr">
        <is>
          <t>P6-02</t>
        </is>
      </c>
      <c r="B96" s="90" t="inlineStr">
        <is>
          <t>Phase 6</t>
        </is>
      </c>
      <c r="C96" s="91" t="inlineStr">
        <is>
          <t>Backup</t>
        </is>
      </c>
      <c r="D96" s="91" t="inlineStr">
        <is>
          <t>Verify staging mirrors production</t>
        </is>
      </c>
      <c r="E96" s="91" t="inlineStr">
        <is>
          <t>Confirm staging DB/content is a current copy: post count (2,645 articles), media, users, menus, plugins; record content-freeze or delta-sync approach.</t>
        </is>
      </c>
      <c r="F96" s="90" t="inlineStr">
        <is>
          <t>P0</t>
        </is>
      </c>
      <c r="G96" s="92" t="inlineStr">
        <is>
          <t>Not Started</t>
        </is>
      </c>
      <c r="H96" s="93" t="n">
        <v>46307</v>
      </c>
      <c r="I96" s="93" t="n">
        <v>46307</v>
      </c>
      <c r="J96" s="94" t="n">
        <v>0</v>
      </c>
      <c r="K96" s="91" t="inlineStr">
        <is>
          <t>P6-01</t>
        </is>
      </c>
      <c r="L96" s="91" t="inlineStr">
        <is>
          <t>Staging (Hostinger)</t>
        </is>
      </c>
      <c r="M96" s="91" t="inlineStr">
        <is>
          <t>wp-config.php, database</t>
        </is>
      </c>
      <c r="N96" s="91" t="inlineStr">
        <is>
          <t>Compare post/term/user counts staging vs production</t>
        </is>
      </c>
      <c r="O96" s="91" t="inlineStr">
        <is>
          <t>Staging is a verified mirror; content-delta plan agreed</t>
        </is>
      </c>
      <c r="P96" s="95" t="n"/>
      <c r="Q96" s="95" t="n"/>
      <c r="R96" s="96" t="n"/>
      <c r="S96" s="91" t="inlineStr">
        <is>
          <t>Server Access</t>
        </is>
      </c>
      <c r="T96" s="92" t="inlineStr">
        <is>
          <t>Not Tested</t>
        </is>
      </c>
      <c r="U96" s="97">
        <f>IF(A96="",0,IF(G96="Completed",1,IF(G96="Not Started",0,MIN(0.99,N(J96)))))</f>
        <v/>
      </c>
      <c r="V96" s="97">
        <f>IF(OR(A96="",H96="",I96=""),0,MAX(0,MIN(1,(StatusDate-H96+1)/(I96-H96+1))))</f>
        <v/>
      </c>
      <c r="W96" s="98">
        <f>IF(OR(A96="",I96="",G96="Completed"),"",I96-StatusDate)</f>
        <v/>
      </c>
      <c r="X96" s="99">
        <f>IF(A96="","",IF(AND(G96&lt;&gt;"Completed",I96&lt;&gt;"",I96&lt;StatusDate),"OVERDUE",""))</f>
        <v/>
      </c>
      <c r="Y96" s="99">
        <f>IF(OR(A96="",K96=""),"",IF(SUMPRODUCT(($A$6:$A$400&lt;&gt;"")*ISNUMBER(SEARCH($A$6:$A$400,K96))*($G$6:$G$400&lt;&gt;"Completed"))=0,"✓ Ready","⏳ "&amp;SUMPRODUCT(($A$6:$A$400&lt;&gt;"")*ISNUMBER(SEARCH($A$6:$A$400,K96))*($G$6:$G$400&lt;&gt;"Completed"))&amp;" open"))</f>
        <v/>
      </c>
      <c r="Z96" s="99">
        <f>IF(A96="","",B96&amp;"|"&amp;COUNTIFS($B$6:B96,B96,$A$6:A96,"?*"))</f>
        <v/>
      </c>
      <c r="AA96" s="99">
        <f>IF(OR(A96="",I96="",G96="Completed"),"",IF(I96&gt;=StatusDate,I96+ROW()/100000,""))</f>
        <v/>
      </c>
      <c r="AB96" s="99">
        <f>IF(A96="","",IF(AND(G96&lt;&gt;"Completed",OR(G96="Blocked",AND(TRIM(P96)&lt;&gt;"",P96&lt;&gt;"None"))),ROW(),""))</f>
        <v/>
      </c>
      <c r="AC96" s="99">
        <f>IF(A96="","",IF(G96="Completed","Done",IF(G96="Blocked","Blocked",IF(X96="OVERDUE","Overdue",IF(AND(W96&lt;&gt;"",W96&lt;=2),"Due soon",IF(AND(Y96&lt;&gt;"",LEFT(Y96,1)="⏳",G96&lt;&gt;"Not Started"),"Dependency open",IF(AND(S96&lt;&gt;"None",S96&lt;&gt;"",G96&lt;&gt;"Completed"),"External req.","On track")))))))</f>
        <v/>
      </c>
    </row>
    <row r="97" ht="62" customHeight="1">
      <c r="A97" s="89" t="inlineStr">
        <is>
          <t>P6-03</t>
        </is>
      </c>
      <c r="B97" s="90" t="inlineStr">
        <is>
          <t>Phase 6</t>
        </is>
      </c>
      <c r="C97" s="91" t="inlineStr">
        <is>
          <t>DB Audit</t>
        </is>
      </c>
      <c r="D97" s="91" t="inlineStr">
        <is>
          <t>Database audit</t>
        </is>
      </c>
      <c r="E97" s="91" t="inlineStr">
        <is>
          <t>Table sizes, autoloaded options size, revisions, expired transients, orphaned postmeta/termmeta, JNews options and tables; document findings.</t>
        </is>
      </c>
      <c r="F97" s="90" t="inlineStr">
        <is>
          <t>P0</t>
        </is>
      </c>
      <c r="G97" s="92" t="inlineStr">
        <is>
          <t>Not Started</t>
        </is>
      </c>
      <c r="H97" s="93" t="n">
        <v>46308</v>
      </c>
      <c r="I97" s="93" t="n">
        <v>46308</v>
      </c>
      <c r="J97" s="94" t="n">
        <v>0</v>
      </c>
      <c r="K97" s="91" t="inlineStr">
        <is>
          <t>P6-02</t>
        </is>
      </c>
      <c r="L97" s="91" t="inlineStr">
        <is>
          <t>Staging (Hostinger)</t>
        </is>
      </c>
      <c r="M97" s="91" t="inlineStr">
        <is>
          <t>database (phpMyAdmin)</t>
        </is>
      </c>
      <c r="N97" s="91" t="inlineStr">
        <is>
          <t>Run audit queries; export results</t>
        </is>
      </c>
      <c r="O97" s="91" t="inlineStr">
        <is>
          <t>Audit report saved; risks logged</t>
        </is>
      </c>
      <c r="P97" s="95" t="n"/>
      <c r="Q97" s="95" t="n"/>
      <c r="R97" s="96" t="n"/>
      <c r="S97" s="91" t="inlineStr">
        <is>
          <t>None</t>
        </is>
      </c>
      <c r="T97" s="92" t="inlineStr">
        <is>
          <t>Not Tested</t>
        </is>
      </c>
      <c r="U97" s="97">
        <f>IF(A97="",0,IF(G97="Completed",1,IF(G97="Not Started",0,MIN(0.99,N(J97)))))</f>
        <v/>
      </c>
      <c r="V97" s="97">
        <f>IF(OR(A97="",H97="",I97=""),0,MAX(0,MIN(1,(StatusDate-H97+1)/(I97-H97+1))))</f>
        <v/>
      </c>
      <c r="W97" s="98">
        <f>IF(OR(A97="",I97="",G97="Completed"),"",I97-StatusDate)</f>
        <v/>
      </c>
      <c r="X97" s="99">
        <f>IF(A97="","",IF(AND(G97&lt;&gt;"Completed",I97&lt;&gt;"",I97&lt;StatusDate),"OVERDUE",""))</f>
        <v/>
      </c>
      <c r="Y97" s="99">
        <f>IF(OR(A97="",K97=""),"",IF(SUMPRODUCT(($A$6:$A$400&lt;&gt;"")*ISNUMBER(SEARCH($A$6:$A$400,K97))*($G$6:$G$400&lt;&gt;"Completed"))=0,"✓ Ready","⏳ "&amp;SUMPRODUCT(($A$6:$A$400&lt;&gt;"")*ISNUMBER(SEARCH($A$6:$A$400,K97))*($G$6:$G$400&lt;&gt;"Completed"))&amp;" open"))</f>
        <v/>
      </c>
      <c r="Z97" s="99">
        <f>IF(A97="","",B97&amp;"|"&amp;COUNTIFS($B$6:B97,B97,$A$6:A97,"?*"))</f>
        <v/>
      </c>
      <c r="AA97" s="99">
        <f>IF(OR(A97="",I97="",G97="Completed"),"",IF(I97&gt;=StatusDate,I97+ROW()/100000,""))</f>
        <v/>
      </c>
      <c r="AB97" s="99">
        <f>IF(A97="","",IF(AND(G97&lt;&gt;"Completed",OR(G97="Blocked",AND(TRIM(P97)&lt;&gt;"",P97&lt;&gt;"None"))),ROW(),""))</f>
        <v/>
      </c>
      <c r="AC97" s="99">
        <f>IF(A97="","",IF(G97="Completed","Done",IF(G97="Blocked","Blocked",IF(X97="OVERDUE","Overdue",IF(AND(W97&lt;&gt;"",W97&lt;=2),"Due soon",IF(AND(Y97&lt;&gt;"",LEFT(Y97,1)="⏳",G97&lt;&gt;"Not Started"),"Dependency open",IF(AND(S97&lt;&gt;"None",S97&lt;&gt;"",G97&lt;&gt;"Completed"),"External req.","On track")))))))</f>
        <v/>
      </c>
    </row>
    <row r="98" ht="62" customHeight="1">
      <c r="A98" s="89" t="inlineStr">
        <is>
          <t>P6-04</t>
        </is>
      </c>
      <c r="B98" s="90" t="inlineStr">
        <is>
          <t>Phase 6</t>
        </is>
      </c>
      <c r="C98" s="91" t="inlineStr">
        <is>
          <t>JNews Review</t>
        </is>
      </c>
      <c r="D98" s="91" t="inlineStr">
        <is>
          <t>Legacy JNews dependency review</t>
        </is>
      </c>
      <c r="E98" s="91" t="inlineStr">
        <is>
          <t>Inventory JNews shortcodes in post_content, JNews postmeta in use (views, subtitle, video, gallery), widgets, menus, and plugins depending on JNews; decide keep/convert/drop for each.</t>
        </is>
      </c>
      <c r="F98" s="90" t="inlineStr">
        <is>
          <t>P0</t>
        </is>
      </c>
      <c r="G98" s="92" t="inlineStr">
        <is>
          <t>Not Started</t>
        </is>
      </c>
      <c r="H98" s="93" t="n">
        <v>46308</v>
      </c>
      <c r="I98" s="93" t="n">
        <v>46308</v>
      </c>
      <c r="J98" s="94" t="n">
        <v>0</v>
      </c>
      <c r="K98" s="91" t="inlineStr">
        <is>
          <t>P6-03</t>
        </is>
      </c>
      <c r="L98" s="91" t="inlineStr">
        <is>
          <t>Staging (Hostinger)</t>
        </is>
      </c>
      <c r="M98" s="91" t="inlineStr">
        <is>
          <t>database, wp-content/plugins/jnews-*</t>
        </is>
      </c>
      <c r="N98" s="91" t="inlineStr">
        <is>
          <t>SQL LIKE search for shortcodes; meta key frequency list</t>
        </is>
      </c>
      <c r="O98" s="91" t="inlineStr">
        <is>
          <t>Every JNews dependency has a documented decision</t>
        </is>
      </c>
      <c r="P98" s="95" t="n"/>
      <c r="Q98" s="95" t="n"/>
      <c r="R98" s="96" t="n"/>
      <c r="S98" s="91" t="inlineStr">
        <is>
          <t>None</t>
        </is>
      </c>
      <c r="T98" s="92" t="inlineStr">
        <is>
          <t>Not Tested</t>
        </is>
      </c>
      <c r="U98" s="97">
        <f>IF(A98="",0,IF(G98="Completed",1,IF(G98="Not Started",0,MIN(0.99,N(J98)))))</f>
        <v/>
      </c>
      <c r="V98" s="97">
        <f>IF(OR(A98="",H98="",I98=""),0,MAX(0,MIN(1,(StatusDate-H98+1)/(I98-H98+1))))</f>
        <v/>
      </c>
      <c r="W98" s="98">
        <f>IF(OR(A98="",I98="",G98="Completed"),"",I98-StatusDate)</f>
        <v/>
      </c>
      <c r="X98" s="99">
        <f>IF(A98="","",IF(AND(G98&lt;&gt;"Completed",I98&lt;&gt;"",I98&lt;StatusDate),"OVERDUE",""))</f>
        <v/>
      </c>
      <c r="Y98" s="99">
        <f>IF(OR(A98="",K98=""),"",IF(SUMPRODUCT(($A$6:$A$400&lt;&gt;"")*ISNUMBER(SEARCH($A$6:$A$400,K98))*($G$6:$G$400&lt;&gt;"Completed"))=0,"✓ Ready","⏳ "&amp;SUMPRODUCT(($A$6:$A$400&lt;&gt;"")*ISNUMBER(SEARCH($A$6:$A$400,K98))*($G$6:$G$400&lt;&gt;"Completed"))&amp;" open"))</f>
        <v/>
      </c>
      <c r="Z98" s="99">
        <f>IF(A98="","",B98&amp;"|"&amp;COUNTIFS($B$6:B98,B98,$A$6:A98,"?*"))</f>
        <v/>
      </c>
      <c r="AA98" s="99">
        <f>IF(OR(A98="",I98="",G98="Completed"),"",IF(I98&gt;=StatusDate,I98+ROW()/100000,""))</f>
        <v/>
      </c>
      <c r="AB98" s="99">
        <f>IF(A98="","",IF(AND(G98&lt;&gt;"Completed",OR(G98="Blocked",AND(TRIM(P98)&lt;&gt;"",P98&lt;&gt;"None"))),ROW(),""))</f>
        <v/>
      </c>
      <c r="AC98" s="99">
        <f>IF(A98="","",IF(G98="Completed","Done",IF(G98="Blocked","Blocked",IF(X98="OVERDUE","Overdue",IF(AND(W98&lt;&gt;"",W98&lt;=2),"Due soon",IF(AND(Y98&lt;&gt;"",LEFT(Y98,1)="⏳",G98&lt;&gt;"Not Started"),"Dependency open",IF(AND(S98&lt;&gt;"None",S98&lt;&gt;"",G98&lt;&gt;"Completed"),"External req.","On track")))))))</f>
        <v/>
      </c>
    </row>
    <row r="99" ht="62" customHeight="1">
      <c r="A99" s="89" t="inlineStr">
        <is>
          <t>P6-05</t>
        </is>
      </c>
      <c r="B99" s="90" t="inlineStr">
        <is>
          <t>Phase 6</t>
        </is>
      </c>
      <c r="C99" s="91" t="inlineStr">
        <is>
          <t>URL Inventory</t>
        </is>
      </c>
      <c r="D99" s="91" t="inlineStr">
        <is>
          <t>Export URL inventory (2,645 articles + taxonomies)</t>
        </is>
      </c>
      <c r="E99" s="91" t="inlineStr">
        <is>
          <t>Export all article, category, tag, author, page URLs from production sitemaps/DB into url-inventory.csv.</t>
        </is>
      </c>
      <c r="F99" s="90" t="inlineStr">
        <is>
          <t>P0</t>
        </is>
      </c>
      <c r="G99" s="92" t="inlineStr">
        <is>
          <t>Not Started</t>
        </is>
      </c>
      <c r="H99" s="93" t="n">
        <v>46308</v>
      </c>
      <c r="I99" s="93" t="n">
        <v>46308</v>
      </c>
      <c r="J99" s="94" t="n">
        <v>0</v>
      </c>
      <c r="K99" s="91" t="inlineStr">
        <is>
          <t>P6-01</t>
        </is>
      </c>
      <c r="L99" s="91" t="inlineStr">
        <is>
          <t>Production</t>
        </is>
      </c>
      <c r="M99" s="91" t="inlineStr">
        <is>
          <t>url-inventory.csv</t>
        </is>
      </c>
      <c r="N99" s="91" t="inlineStr">
        <is>
          <t>Row count = 2,645 articles + taxonomy/page rows</t>
        </is>
      </c>
      <c r="O99" s="91" t="inlineStr">
        <is>
          <t>Complete URL inventory saved</t>
        </is>
      </c>
      <c r="P99" s="95" t="n"/>
      <c r="Q99" s="95" t="n"/>
      <c r="R99" s="96" t="n"/>
      <c r="S99" s="91" t="inlineStr">
        <is>
          <t>None</t>
        </is>
      </c>
      <c r="T99" s="92" t="inlineStr">
        <is>
          <t>Not Tested</t>
        </is>
      </c>
      <c r="U99" s="97">
        <f>IF(A99="",0,IF(G99="Completed",1,IF(G99="Not Started",0,MIN(0.99,N(J99)))))</f>
        <v/>
      </c>
      <c r="V99" s="97">
        <f>IF(OR(A99="",H99="",I99=""),0,MAX(0,MIN(1,(StatusDate-H99+1)/(I99-H99+1))))</f>
        <v/>
      </c>
      <c r="W99" s="98">
        <f>IF(OR(A99="",I99="",G99="Completed"),"",I99-StatusDate)</f>
        <v/>
      </c>
      <c r="X99" s="99">
        <f>IF(A99="","",IF(AND(G99&lt;&gt;"Completed",I99&lt;&gt;"",I99&lt;StatusDate),"OVERDUE",""))</f>
        <v/>
      </c>
      <c r="Y99" s="99">
        <f>IF(OR(A99="",K99=""),"",IF(SUMPRODUCT(($A$6:$A$400&lt;&gt;"")*ISNUMBER(SEARCH($A$6:$A$400,K99))*($G$6:$G$400&lt;&gt;"Completed"))=0,"✓ Ready","⏳ "&amp;SUMPRODUCT(($A$6:$A$400&lt;&gt;"")*ISNUMBER(SEARCH($A$6:$A$400,K99))*($G$6:$G$400&lt;&gt;"Completed"))&amp;" open"))</f>
        <v/>
      </c>
      <c r="Z99" s="99">
        <f>IF(A99="","",B99&amp;"|"&amp;COUNTIFS($B$6:B99,B99,$A$6:A99,"?*"))</f>
        <v/>
      </c>
      <c r="AA99" s="99">
        <f>IF(OR(A99="",I99="",G99="Completed"),"",IF(I99&gt;=StatusDate,I99+ROW()/100000,""))</f>
        <v/>
      </c>
      <c r="AB99" s="99">
        <f>IF(A99="","",IF(AND(G99&lt;&gt;"Completed",OR(G99="Blocked",AND(TRIM(P99)&lt;&gt;"",P99&lt;&gt;"None"))),ROW(),""))</f>
        <v/>
      </c>
      <c r="AC99" s="99">
        <f>IF(A99="","",IF(G99="Completed","Done",IF(G99="Blocked","Blocked",IF(X99="OVERDUE","Overdue",IF(AND(W99&lt;&gt;"",W99&lt;=2),"Due soon",IF(AND(Y99&lt;&gt;"",LEFT(Y99,1)="⏳",G99&lt;&gt;"Not Started"),"Dependency open",IF(AND(S99&lt;&gt;"None",S99&lt;&gt;"",G99&lt;&gt;"Completed"),"External req.","On track")))))))</f>
        <v/>
      </c>
    </row>
    <row r="100" ht="62" customHeight="1">
      <c r="A100" s="89" t="inlineStr">
        <is>
          <t>P6-06</t>
        </is>
      </c>
      <c r="B100" s="90" t="inlineStr">
        <is>
          <t>Phase 6</t>
        </is>
      </c>
      <c r="C100" s="91" t="inlineStr">
        <is>
          <t>SEO Baseline</t>
        </is>
      </c>
      <c r="D100" s="91" t="inlineStr">
        <is>
          <t>Capture SEO baseline</t>
        </is>
      </c>
      <c r="E100" s="91" t="inlineStr">
        <is>
          <t>Crawl production: titles, meta descriptions, canonicals, H1, robots, hreflang/OG, schema, sitemap; export Search Console coverage &amp; top pages.</t>
        </is>
      </c>
      <c r="F100" s="90" t="inlineStr">
        <is>
          <t>P0</t>
        </is>
      </c>
      <c r="G100" s="92" t="inlineStr">
        <is>
          <t>Not Started</t>
        </is>
      </c>
      <c r="H100" s="93" t="n">
        <v>46308</v>
      </c>
      <c r="I100" s="93" t="n">
        <v>46308</v>
      </c>
      <c r="J100" s="94" t="n">
        <v>0</v>
      </c>
      <c r="K100" s="91" t="inlineStr">
        <is>
          <t>P6-05</t>
        </is>
      </c>
      <c r="L100" s="91" t="inlineStr">
        <is>
          <t>Production</t>
        </is>
      </c>
      <c r="M100" s="91" t="inlineStr">
        <is>
          <t>seo-baseline.csv</t>
        </is>
      </c>
      <c r="N100" s="91" t="inlineStr">
        <is>
          <t>Baseline crawl complete; GSC export saved</t>
        </is>
      </c>
      <c r="O100" s="91" t="inlineStr">
        <is>
          <t>Baseline available for comparison</t>
        </is>
      </c>
      <c r="P100" s="95" t="n"/>
      <c r="Q100" s="95" t="n"/>
      <c r="R100" s="96" t="n"/>
      <c r="S100" s="91" t="inlineStr">
        <is>
          <t>Credentials</t>
        </is>
      </c>
      <c r="T100" s="92" t="inlineStr">
        <is>
          <t>Not Tested</t>
        </is>
      </c>
      <c r="U100" s="97">
        <f>IF(A100="",0,IF(G100="Completed",1,IF(G100="Not Started",0,MIN(0.99,N(J100)))))</f>
        <v/>
      </c>
      <c r="V100" s="97">
        <f>IF(OR(A100="",H100="",I100=""),0,MAX(0,MIN(1,(StatusDate-H100+1)/(I100-H100+1))))</f>
        <v/>
      </c>
      <c r="W100" s="98">
        <f>IF(OR(A100="",I100="",G100="Completed"),"",I100-StatusDate)</f>
        <v/>
      </c>
      <c r="X100" s="99">
        <f>IF(A100="","",IF(AND(G100&lt;&gt;"Completed",I100&lt;&gt;"",I100&lt;StatusDate),"OVERDUE",""))</f>
        <v/>
      </c>
      <c r="Y100" s="99">
        <f>IF(OR(A100="",K100=""),"",IF(SUMPRODUCT(($A$6:$A$400&lt;&gt;"")*ISNUMBER(SEARCH($A$6:$A$400,K100))*($G$6:$G$400&lt;&gt;"Completed"))=0,"✓ Ready","⏳ "&amp;SUMPRODUCT(($A$6:$A$400&lt;&gt;"")*ISNUMBER(SEARCH($A$6:$A$400,K100))*($G$6:$G$400&lt;&gt;"Completed"))&amp;" open"))</f>
        <v/>
      </c>
      <c r="Z100" s="99">
        <f>IF(A100="","",B100&amp;"|"&amp;COUNTIFS($B$6:B100,B100,$A$6:A100,"?*"))</f>
        <v/>
      </c>
      <c r="AA100" s="99">
        <f>IF(OR(A100="",I100="",G100="Completed"),"",IF(I100&gt;=StatusDate,I100+ROW()/100000,""))</f>
        <v/>
      </c>
      <c r="AB100" s="99">
        <f>IF(A100="","",IF(AND(G100&lt;&gt;"Completed",OR(G100="Blocked",AND(TRIM(P100)&lt;&gt;"",P100&lt;&gt;"None"))),ROW(),""))</f>
        <v/>
      </c>
      <c r="AC100" s="99">
        <f>IF(A100="","",IF(G100="Completed","Done",IF(G100="Blocked","Blocked",IF(X100="OVERDUE","Overdue",IF(AND(W100&lt;&gt;"",W100&lt;=2),"Due soon",IF(AND(Y100&lt;&gt;"",LEFT(Y100,1)="⏳",G100&lt;&gt;"Not Started"),"Dependency open",IF(AND(S100&lt;&gt;"None",S100&lt;&gt;"",G100&lt;&gt;"Completed"),"External req.","On track")))))))</f>
        <v/>
      </c>
    </row>
    <row r="101" ht="62" customHeight="1">
      <c r="A101" s="89" t="inlineStr">
        <is>
          <t>P6-07</t>
        </is>
      </c>
      <c r="B101" s="90" t="inlineStr">
        <is>
          <t>Phase 6</t>
        </is>
      </c>
      <c r="C101" s="91" t="inlineStr">
        <is>
          <t>DB Optimization</t>
        </is>
      </c>
      <c r="D101" s="91" t="inlineStr">
        <is>
          <t>Safe database optimization (staging first)</t>
        </is>
      </c>
      <c r="E101" s="91" t="inlineStr">
        <is>
          <t>Limit revisions, delete expired transients, orphan meta, trim autoload; only after backup; replicate on production only during cutover window.</t>
        </is>
      </c>
      <c r="F101" s="90" t="inlineStr">
        <is>
          <t>P1</t>
        </is>
      </c>
      <c r="G101" s="92" t="inlineStr">
        <is>
          <t>Not Started</t>
        </is>
      </c>
      <c r="H101" s="93" t="n">
        <v>46321</v>
      </c>
      <c r="I101" s="93" t="n">
        <v>46321</v>
      </c>
      <c r="J101" s="94" t="n">
        <v>0</v>
      </c>
      <c r="K101" s="91" t="inlineStr">
        <is>
          <t>P6-03, P6-04</t>
        </is>
      </c>
      <c r="L101" s="91" t="inlineStr">
        <is>
          <t>Staging (Hostinger)</t>
        </is>
      </c>
      <c r="M101" s="91" t="inlineStr">
        <is>
          <t>wp-config.php (WP_POST_REVISIONS), database</t>
        </is>
      </c>
      <c r="N101" s="91" t="inlineStr">
        <is>
          <t>Before/after sizes; site regression check</t>
        </is>
      </c>
      <c r="O101" s="91" t="inlineStr">
        <is>
          <t>DB smaller and faster with no content loss</t>
        </is>
      </c>
      <c r="P101" s="95" t="n"/>
      <c r="Q101" s="95" t="n"/>
      <c r="R101" s="96" t="n"/>
      <c r="S101" s="91" t="inlineStr">
        <is>
          <t>None</t>
        </is>
      </c>
      <c r="T101" s="92" t="inlineStr">
        <is>
          <t>Not Tested</t>
        </is>
      </c>
      <c r="U101" s="97">
        <f>IF(A101="",0,IF(G101="Completed",1,IF(G101="Not Started",0,MIN(0.99,N(J101)))))</f>
        <v/>
      </c>
      <c r="V101" s="97">
        <f>IF(OR(A101="",H101="",I101=""),0,MAX(0,MIN(1,(StatusDate-H101+1)/(I101-H101+1))))</f>
        <v/>
      </c>
      <c r="W101" s="98">
        <f>IF(OR(A101="",I101="",G101="Completed"),"",I101-StatusDate)</f>
        <v/>
      </c>
      <c r="X101" s="99">
        <f>IF(A101="","",IF(AND(G101&lt;&gt;"Completed",I101&lt;&gt;"",I101&lt;StatusDate),"OVERDUE",""))</f>
        <v/>
      </c>
      <c r="Y101" s="99">
        <f>IF(OR(A101="",K101=""),"",IF(SUMPRODUCT(($A$6:$A$400&lt;&gt;"")*ISNUMBER(SEARCH($A$6:$A$400,K101))*($G$6:$G$400&lt;&gt;"Completed"))=0,"✓ Ready","⏳ "&amp;SUMPRODUCT(($A$6:$A$400&lt;&gt;"")*ISNUMBER(SEARCH($A$6:$A$400,K101))*($G$6:$G$400&lt;&gt;"Completed"))&amp;" open"))</f>
        <v/>
      </c>
      <c r="Z101" s="99">
        <f>IF(A101="","",B101&amp;"|"&amp;COUNTIFS($B$6:B101,B101,$A$6:A101,"?*"))</f>
        <v/>
      </c>
      <c r="AA101" s="99">
        <f>IF(OR(A101="",I101="",G101="Completed"),"",IF(I101&gt;=StatusDate,I101+ROW()/100000,""))</f>
        <v/>
      </c>
      <c r="AB101" s="99">
        <f>IF(A101="","",IF(AND(G101&lt;&gt;"Completed",OR(G101="Blocked",AND(TRIM(P101)&lt;&gt;"",P101&lt;&gt;"None"))),ROW(),""))</f>
        <v/>
      </c>
      <c r="AC101" s="99">
        <f>IF(A101="","",IF(G101="Completed","Done",IF(G101="Blocked","Blocked",IF(X101="OVERDUE","Overdue",IF(AND(W101&lt;&gt;"",W101&lt;=2),"Due soon",IF(AND(Y101&lt;&gt;"",LEFT(Y101,1)="⏳",G101&lt;&gt;"Not Started"),"Dependency open",IF(AND(S101&lt;&gt;"None",S101&lt;&gt;"",G101&lt;&gt;"Completed"),"External req.","On track")))))))</f>
        <v/>
      </c>
    </row>
    <row r="102" ht="62" customHeight="1">
      <c r="A102" s="89" t="inlineStr">
        <is>
          <t>P6-08</t>
        </is>
      </c>
      <c r="B102" s="90" t="inlineStr">
        <is>
          <t>Phase 6</t>
        </is>
      </c>
      <c r="C102" s="91" t="inlineStr">
        <is>
          <t>URL Validation</t>
        </is>
      </c>
      <c r="D102" s="91" t="inlineStr">
        <is>
          <t>Validate all 2,645 article URLs on staging</t>
        </is>
      </c>
      <c r="E102" s="91" t="inlineStr">
        <is>
          <t>Crawl/script all inventory URLs against staging (host-swapped): expect 200, same permalink, correct template; list any 404/redirect.</t>
        </is>
      </c>
      <c r="F102" s="90" t="inlineStr">
        <is>
          <t>P0</t>
        </is>
      </c>
      <c r="G102" s="92" t="inlineStr">
        <is>
          <t>Not Started</t>
        </is>
      </c>
      <c r="H102" s="93" t="n">
        <v>46321</v>
      </c>
      <c r="I102" s="93" t="n">
        <v>46321</v>
      </c>
      <c r="J102" s="94" t="n">
        <v>0</v>
      </c>
      <c r="K102" s="91" t="inlineStr">
        <is>
          <t>P6-05, P3-16</t>
        </is>
      </c>
      <c r="L102" s="91" t="inlineStr">
        <is>
          <t>Staging (Hostinger)</t>
        </is>
      </c>
      <c r="M102" s="91" t="inlineStr">
        <is>
          <t>url-inventory.csv</t>
        </is>
      </c>
      <c r="N102" s="91" t="inlineStr">
        <is>
          <t>Automated crawl; 0 unexpected 404s</t>
        </is>
      </c>
      <c r="O102" s="91" t="inlineStr">
        <is>
          <t>2,645/2,645 article URLs return 200 with correct content</t>
        </is>
      </c>
      <c r="P102" s="95" t="n"/>
      <c r="Q102" s="95" t="n"/>
      <c r="R102" s="96" t="n"/>
      <c r="S102" s="91" t="inlineStr">
        <is>
          <t>None</t>
        </is>
      </c>
      <c r="T102" s="92" t="inlineStr">
        <is>
          <t>Not Tested</t>
        </is>
      </c>
      <c r="U102" s="97">
        <f>IF(A102="",0,IF(G102="Completed",1,IF(G102="Not Started",0,MIN(0.99,N(J102)))))</f>
        <v/>
      </c>
      <c r="V102" s="97">
        <f>IF(OR(A102="",H102="",I102=""),0,MAX(0,MIN(1,(StatusDate-H102+1)/(I102-H102+1))))</f>
        <v/>
      </c>
      <c r="W102" s="98">
        <f>IF(OR(A102="",I102="",G102="Completed"),"",I102-StatusDate)</f>
        <v/>
      </c>
      <c r="X102" s="99">
        <f>IF(A102="","",IF(AND(G102&lt;&gt;"Completed",I102&lt;&gt;"",I102&lt;StatusDate),"OVERDUE",""))</f>
        <v/>
      </c>
      <c r="Y102" s="99">
        <f>IF(OR(A102="",K102=""),"",IF(SUMPRODUCT(($A$6:$A$400&lt;&gt;"")*ISNUMBER(SEARCH($A$6:$A$400,K102))*($G$6:$G$400&lt;&gt;"Completed"))=0,"✓ Ready","⏳ "&amp;SUMPRODUCT(($A$6:$A$400&lt;&gt;"")*ISNUMBER(SEARCH($A$6:$A$400,K102))*($G$6:$G$400&lt;&gt;"Completed"))&amp;" open"))</f>
        <v/>
      </c>
      <c r="Z102" s="99">
        <f>IF(A102="","",B102&amp;"|"&amp;COUNTIFS($B$6:B102,B102,$A$6:A102,"?*"))</f>
        <v/>
      </c>
      <c r="AA102" s="99">
        <f>IF(OR(A102="",I102="",G102="Completed"),"",IF(I102&gt;=StatusDate,I102+ROW()/100000,""))</f>
        <v/>
      </c>
      <c r="AB102" s="99">
        <f>IF(A102="","",IF(AND(G102&lt;&gt;"Completed",OR(G102="Blocked",AND(TRIM(P102)&lt;&gt;"",P102&lt;&gt;"None"))),ROW(),""))</f>
        <v/>
      </c>
      <c r="AC102" s="99">
        <f>IF(A102="","",IF(G102="Completed","Done",IF(G102="Blocked","Blocked",IF(X102="OVERDUE","Overdue",IF(AND(W102&lt;&gt;"",W102&lt;=2),"Due soon",IF(AND(Y102&lt;&gt;"",LEFT(Y102,1)="⏳",G102&lt;&gt;"Not Started"),"Dependency open",IF(AND(S102&lt;&gt;"None",S102&lt;&gt;"",G102&lt;&gt;"Completed"),"External req.","On track")))))))</f>
        <v/>
      </c>
    </row>
    <row r="103" ht="62" customHeight="1">
      <c r="A103" s="89" t="inlineStr">
        <is>
          <t>P6-09</t>
        </is>
      </c>
      <c r="B103" s="90" t="inlineStr">
        <is>
          <t>Phase 6</t>
        </is>
      </c>
      <c r="C103" s="91" t="inlineStr">
        <is>
          <t>SEO</t>
        </is>
      </c>
      <c r="D103" s="91" t="inlineStr">
        <is>
          <t>SEO comparison: staging vs baseline</t>
        </is>
      </c>
      <c r="E103" s="91" t="inlineStr">
        <is>
          <t>Diff titles, metas, canonicals, H1, schema, robots between staging and baseline; fix regressions.</t>
        </is>
      </c>
      <c r="F103" s="90" t="inlineStr">
        <is>
          <t>P0</t>
        </is>
      </c>
      <c r="G103" s="92" t="inlineStr">
        <is>
          <t>Not Started</t>
        </is>
      </c>
      <c r="H103" s="93" t="n">
        <v>46321</v>
      </c>
      <c r="I103" s="93" t="n">
        <v>46322</v>
      </c>
      <c r="J103" s="94" t="n">
        <v>0</v>
      </c>
      <c r="K103" s="91" t="inlineStr">
        <is>
          <t>P6-06, P6-08</t>
        </is>
      </c>
      <c r="L103" s="91" t="inlineStr">
        <is>
          <t>Staging (Hostinger)</t>
        </is>
      </c>
      <c r="M103" s="91" t="inlineStr">
        <is>
          <t>seo-baseline.csv</t>
        </is>
      </c>
      <c r="N103" s="91" t="inlineStr">
        <is>
          <t>Diff report reviewed</t>
        </is>
      </c>
      <c r="O103" s="91" t="inlineStr">
        <is>
          <t>No SEO regressions vs baseline</t>
        </is>
      </c>
      <c r="P103" s="95" t="n"/>
      <c r="Q103" s="95" t="n"/>
      <c r="R103" s="96" t="n"/>
      <c r="S103" s="91" t="inlineStr">
        <is>
          <t>None</t>
        </is>
      </c>
      <c r="T103" s="92" t="inlineStr">
        <is>
          <t>Not Tested</t>
        </is>
      </c>
      <c r="U103" s="97">
        <f>IF(A103="",0,IF(G103="Completed",1,IF(G103="Not Started",0,MIN(0.99,N(J103)))))</f>
        <v/>
      </c>
      <c r="V103" s="97">
        <f>IF(OR(A103="",H103="",I103=""),0,MAX(0,MIN(1,(StatusDate-H103+1)/(I103-H103+1))))</f>
        <v/>
      </c>
      <c r="W103" s="98">
        <f>IF(OR(A103="",I103="",G103="Completed"),"",I103-StatusDate)</f>
        <v/>
      </c>
      <c r="X103" s="99">
        <f>IF(A103="","",IF(AND(G103&lt;&gt;"Completed",I103&lt;&gt;"",I103&lt;StatusDate),"OVERDUE",""))</f>
        <v/>
      </c>
      <c r="Y103" s="99">
        <f>IF(OR(A103="",K103=""),"",IF(SUMPRODUCT(($A$6:$A$400&lt;&gt;"")*ISNUMBER(SEARCH($A$6:$A$400,K103))*($G$6:$G$400&lt;&gt;"Completed"))=0,"✓ Ready","⏳ "&amp;SUMPRODUCT(($A$6:$A$400&lt;&gt;"")*ISNUMBER(SEARCH($A$6:$A$400,K103))*($G$6:$G$400&lt;&gt;"Completed"))&amp;" open"))</f>
        <v/>
      </c>
      <c r="Z103" s="99">
        <f>IF(A103="","",B103&amp;"|"&amp;COUNTIFS($B$6:B103,B103,$A$6:A103,"?*"))</f>
        <v/>
      </c>
      <c r="AA103" s="99">
        <f>IF(OR(A103="",I103="",G103="Completed"),"",IF(I103&gt;=StatusDate,I103+ROW()/100000,""))</f>
        <v/>
      </c>
      <c r="AB103" s="99">
        <f>IF(A103="","",IF(AND(G103&lt;&gt;"Completed",OR(G103="Blocked",AND(TRIM(P103)&lt;&gt;"",P103&lt;&gt;"None"))),ROW(),""))</f>
        <v/>
      </c>
      <c r="AC103" s="99">
        <f>IF(A103="","",IF(G103="Completed","Done",IF(G103="Blocked","Blocked",IF(X103="OVERDUE","Overdue",IF(AND(W103&lt;&gt;"",W103&lt;=2),"Due soon",IF(AND(Y103&lt;&gt;"",LEFT(Y103,1)="⏳",G103&lt;&gt;"Not Started"),"Dependency open",IF(AND(S103&lt;&gt;"None",S103&lt;&gt;"",G103&lt;&gt;"Completed"),"External req.","On track")))))))</f>
        <v/>
      </c>
    </row>
    <row r="104" ht="62" customHeight="1">
      <c r="A104" s="89" t="inlineStr">
        <is>
          <t>P6-10</t>
        </is>
      </c>
      <c r="B104" s="90" t="inlineStr">
        <is>
          <t>Phase 6</t>
        </is>
      </c>
      <c r="C104" s="91" t="inlineStr">
        <is>
          <t>SEO</t>
        </is>
      </c>
      <c r="D104" s="91" t="inlineStr">
        <is>
          <t>301 redirect map for changed URLs</t>
        </is>
      </c>
      <c r="E104" s="91" t="inlineStr">
        <is>
          <t>Map any changed URLs (e.g. JNews-specific pages, issue URLs) to new destinations; implement and test.</t>
        </is>
      </c>
      <c r="F104" s="90" t="inlineStr">
        <is>
          <t>P1</t>
        </is>
      </c>
      <c r="G104" s="92" t="inlineStr">
        <is>
          <t>Not Started</t>
        </is>
      </c>
      <c r="H104" s="93" t="n">
        <v>46322</v>
      </c>
      <c r="I104" s="93" t="n">
        <v>46322</v>
      </c>
      <c r="J104" s="94" t="n">
        <v>0</v>
      </c>
      <c r="K104" s="91" t="inlineStr">
        <is>
          <t>P6-08</t>
        </is>
      </c>
      <c r="L104" s="91" t="inlineStr">
        <is>
          <t>Staging (Hostinger)</t>
        </is>
      </c>
      <c r="M104" s="91" t="inlineStr">
        <is>
          <t>inc/redirects.php or Redirection export</t>
        </is>
      </c>
      <c r="N104" s="91" t="inlineStr">
        <is>
          <t>.htaccess / plugin test of each mapping</t>
        </is>
      </c>
      <c r="O104" s="91" t="inlineStr">
        <is>
          <t>All changed URLs 301 to correct targets; no chains</t>
        </is>
      </c>
      <c r="P104" s="95" t="n"/>
      <c r="Q104" s="95" t="n"/>
      <c r="R104" s="96" t="n"/>
      <c r="S104" s="91" t="inlineStr">
        <is>
          <t>None</t>
        </is>
      </c>
      <c r="T104" s="92" t="inlineStr">
        <is>
          <t>Not Tested</t>
        </is>
      </c>
      <c r="U104" s="97">
        <f>IF(A104="",0,IF(G104="Completed",1,IF(G104="Not Started",0,MIN(0.99,N(J104)))))</f>
        <v/>
      </c>
      <c r="V104" s="97">
        <f>IF(OR(A104="",H104="",I104=""),0,MAX(0,MIN(1,(StatusDate-H104+1)/(I104-H104+1))))</f>
        <v/>
      </c>
      <c r="W104" s="98">
        <f>IF(OR(A104="",I104="",G104="Completed"),"",I104-StatusDate)</f>
        <v/>
      </c>
      <c r="X104" s="99">
        <f>IF(A104="","",IF(AND(G104&lt;&gt;"Completed",I104&lt;&gt;"",I104&lt;StatusDate),"OVERDUE",""))</f>
        <v/>
      </c>
      <c r="Y104" s="99">
        <f>IF(OR(A104="",K104=""),"",IF(SUMPRODUCT(($A$6:$A$400&lt;&gt;"")*ISNUMBER(SEARCH($A$6:$A$400,K104))*($G$6:$G$400&lt;&gt;"Completed"))=0,"✓ Ready","⏳ "&amp;SUMPRODUCT(($A$6:$A$400&lt;&gt;"")*ISNUMBER(SEARCH($A$6:$A$400,K104))*($G$6:$G$400&lt;&gt;"Completed"))&amp;" open"))</f>
        <v/>
      </c>
      <c r="Z104" s="99">
        <f>IF(A104="","",B104&amp;"|"&amp;COUNTIFS($B$6:B104,B104,$A$6:A104,"?*"))</f>
        <v/>
      </c>
      <c r="AA104" s="99">
        <f>IF(OR(A104="",I104="",G104="Completed"),"",IF(I104&gt;=StatusDate,I104+ROW()/100000,""))</f>
        <v/>
      </c>
      <c r="AB104" s="99">
        <f>IF(A104="","",IF(AND(G104&lt;&gt;"Completed",OR(G104="Blocked",AND(TRIM(P104)&lt;&gt;"",P104&lt;&gt;"None"))),ROW(),""))</f>
        <v/>
      </c>
      <c r="AC104" s="99">
        <f>IF(A104="","",IF(G104="Completed","Done",IF(G104="Blocked","Blocked",IF(X104="OVERDUE","Overdue",IF(AND(W104&lt;&gt;"",W104&lt;=2),"Due soon",IF(AND(Y104&lt;&gt;"",LEFT(Y104,1)="⏳",G104&lt;&gt;"Not Started"),"Dependency open",IF(AND(S104&lt;&gt;"None",S104&lt;&gt;"",G104&lt;&gt;"Completed"),"External req.","On track")))))))</f>
        <v/>
      </c>
    </row>
    <row r="105" ht="62" customHeight="1">
      <c r="A105" s="89" t="inlineStr">
        <is>
          <t>P6-11</t>
        </is>
      </c>
      <c r="B105" s="90" t="inlineStr">
        <is>
          <t>Phase 6</t>
        </is>
      </c>
      <c r="C105" s="91" t="inlineStr">
        <is>
          <t>Performance</t>
        </is>
      </c>
      <c r="D105" s="91" t="inlineStr">
        <is>
          <t>Performance optimization (Core Web Vitals)</t>
        </is>
      </c>
      <c r="E105" s="91" t="inlineStr">
        <is>
          <t>Critical CSS, font preload, image sizes, query counts, defer non-critical JS; targets LCP &lt; 2.5 s, CLS &lt; 0.1, INP &lt; 200 ms on mobile.</t>
        </is>
      </c>
      <c r="F105" s="90" t="inlineStr">
        <is>
          <t>P0</t>
        </is>
      </c>
      <c r="G105" s="92" t="inlineStr">
        <is>
          <t>Not Started</t>
        </is>
      </c>
      <c r="H105" s="93" t="n">
        <v>46322</v>
      </c>
      <c r="I105" s="93" t="n">
        <v>46323</v>
      </c>
      <c r="J105" s="94" t="n">
        <v>0</v>
      </c>
      <c r="K105" s="91" t="inlineStr">
        <is>
          <t>P2-24, P3-16, P4-12</t>
        </is>
      </c>
      <c r="L105" s="91" t="inlineStr">
        <is>
          <t>Staging (Hostinger)</t>
        </is>
      </c>
      <c r="M105" s="91" t="inlineStr">
        <is>
          <t>inc/enqueue.php, assets/*</t>
        </is>
      </c>
      <c r="N105" s="91" t="inlineStr">
        <is>
          <t>Lighthouse/PageSpeed on homepage, article, category, issue</t>
        </is>
      </c>
      <c r="O105" s="91" t="inlineStr">
        <is>
          <t>Key templates meet Core Web Vitals targets on mobile</t>
        </is>
      </c>
      <c r="P105" s="95" t="n"/>
      <c r="Q105" s="95" t="n"/>
      <c r="R105" s="96" t="n"/>
      <c r="S105" s="91" t="inlineStr">
        <is>
          <t>None</t>
        </is>
      </c>
      <c r="T105" s="92" t="inlineStr">
        <is>
          <t>Not Tested</t>
        </is>
      </c>
      <c r="U105" s="97">
        <f>IF(A105="",0,IF(G105="Completed",1,IF(G105="Not Started",0,MIN(0.99,N(J105)))))</f>
        <v/>
      </c>
      <c r="V105" s="97">
        <f>IF(OR(A105="",H105="",I105=""),0,MAX(0,MIN(1,(StatusDate-H105+1)/(I105-H105+1))))</f>
        <v/>
      </c>
      <c r="W105" s="98">
        <f>IF(OR(A105="",I105="",G105="Completed"),"",I105-StatusDate)</f>
        <v/>
      </c>
      <c r="X105" s="99">
        <f>IF(A105="","",IF(AND(G105&lt;&gt;"Completed",I105&lt;&gt;"",I105&lt;StatusDate),"OVERDUE",""))</f>
        <v/>
      </c>
      <c r="Y105" s="99">
        <f>IF(OR(A105="",K105=""),"",IF(SUMPRODUCT(($A$6:$A$400&lt;&gt;"")*ISNUMBER(SEARCH($A$6:$A$400,K105))*($G$6:$G$400&lt;&gt;"Completed"))=0,"✓ Ready","⏳ "&amp;SUMPRODUCT(($A$6:$A$400&lt;&gt;"")*ISNUMBER(SEARCH($A$6:$A$400,K105))*($G$6:$G$400&lt;&gt;"Completed"))&amp;" open"))</f>
        <v/>
      </c>
      <c r="Z105" s="99">
        <f>IF(A105="","",B105&amp;"|"&amp;COUNTIFS($B$6:B105,B105,$A$6:A105,"?*"))</f>
        <v/>
      </c>
      <c r="AA105" s="99">
        <f>IF(OR(A105="",I105="",G105="Completed"),"",IF(I105&gt;=StatusDate,I105+ROW()/100000,""))</f>
        <v/>
      </c>
      <c r="AB105" s="99">
        <f>IF(A105="","",IF(AND(G105&lt;&gt;"Completed",OR(G105="Blocked",AND(TRIM(P105)&lt;&gt;"",P105&lt;&gt;"None"))),ROW(),""))</f>
        <v/>
      </c>
      <c r="AC105" s="99">
        <f>IF(A105="","",IF(G105="Completed","Done",IF(G105="Blocked","Blocked",IF(X105="OVERDUE","Overdue",IF(AND(W105&lt;&gt;"",W105&lt;=2),"Due soon",IF(AND(Y105&lt;&gt;"",LEFT(Y105,1)="⏳",G105&lt;&gt;"Not Started"),"Dependency open",IF(AND(S105&lt;&gt;"None",S105&lt;&gt;"",G105&lt;&gt;"Completed"),"External req.","On track")))))))</f>
        <v/>
      </c>
    </row>
    <row r="106" ht="62" customHeight="1">
      <c r="A106" s="89" t="inlineStr">
        <is>
          <t>P6-12</t>
        </is>
      </c>
      <c r="B106" s="90" t="inlineStr">
        <is>
          <t>Phase 6</t>
        </is>
      </c>
      <c r="C106" s="91" t="inlineStr">
        <is>
          <t>Caching</t>
        </is>
      </c>
      <c r="D106" s="91" t="inlineStr">
        <is>
          <t>LiteSpeed Cache configuration</t>
        </is>
      </c>
      <c r="E106" s="91" t="inlineStr">
        <is>
          <t>Page cache, object cache (if available), browser cache, CSS/JS minify compatible with theme, image optimization; exclude login/account/checkout/webhook URLs; purge rules for publish.</t>
        </is>
      </c>
      <c r="F106" s="90" t="inlineStr">
        <is>
          <t>P0</t>
        </is>
      </c>
      <c r="G106" s="92" t="inlineStr">
        <is>
          <t>Not Started</t>
        </is>
      </c>
      <c r="H106" s="93" t="n">
        <v>46323</v>
      </c>
      <c r="I106" s="93" t="n">
        <v>46323</v>
      </c>
      <c r="J106" s="94" t="n">
        <v>0</v>
      </c>
      <c r="K106" s="91" t="inlineStr">
        <is>
          <t>P6-11, P2-08</t>
        </is>
      </c>
      <c r="L106" s="91" t="inlineStr">
        <is>
          <t>Staging (Hostinger)</t>
        </is>
      </c>
      <c r="M106" s="91" t="inlineStr">
        <is>
          <t>LiteSpeed Cache settings</t>
        </is>
      </c>
      <c r="N106" s="91" t="inlineStr">
        <is>
          <t>Logged-in vs guest caching; checkout not cached; purge on publish</t>
        </is>
      </c>
      <c r="O106" s="91" t="inlineStr">
        <is>
          <t>Fast cached pages with no cached private content</t>
        </is>
      </c>
      <c r="P106" s="95" t="n"/>
      <c r="Q106" s="95" t="n"/>
      <c r="R106" s="96" t="n"/>
      <c r="S106" s="91" t="inlineStr">
        <is>
          <t>Server Access</t>
        </is>
      </c>
      <c r="T106" s="92" t="inlineStr">
        <is>
          <t>Not Tested</t>
        </is>
      </c>
      <c r="U106" s="97">
        <f>IF(A106="",0,IF(G106="Completed",1,IF(G106="Not Started",0,MIN(0.99,N(J106)))))</f>
        <v/>
      </c>
      <c r="V106" s="97">
        <f>IF(OR(A106="",H106="",I106=""),0,MAX(0,MIN(1,(StatusDate-H106+1)/(I106-H106+1))))</f>
        <v/>
      </c>
      <c r="W106" s="98">
        <f>IF(OR(A106="",I106="",G106="Completed"),"",I106-StatusDate)</f>
        <v/>
      </c>
      <c r="X106" s="99">
        <f>IF(A106="","",IF(AND(G106&lt;&gt;"Completed",I106&lt;&gt;"",I106&lt;StatusDate),"OVERDUE",""))</f>
        <v/>
      </c>
      <c r="Y106" s="99">
        <f>IF(OR(A106="",K106=""),"",IF(SUMPRODUCT(($A$6:$A$400&lt;&gt;"")*ISNUMBER(SEARCH($A$6:$A$400,K106))*($G$6:$G$400&lt;&gt;"Completed"))=0,"✓ Ready","⏳ "&amp;SUMPRODUCT(($A$6:$A$400&lt;&gt;"")*ISNUMBER(SEARCH($A$6:$A$400,K106))*($G$6:$G$400&lt;&gt;"Completed"))&amp;" open"))</f>
        <v/>
      </c>
      <c r="Z106" s="99">
        <f>IF(A106="","",B106&amp;"|"&amp;COUNTIFS($B$6:B106,B106,$A$6:A106,"?*"))</f>
        <v/>
      </c>
      <c r="AA106" s="99">
        <f>IF(OR(A106="",I106="",G106="Completed"),"",IF(I106&gt;=StatusDate,I106+ROW()/100000,""))</f>
        <v/>
      </c>
      <c r="AB106" s="99">
        <f>IF(A106="","",IF(AND(G106&lt;&gt;"Completed",OR(G106="Blocked",AND(TRIM(P106)&lt;&gt;"",P106&lt;&gt;"None"))),ROW(),""))</f>
        <v/>
      </c>
      <c r="AC106" s="99">
        <f>IF(A106="","",IF(G106="Completed","Done",IF(G106="Blocked","Blocked",IF(X106="OVERDUE","Overdue",IF(AND(W106&lt;&gt;"",W106&lt;=2),"Due soon",IF(AND(Y106&lt;&gt;"",LEFT(Y106,1)="⏳",G106&lt;&gt;"Not Started"),"Dependency open",IF(AND(S106&lt;&gt;"None",S106&lt;&gt;"",G106&lt;&gt;"Completed"),"External req.","On track")))))))</f>
        <v/>
      </c>
    </row>
    <row r="107" ht="62" customHeight="1">
      <c r="A107" s="89" t="inlineStr">
        <is>
          <t>P6-13</t>
        </is>
      </c>
      <c r="B107" s="90" t="inlineStr">
        <is>
          <t>Phase 6</t>
        </is>
      </c>
      <c r="C107" s="91" t="inlineStr">
        <is>
          <t>Testing</t>
        </is>
      </c>
      <c r="D107" s="91" t="inlineStr">
        <is>
          <t>Responsive testing</t>
        </is>
      </c>
      <c r="E107" s="91" t="inlineStr">
        <is>
          <t>Run QA responsive matrix on all nine templates at 360–1440 px and real devices.</t>
        </is>
      </c>
      <c r="F107" s="90" t="inlineStr">
        <is>
          <t>P0</t>
        </is>
      </c>
      <c r="G107" s="92" t="inlineStr">
        <is>
          <t>Not Started</t>
        </is>
      </c>
      <c r="H107" s="93" t="n">
        <v>46323</v>
      </c>
      <c r="I107" s="93" t="n">
        <v>46323</v>
      </c>
      <c r="J107" s="94" t="n">
        <v>0</v>
      </c>
      <c r="K107" s="91" t="inlineStr">
        <is>
          <t>P6-11</t>
        </is>
      </c>
      <c r="L107" s="91" t="inlineStr">
        <is>
          <t>Staging (Hostinger)</t>
        </is>
      </c>
      <c r="M107" s="91" t="inlineStr">
        <is>
          <t>—</t>
        </is>
      </c>
      <c r="N107" s="91" t="inlineStr">
        <is>
          <t>QA sheet: Mobile Responsiveness rows</t>
        </is>
      </c>
      <c r="O107" s="91" t="inlineStr">
        <is>
          <t>All templates pass responsive checks</t>
        </is>
      </c>
      <c r="P107" s="95" t="n"/>
      <c r="Q107" s="95" t="n"/>
      <c r="R107" s="96" t="n"/>
      <c r="S107" s="91" t="inlineStr">
        <is>
          <t>None</t>
        </is>
      </c>
      <c r="T107" s="92" t="inlineStr">
        <is>
          <t>Not Tested</t>
        </is>
      </c>
      <c r="U107" s="97">
        <f>IF(A107="",0,IF(G107="Completed",1,IF(G107="Not Started",0,MIN(0.99,N(J107)))))</f>
        <v/>
      </c>
      <c r="V107" s="97">
        <f>IF(OR(A107="",H107="",I107=""),0,MAX(0,MIN(1,(StatusDate-H107+1)/(I107-H107+1))))</f>
        <v/>
      </c>
      <c r="W107" s="98">
        <f>IF(OR(A107="",I107="",G107="Completed"),"",I107-StatusDate)</f>
        <v/>
      </c>
      <c r="X107" s="99">
        <f>IF(A107="","",IF(AND(G107&lt;&gt;"Completed",I107&lt;&gt;"",I107&lt;StatusDate),"OVERDUE",""))</f>
        <v/>
      </c>
      <c r="Y107" s="99">
        <f>IF(OR(A107="",K107=""),"",IF(SUMPRODUCT(($A$6:$A$400&lt;&gt;"")*ISNUMBER(SEARCH($A$6:$A$400,K107))*($G$6:$G$400&lt;&gt;"Completed"))=0,"✓ Ready","⏳ "&amp;SUMPRODUCT(($A$6:$A$400&lt;&gt;"")*ISNUMBER(SEARCH($A$6:$A$400,K107))*($G$6:$G$400&lt;&gt;"Completed"))&amp;" open"))</f>
        <v/>
      </c>
      <c r="Z107" s="99">
        <f>IF(A107="","",B107&amp;"|"&amp;COUNTIFS($B$6:B107,B107,$A$6:A107,"?*"))</f>
        <v/>
      </c>
      <c r="AA107" s="99">
        <f>IF(OR(A107="",I107="",G107="Completed"),"",IF(I107&gt;=StatusDate,I107+ROW()/100000,""))</f>
        <v/>
      </c>
      <c r="AB107" s="99">
        <f>IF(A107="","",IF(AND(G107&lt;&gt;"Completed",OR(G107="Blocked",AND(TRIM(P107)&lt;&gt;"",P107&lt;&gt;"None"))),ROW(),""))</f>
        <v/>
      </c>
      <c r="AC107" s="99">
        <f>IF(A107="","",IF(G107="Completed","Done",IF(G107="Blocked","Blocked",IF(X107="OVERDUE","Overdue",IF(AND(W107&lt;&gt;"",W107&lt;=2),"Due soon",IF(AND(Y107&lt;&gt;"",LEFT(Y107,1)="⏳",G107&lt;&gt;"Not Started"),"Dependency open",IF(AND(S107&lt;&gt;"None",S107&lt;&gt;"",G107&lt;&gt;"Completed"),"External req.","On track")))))))</f>
        <v/>
      </c>
    </row>
    <row r="108" ht="62" customHeight="1">
      <c r="A108" s="89" t="inlineStr">
        <is>
          <t>P6-14</t>
        </is>
      </c>
      <c r="B108" s="90" t="inlineStr">
        <is>
          <t>Phase 6</t>
        </is>
      </c>
      <c r="C108" s="91" t="inlineStr">
        <is>
          <t>Testing</t>
        </is>
      </c>
      <c r="D108" s="91" t="inlineStr">
        <is>
          <t>Cross-browser testing</t>
        </is>
      </c>
      <c r="E108" s="91" t="inlineStr">
        <is>
          <t>Chrome, Safari (macOS/iOS), Firefox, Edge, Samsung Internet.</t>
        </is>
      </c>
      <c r="F108" s="90" t="inlineStr">
        <is>
          <t>P0</t>
        </is>
      </c>
      <c r="G108" s="92" t="inlineStr">
        <is>
          <t>Not Started</t>
        </is>
      </c>
      <c r="H108" s="93" t="n">
        <v>46323</v>
      </c>
      <c r="I108" s="93" t="n">
        <v>46324</v>
      </c>
      <c r="J108" s="94" t="n">
        <v>0</v>
      </c>
      <c r="K108" s="91" t="inlineStr">
        <is>
          <t>P6-13</t>
        </is>
      </c>
      <c r="L108" s="91" t="inlineStr">
        <is>
          <t>Staging (Hostinger)</t>
        </is>
      </c>
      <c r="M108" s="91" t="inlineStr">
        <is>
          <t>—</t>
        </is>
      </c>
      <c r="N108" s="91" t="inlineStr">
        <is>
          <t>QA sheet: Browser Compatibility rows</t>
        </is>
      </c>
      <c r="O108" s="91" t="inlineStr">
        <is>
          <t>No blocking issues in supported browsers</t>
        </is>
      </c>
      <c r="P108" s="95" t="n"/>
      <c r="Q108" s="95" t="n"/>
      <c r="R108" s="96" t="n"/>
      <c r="S108" s="91" t="inlineStr">
        <is>
          <t>None</t>
        </is>
      </c>
      <c r="T108" s="92" t="inlineStr">
        <is>
          <t>Not Tested</t>
        </is>
      </c>
      <c r="U108" s="97">
        <f>IF(A108="",0,IF(G108="Completed",1,IF(G108="Not Started",0,MIN(0.99,N(J108)))))</f>
        <v/>
      </c>
      <c r="V108" s="97">
        <f>IF(OR(A108="",H108="",I108=""),0,MAX(0,MIN(1,(StatusDate-H108+1)/(I108-H108+1))))</f>
        <v/>
      </c>
      <c r="W108" s="98">
        <f>IF(OR(A108="",I108="",G108="Completed"),"",I108-StatusDate)</f>
        <v/>
      </c>
      <c r="X108" s="99">
        <f>IF(A108="","",IF(AND(G108&lt;&gt;"Completed",I108&lt;&gt;"",I108&lt;StatusDate),"OVERDUE",""))</f>
        <v/>
      </c>
      <c r="Y108" s="99">
        <f>IF(OR(A108="",K108=""),"",IF(SUMPRODUCT(($A$6:$A$400&lt;&gt;"")*ISNUMBER(SEARCH($A$6:$A$400,K108))*($G$6:$G$400&lt;&gt;"Completed"))=0,"✓ Ready","⏳ "&amp;SUMPRODUCT(($A$6:$A$400&lt;&gt;"")*ISNUMBER(SEARCH($A$6:$A$400,K108))*($G$6:$G$400&lt;&gt;"Completed"))&amp;" open"))</f>
        <v/>
      </c>
      <c r="Z108" s="99">
        <f>IF(A108="","",B108&amp;"|"&amp;COUNTIFS($B$6:B108,B108,$A$6:A108,"?*"))</f>
        <v/>
      </c>
      <c r="AA108" s="99">
        <f>IF(OR(A108="",I108="",G108="Completed"),"",IF(I108&gt;=StatusDate,I108+ROW()/100000,""))</f>
        <v/>
      </c>
      <c r="AB108" s="99">
        <f>IF(A108="","",IF(AND(G108&lt;&gt;"Completed",OR(G108="Blocked",AND(TRIM(P108)&lt;&gt;"",P108&lt;&gt;"None"))),ROW(),""))</f>
        <v/>
      </c>
      <c r="AC108" s="99">
        <f>IF(A108="","",IF(G108="Completed","Done",IF(G108="Blocked","Blocked",IF(X108="OVERDUE","Overdue",IF(AND(W108&lt;&gt;"",W108&lt;=2),"Due soon",IF(AND(Y108&lt;&gt;"",LEFT(Y108,1)="⏳",G108&lt;&gt;"Not Started"),"Dependency open",IF(AND(S108&lt;&gt;"None",S108&lt;&gt;"",G108&lt;&gt;"Completed"),"External req.","On track")))))))</f>
        <v/>
      </c>
    </row>
    <row r="109" ht="62" customHeight="1">
      <c r="A109" s="89" t="inlineStr">
        <is>
          <t>P6-15</t>
        </is>
      </c>
      <c r="B109" s="90" t="inlineStr">
        <is>
          <t>Phase 6</t>
        </is>
      </c>
      <c r="C109" s="91" t="inlineStr">
        <is>
          <t>Security</t>
        </is>
      </c>
      <c r="D109" s="91" t="inlineStr">
        <is>
          <t>Security verification</t>
        </is>
      </c>
      <c r="E109" s="91" t="inlineStr">
        <is>
          <t>File permissions, disable file editing, XML-RPC policy, user enumeration, security headers, plugin updates, nonce/escaping audit, admin accounts review.</t>
        </is>
      </c>
      <c r="F109" s="90" t="inlineStr">
        <is>
          <t>P0</t>
        </is>
      </c>
      <c r="G109" s="92" t="inlineStr">
        <is>
          <t>Not Started</t>
        </is>
      </c>
      <c r="H109" s="93" t="n">
        <v>46324</v>
      </c>
      <c r="I109" s="93" t="n">
        <v>46324</v>
      </c>
      <c r="J109" s="94" t="n">
        <v>0</v>
      </c>
      <c r="K109" s="91" t="inlineStr">
        <is>
          <t>P5-12</t>
        </is>
      </c>
      <c r="L109" s="91" t="inlineStr">
        <is>
          <t>Staging + Production</t>
        </is>
      </c>
      <c r="M109" s="91" t="inlineStr">
        <is>
          <t>wp-config.php, .htaccess</t>
        </is>
      </c>
      <c r="N109" s="91" t="inlineStr">
        <is>
          <t>QA sheet: Security rows; header scan</t>
        </is>
      </c>
      <c r="O109" s="91" t="inlineStr">
        <is>
          <t>No high-severity findings open</t>
        </is>
      </c>
      <c r="P109" s="95" t="n"/>
      <c r="Q109" s="95" t="n"/>
      <c r="R109" s="96" t="n"/>
      <c r="S109" s="91" t="inlineStr">
        <is>
          <t>Server Access</t>
        </is>
      </c>
      <c r="T109" s="92" t="inlineStr">
        <is>
          <t>Not Tested</t>
        </is>
      </c>
      <c r="U109" s="97">
        <f>IF(A109="",0,IF(G109="Completed",1,IF(G109="Not Started",0,MIN(0.99,N(J109)))))</f>
        <v/>
      </c>
      <c r="V109" s="97">
        <f>IF(OR(A109="",H109="",I109=""),0,MAX(0,MIN(1,(StatusDate-H109+1)/(I109-H109+1))))</f>
        <v/>
      </c>
      <c r="W109" s="98">
        <f>IF(OR(A109="",I109="",G109="Completed"),"",I109-StatusDate)</f>
        <v/>
      </c>
      <c r="X109" s="99">
        <f>IF(A109="","",IF(AND(G109&lt;&gt;"Completed",I109&lt;&gt;"",I109&lt;StatusDate),"OVERDUE",""))</f>
        <v/>
      </c>
      <c r="Y109" s="99">
        <f>IF(OR(A109="",K109=""),"",IF(SUMPRODUCT(($A$6:$A$400&lt;&gt;"")*ISNUMBER(SEARCH($A$6:$A$400,K109))*($G$6:$G$400&lt;&gt;"Completed"))=0,"✓ Ready","⏳ "&amp;SUMPRODUCT(($A$6:$A$400&lt;&gt;"")*ISNUMBER(SEARCH($A$6:$A$400,K109))*($G$6:$G$400&lt;&gt;"Completed"))&amp;" open"))</f>
        <v/>
      </c>
      <c r="Z109" s="99">
        <f>IF(A109="","",B109&amp;"|"&amp;COUNTIFS($B$6:B109,B109,$A$6:A109,"?*"))</f>
        <v/>
      </c>
      <c r="AA109" s="99">
        <f>IF(OR(A109="",I109="",G109="Completed"),"",IF(I109&gt;=StatusDate,I109+ROW()/100000,""))</f>
        <v/>
      </c>
      <c r="AB109" s="99">
        <f>IF(A109="","",IF(AND(G109&lt;&gt;"Completed",OR(G109="Blocked",AND(TRIM(P109)&lt;&gt;"",P109&lt;&gt;"None"))),ROW(),""))</f>
        <v/>
      </c>
      <c r="AC109" s="99">
        <f>IF(A109="","",IF(G109="Completed","Done",IF(G109="Blocked","Blocked",IF(X109="OVERDUE","Overdue",IF(AND(W109&lt;&gt;"",W109&lt;=2),"Due soon",IF(AND(Y109&lt;&gt;"",LEFT(Y109,1)="⏳",G109&lt;&gt;"Not Started"),"Dependency open",IF(AND(S109&lt;&gt;"None",S109&lt;&gt;"",G109&lt;&gt;"Completed"),"External req.","On track")))))))</f>
        <v/>
      </c>
    </row>
    <row r="110" ht="62" customHeight="1">
      <c r="A110" s="89" t="inlineStr">
        <is>
          <t>P6-16</t>
        </is>
      </c>
      <c r="B110" s="90" t="inlineStr">
        <is>
          <t>Phase 6</t>
        </is>
      </c>
      <c r="C110" s="91" t="inlineStr">
        <is>
          <t>Testing</t>
        </is>
      </c>
      <c r="D110" s="91" t="inlineStr">
        <is>
          <t>Full QA regression run</t>
        </is>
      </c>
      <c r="E110" s="91" t="inlineStr">
        <is>
          <t>Execute every row in the QA &amp; Testing sheet; log defects.</t>
        </is>
      </c>
      <c r="F110" s="90" t="inlineStr">
        <is>
          <t>P0</t>
        </is>
      </c>
      <c r="G110" s="92" t="inlineStr">
        <is>
          <t>Not Started</t>
        </is>
      </c>
      <c r="H110" s="93" t="n">
        <v>46324</v>
      </c>
      <c r="I110" s="93" t="n">
        <v>46325</v>
      </c>
      <c r="J110" s="94" t="n">
        <v>0</v>
      </c>
      <c r="K110" s="91" t="inlineStr">
        <is>
          <t>P6-13, P6-14</t>
        </is>
      </c>
      <c r="L110" s="91" t="inlineStr">
        <is>
          <t>Staging (Hostinger)</t>
        </is>
      </c>
      <c r="M110" s="91" t="inlineStr">
        <is>
          <t>—</t>
        </is>
      </c>
      <c r="N110" s="91" t="inlineStr">
        <is>
          <t>QA sheet completion = 100%</t>
        </is>
      </c>
      <c r="O110" s="91" t="inlineStr">
        <is>
          <t>All P0 test cases pass</t>
        </is>
      </c>
      <c r="P110" s="95" t="n"/>
      <c r="Q110" s="95" t="n"/>
      <c r="R110" s="96" t="n"/>
      <c r="S110" s="91" t="inlineStr">
        <is>
          <t>None</t>
        </is>
      </c>
      <c r="T110" s="92" t="inlineStr">
        <is>
          <t>Not Tested</t>
        </is>
      </c>
      <c r="U110" s="97">
        <f>IF(A110="",0,IF(G110="Completed",1,IF(G110="Not Started",0,MIN(0.99,N(J110)))))</f>
        <v/>
      </c>
      <c r="V110" s="97">
        <f>IF(OR(A110="",H110="",I110=""),0,MAX(0,MIN(1,(StatusDate-H110+1)/(I110-H110+1))))</f>
        <v/>
      </c>
      <c r="W110" s="98">
        <f>IF(OR(A110="",I110="",G110="Completed"),"",I110-StatusDate)</f>
        <v/>
      </c>
      <c r="X110" s="99">
        <f>IF(A110="","",IF(AND(G110&lt;&gt;"Completed",I110&lt;&gt;"",I110&lt;StatusDate),"OVERDUE",""))</f>
        <v/>
      </c>
      <c r="Y110" s="99">
        <f>IF(OR(A110="",K110=""),"",IF(SUMPRODUCT(($A$6:$A$400&lt;&gt;"")*ISNUMBER(SEARCH($A$6:$A$400,K110))*($G$6:$G$400&lt;&gt;"Completed"))=0,"✓ Ready","⏳ "&amp;SUMPRODUCT(($A$6:$A$400&lt;&gt;"")*ISNUMBER(SEARCH($A$6:$A$400,K110))*($G$6:$G$400&lt;&gt;"Completed"))&amp;" open"))</f>
        <v/>
      </c>
      <c r="Z110" s="99">
        <f>IF(A110="","",B110&amp;"|"&amp;COUNTIFS($B$6:B110,B110,$A$6:A110,"?*"))</f>
        <v/>
      </c>
      <c r="AA110" s="99">
        <f>IF(OR(A110="",I110="",G110="Completed"),"",IF(I110&gt;=StatusDate,I110+ROW()/100000,""))</f>
        <v/>
      </c>
      <c r="AB110" s="99">
        <f>IF(A110="","",IF(AND(G110&lt;&gt;"Completed",OR(G110="Blocked",AND(TRIM(P110)&lt;&gt;"",P110&lt;&gt;"None"))),ROW(),""))</f>
        <v/>
      </c>
      <c r="AC110" s="99">
        <f>IF(A110="","",IF(G110="Completed","Done",IF(G110="Blocked","Blocked",IF(X110="OVERDUE","Overdue",IF(AND(W110&lt;&gt;"",W110&lt;=2),"Due soon",IF(AND(Y110&lt;&gt;"",LEFT(Y110,1)="⏳",G110&lt;&gt;"Not Started"),"Dependency open",IF(AND(S110&lt;&gt;"None",S110&lt;&gt;"",G110&lt;&gt;"Completed"),"External req.","On track")))))))</f>
        <v/>
      </c>
    </row>
    <row r="111" ht="62" customHeight="1">
      <c r="A111" s="89" t="inlineStr">
        <is>
          <t>P6-17</t>
        </is>
      </c>
      <c r="B111" s="90" t="inlineStr">
        <is>
          <t>Phase 6</t>
        </is>
      </c>
      <c r="C111" s="91" t="inlineStr">
        <is>
          <t>Bug Fixing</t>
        </is>
      </c>
      <c r="D111" s="91" t="inlineStr">
        <is>
          <t>Defect fixing buffer</t>
        </is>
      </c>
      <c r="E111" s="91" t="inlineStr">
        <is>
          <t>Reserved time to fix defects from QA and client UAT.</t>
        </is>
      </c>
      <c r="F111" s="90" t="inlineStr">
        <is>
          <t>P0</t>
        </is>
      </c>
      <c r="G111" s="92" t="inlineStr">
        <is>
          <t>Not Started</t>
        </is>
      </c>
      <c r="H111" s="93" t="n">
        <v>46325</v>
      </c>
      <c r="I111" s="93" t="n">
        <v>46326</v>
      </c>
      <c r="J111" s="94" t="n">
        <v>0</v>
      </c>
      <c r="K111" s="91" t="inlineStr">
        <is>
          <t>P6-16</t>
        </is>
      </c>
      <c r="L111" s="91" t="inlineStr">
        <is>
          <t>Staging (Hostinger)</t>
        </is>
      </c>
      <c r="M111" s="91" t="inlineStr">
        <is>
          <t>—</t>
        </is>
      </c>
      <c r="N111" s="91" t="inlineStr">
        <is>
          <t>Re-test fixed defects</t>
        </is>
      </c>
      <c r="O111" s="91" t="inlineStr">
        <is>
          <t>No open P0/P1 defects</t>
        </is>
      </c>
      <c r="P111" s="95" t="n"/>
      <c r="Q111" s="95" t="n"/>
      <c r="R111" s="96" t="n"/>
      <c r="S111" s="91" t="inlineStr">
        <is>
          <t>None</t>
        </is>
      </c>
      <c r="T111" s="92" t="inlineStr">
        <is>
          <t>Not Tested</t>
        </is>
      </c>
      <c r="U111" s="97">
        <f>IF(A111="",0,IF(G111="Completed",1,IF(G111="Not Started",0,MIN(0.99,N(J111)))))</f>
        <v/>
      </c>
      <c r="V111" s="97">
        <f>IF(OR(A111="",H111="",I111=""),0,MAX(0,MIN(1,(StatusDate-H111+1)/(I111-H111+1))))</f>
        <v/>
      </c>
      <c r="W111" s="98">
        <f>IF(OR(A111="",I111="",G111="Completed"),"",I111-StatusDate)</f>
        <v/>
      </c>
      <c r="X111" s="99">
        <f>IF(A111="","",IF(AND(G111&lt;&gt;"Completed",I111&lt;&gt;"",I111&lt;StatusDate),"OVERDUE",""))</f>
        <v/>
      </c>
      <c r="Y111" s="99">
        <f>IF(OR(A111="",K111=""),"",IF(SUMPRODUCT(($A$6:$A$400&lt;&gt;"")*ISNUMBER(SEARCH($A$6:$A$400,K111))*($G$6:$G$400&lt;&gt;"Completed"))=0,"✓ Ready","⏳ "&amp;SUMPRODUCT(($A$6:$A$400&lt;&gt;"")*ISNUMBER(SEARCH($A$6:$A$400,K111))*($G$6:$G$400&lt;&gt;"Completed"))&amp;" open"))</f>
        <v/>
      </c>
      <c r="Z111" s="99">
        <f>IF(A111="","",B111&amp;"|"&amp;COUNTIFS($B$6:B111,B111,$A$6:A111,"?*"))</f>
        <v/>
      </c>
      <c r="AA111" s="99">
        <f>IF(OR(A111="",I111="",G111="Completed"),"",IF(I111&gt;=StatusDate,I111+ROW()/100000,""))</f>
        <v/>
      </c>
      <c r="AB111" s="99">
        <f>IF(A111="","",IF(AND(G111&lt;&gt;"Completed",OR(G111="Blocked",AND(TRIM(P111)&lt;&gt;"",P111&lt;&gt;"None"))),ROW(),""))</f>
        <v/>
      </c>
      <c r="AC111" s="99">
        <f>IF(A111="","",IF(G111="Completed","Done",IF(G111="Blocked","Blocked",IF(X111="OVERDUE","Overdue",IF(AND(W111&lt;&gt;"",W111&lt;=2),"Due soon",IF(AND(Y111&lt;&gt;"",LEFT(Y111,1)="⏳",G111&lt;&gt;"Not Started"),"Dependency open",IF(AND(S111&lt;&gt;"None",S111&lt;&gt;"",G111&lt;&gt;"Completed"),"External req.","On track")))))))</f>
        <v/>
      </c>
    </row>
    <row r="112" ht="62" customHeight="1">
      <c r="A112" s="89" t="inlineStr">
        <is>
          <t>P6-18</t>
        </is>
      </c>
      <c r="B112" s="90" t="inlineStr">
        <is>
          <t>Phase 6</t>
        </is>
      </c>
      <c r="C112" s="91" t="inlineStr">
        <is>
          <t>Readiness</t>
        </is>
      </c>
      <c r="D112" s="91" t="inlineStr">
        <is>
          <t>Deployment readiness review &amp; client UAT sign-off</t>
        </is>
      </c>
      <c r="E112" s="91" t="inlineStr">
        <is>
          <t>Walk client through staging; obtain written approval; confirm live payment approval, credentials for production domain, content freeze window.</t>
        </is>
      </c>
      <c r="F112" s="90" t="inlineStr">
        <is>
          <t>P0</t>
        </is>
      </c>
      <c r="G112" s="92" t="inlineStr">
        <is>
          <t>Not Started</t>
        </is>
      </c>
      <c r="H112" s="93" t="n">
        <v>46326</v>
      </c>
      <c r="I112" s="93" t="n">
        <v>46326</v>
      </c>
      <c r="J112" s="94" t="n">
        <v>0</v>
      </c>
      <c r="K112" s="91" t="inlineStr">
        <is>
          <t>P6-17</t>
        </is>
      </c>
      <c r="L112" s="91" t="inlineStr">
        <is>
          <t>Staging (Hostinger)</t>
        </is>
      </c>
      <c r="M112" s="91" t="inlineStr">
        <is>
          <t>—</t>
        </is>
      </c>
      <c r="N112" s="91" t="inlineStr">
        <is>
          <t>Deployment sheet stage 1 complete</t>
        </is>
      </c>
      <c r="O112" s="91" t="inlineStr">
        <is>
          <t>Written client approval to deploy</t>
        </is>
      </c>
      <c r="P112" s="95" t="n"/>
      <c r="Q112" s="95" t="n"/>
      <c r="R112" s="96" t="n"/>
      <c r="S112" s="91" t="inlineStr">
        <is>
          <t>None</t>
        </is>
      </c>
      <c r="T112" s="92" t="inlineStr">
        <is>
          <t>Not Tested</t>
        </is>
      </c>
      <c r="U112" s="97">
        <f>IF(A112="",0,IF(G112="Completed",1,IF(G112="Not Started",0,MIN(0.99,N(J112)))))</f>
        <v/>
      </c>
      <c r="V112" s="97">
        <f>IF(OR(A112="",H112="",I112=""),0,MAX(0,MIN(1,(StatusDate-H112+1)/(I112-H112+1))))</f>
        <v/>
      </c>
      <c r="W112" s="98">
        <f>IF(OR(A112="",I112="",G112="Completed"),"",I112-StatusDate)</f>
        <v/>
      </c>
      <c r="X112" s="99">
        <f>IF(A112="","",IF(AND(G112&lt;&gt;"Completed",I112&lt;&gt;"",I112&lt;StatusDate),"OVERDUE",""))</f>
        <v/>
      </c>
      <c r="Y112" s="99">
        <f>IF(OR(A112="",K112=""),"",IF(SUMPRODUCT(($A$6:$A$400&lt;&gt;"")*ISNUMBER(SEARCH($A$6:$A$400,K112))*($G$6:$G$400&lt;&gt;"Completed"))=0,"✓ Ready","⏳ "&amp;SUMPRODUCT(($A$6:$A$400&lt;&gt;"")*ISNUMBER(SEARCH($A$6:$A$400,K112))*($G$6:$G$400&lt;&gt;"Completed"))&amp;" open"))</f>
        <v/>
      </c>
      <c r="Z112" s="99">
        <f>IF(A112="","",B112&amp;"|"&amp;COUNTIFS($B$6:B112,B112,$A$6:A112,"?*"))</f>
        <v/>
      </c>
      <c r="AA112" s="99">
        <f>IF(OR(A112="",I112="",G112="Completed"),"",IF(I112&gt;=StatusDate,I112+ROW()/100000,""))</f>
        <v/>
      </c>
      <c r="AB112" s="99">
        <f>IF(A112="","",IF(AND(G112&lt;&gt;"Completed",OR(G112="Blocked",AND(TRIM(P112)&lt;&gt;"",P112&lt;&gt;"None"))),ROW(),""))</f>
        <v/>
      </c>
      <c r="AC112" s="99">
        <f>IF(A112="","",IF(G112="Completed","Done",IF(G112="Blocked","Blocked",IF(X112="OVERDUE","Overdue",IF(AND(W112&lt;&gt;"",W112&lt;=2),"Due soon",IF(AND(Y112&lt;&gt;"",LEFT(Y112,1)="⏳",G112&lt;&gt;"Not Started"),"Dependency open",IF(AND(S112&lt;&gt;"None",S112&lt;&gt;"",G112&lt;&gt;"Completed"),"External req.","On track")))))))</f>
        <v/>
      </c>
    </row>
    <row r="113" ht="62" customHeight="1">
      <c r="A113" s="89" t="inlineStr">
        <is>
          <t>P6-19</t>
        </is>
      </c>
      <c r="B113" s="90" t="inlineStr">
        <is>
          <t>Phase 6</t>
        </is>
      </c>
      <c r="C113" s="91" t="inlineStr">
        <is>
          <t>Rollback</t>
        </is>
      </c>
      <c r="D113" s="91" t="inlineStr">
        <is>
          <t>Rollback plan documented &amp; rehearsed</t>
        </is>
      </c>
      <c r="E113" s="91" t="inlineStr">
        <is>
          <t>Rehearse restore of backup + theme switch-back on staging; time it; record in Deployment sheet.</t>
        </is>
      </c>
      <c r="F113" s="90" t="inlineStr">
        <is>
          <t>P0</t>
        </is>
      </c>
      <c r="G113" s="92" t="inlineStr">
        <is>
          <t>Not Started</t>
        </is>
      </c>
      <c r="H113" s="93" t="n">
        <v>46326</v>
      </c>
      <c r="I113" s="93" t="n">
        <v>46326</v>
      </c>
      <c r="J113" s="94" t="n">
        <v>0</v>
      </c>
      <c r="K113" s="91" t="inlineStr">
        <is>
          <t>P6-01</t>
        </is>
      </c>
      <c r="L113" s="91" t="inlineStr">
        <is>
          <t>Staging (Hostinger)</t>
        </is>
      </c>
      <c r="M113" s="91" t="inlineStr">
        <is>
          <t>Deployment &amp; Rollback sheet</t>
        </is>
      </c>
      <c r="N113" s="91" t="inlineStr">
        <is>
          <t>Timed rehearsal</t>
        </is>
      </c>
      <c r="O113" s="91" t="inlineStr">
        <is>
          <t>Rollback achievable within agreed window (target &lt; 30 min)</t>
        </is>
      </c>
      <c r="P113" s="95" t="n"/>
      <c r="Q113" s="95" t="n"/>
      <c r="R113" s="96" t="n"/>
      <c r="S113" s="91" t="inlineStr">
        <is>
          <t>Server Access</t>
        </is>
      </c>
      <c r="T113" s="92" t="inlineStr">
        <is>
          <t>Not Tested</t>
        </is>
      </c>
      <c r="U113" s="97">
        <f>IF(A113="",0,IF(G113="Completed",1,IF(G113="Not Started",0,MIN(0.99,N(J113)))))</f>
        <v/>
      </c>
      <c r="V113" s="97">
        <f>IF(OR(A113="",H113="",I113=""),0,MAX(0,MIN(1,(StatusDate-H113+1)/(I113-H113+1))))</f>
        <v/>
      </c>
      <c r="W113" s="98">
        <f>IF(OR(A113="",I113="",G113="Completed"),"",I113-StatusDate)</f>
        <v/>
      </c>
      <c r="X113" s="99">
        <f>IF(A113="","",IF(AND(G113&lt;&gt;"Completed",I113&lt;&gt;"",I113&lt;StatusDate),"OVERDUE",""))</f>
        <v/>
      </c>
      <c r="Y113" s="99">
        <f>IF(OR(A113="",K113=""),"",IF(SUMPRODUCT(($A$6:$A$400&lt;&gt;"")*ISNUMBER(SEARCH($A$6:$A$400,K113))*($G$6:$G$400&lt;&gt;"Completed"))=0,"✓ Ready","⏳ "&amp;SUMPRODUCT(($A$6:$A$400&lt;&gt;"")*ISNUMBER(SEARCH($A$6:$A$400,K113))*($G$6:$G$400&lt;&gt;"Completed"))&amp;" open"))</f>
        <v/>
      </c>
      <c r="Z113" s="99">
        <f>IF(A113="","",B113&amp;"|"&amp;COUNTIFS($B$6:B113,B113,$A$6:A113,"?*"))</f>
        <v/>
      </c>
      <c r="AA113" s="99">
        <f>IF(OR(A113="",I113="",G113="Completed"),"",IF(I113&gt;=StatusDate,I113+ROW()/100000,""))</f>
        <v/>
      </c>
      <c r="AB113" s="99">
        <f>IF(A113="","",IF(AND(G113&lt;&gt;"Completed",OR(G113="Blocked",AND(TRIM(P113)&lt;&gt;"",P113&lt;&gt;"None"))),ROW(),""))</f>
        <v/>
      </c>
      <c r="AC113" s="99">
        <f>IF(A113="","",IF(G113="Completed","Done",IF(G113="Blocked","Blocked",IF(X113="OVERDUE","Overdue",IF(AND(W113&lt;&gt;"",W113&lt;=2),"Due soon",IF(AND(Y113&lt;&gt;"",LEFT(Y113,1)="⏳",G113&lt;&gt;"Not Started"),"Dependency open",IF(AND(S113&lt;&gt;"None",S113&lt;&gt;"",G113&lt;&gt;"Completed"),"External req.","On track")))))))</f>
        <v/>
      </c>
    </row>
    <row r="114" ht="62" customHeight="1">
      <c r="A114" s="89" t="inlineStr">
        <is>
          <t>P6-20</t>
        </is>
      </c>
      <c r="B114" s="90" t="inlineStr">
        <is>
          <t>Phase 6</t>
        </is>
      </c>
      <c r="C114" s="91" t="inlineStr">
        <is>
          <t>Backup</t>
        </is>
      </c>
      <c r="D114" s="91" t="inlineStr">
        <is>
          <t>Fresh pre-cutover production backup</t>
        </is>
      </c>
      <c r="E114" s="91" t="inlineStr">
        <is>
          <t>New full files + DB backup immediately before cutover; verify.</t>
        </is>
      </c>
      <c r="F114" s="90" t="inlineStr">
        <is>
          <t>P0</t>
        </is>
      </c>
      <c r="G114" s="92" t="inlineStr">
        <is>
          <t>Not Started</t>
        </is>
      </c>
      <c r="H114" s="93" t="n">
        <v>46326</v>
      </c>
      <c r="I114" s="93" t="n">
        <v>46326</v>
      </c>
      <c r="J114" s="94" t="n">
        <v>0</v>
      </c>
      <c r="K114" s="91" t="inlineStr">
        <is>
          <t>P6-18</t>
        </is>
      </c>
      <c r="L114" s="91" t="inlineStr">
        <is>
          <t>Production</t>
        </is>
      </c>
      <c r="M114" s="91" t="inlineStr">
        <is>
          <t>backups/ (off-server)</t>
        </is>
      </c>
      <c r="N114" s="91" t="inlineStr">
        <is>
          <t>Checksum + test import</t>
        </is>
      </c>
      <c r="O114" s="91" t="inlineStr">
        <is>
          <t>Verified backup timestamped before cutover</t>
        </is>
      </c>
      <c r="P114" s="95" t="n"/>
      <c r="Q114" s="95" t="n"/>
      <c r="R114" s="96" t="n"/>
      <c r="S114" s="91" t="inlineStr">
        <is>
          <t>Server Access</t>
        </is>
      </c>
      <c r="T114" s="92" t="inlineStr">
        <is>
          <t>Not Tested</t>
        </is>
      </c>
      <c r="U114" s="97">
        <f>IF(A114="",0,IF(G114="Completed",1,IF(G114="Not Started",0,MIN(0.99,N(J114)))))</f>
        <v/>
      </c>
      <c r="V114" s="97">
        <f>IF(OR(A114="",H114="",I114=""),0,MAX(0,MIN(1,(StatusDate-H114+1)/(I114-H114+1))))</f>
        <v/>
      </c>
      <c r="W114" s="98">
        <f>IF(OR(A114="",I114="",G114="Completed"),"",I114-StatusDate)</f>
        <v/>
      </c>
      <c r="X114" s="99">
        <f>IF(A114="","",IF(AND(G114&lt;&gt;"Completed",I114&lt;&gt;"",I114&lt;StatusDate),"OVERDUE",""))</f>
        <v/>
      </c>
      <c r="Y114" s="99">
        <f>IF(OR(A114="",K114=""),"",IF(SUMPRODUCT(($A$6:$A$400&lt;&gt;"")*ISNUMBER(SEARCH($A$6:$A$400,K114))*($G$6:$G$400&lt;&gt;"Completed"))=0,"✓ Ready","⏳ "&amp;SUMPRODUCT(($A$6:$A$400&lt;&gt;"")*ISNUMBER(SEARCH($A$6:$A$400,K114))*($G$6:$G$400&lt;&gt;"Completed"))&amp;" open"))</f>
        <v/>
      </c>
      <c r="Z114" s="99">
        <f>IF(A114="","",B114&amp;"|"&amp;COUNTIFS($B$6:B114,B114,$A$6:A114,"?*"))</f>
        <v/>
      </c>
      <c r="AA114" s="99">
        <f>IF(OR(A114="",I114="",G114="Completed"),"",IF(I114&gt;=StatusDate,I114+ROW()/100000,""))</f>
        <v/>
      </c>
      <c r="AB114" s="99">
        <f>IF(A114="","",IF(AND(G114&lt;&gt;"Completed",OR(G114="Blocked",AND(TRIM(P114)&lt;&gt;"",P114&lt;&gt;"None"))),ROW(),""))</f>
        <v/>
      </c>
      <c r="AC114" s="99">
        <f>IF(A114="","",IF(G114="Completed","Done",IF(G114="Blocked","Blocked",IF(X114="OVERDUE","Overdue",IF(AND(W114&lt;&gt;"",W114&lt;=2),"Due soon",IF(AND(Y114&lt;&gt;"",LEFT(Y114,1)="⏳",G114&lt;&gt;"Not Started"),"Dependency open",IF(AND(S114&lt;&gt;"None",S114&lt;&gt;"",G114&lt;&gt;"Completed"),"External req.","On track")))))))</f>
        <v/>
      </c>
    </row>
    <row r="115" ht="62" customHeight="1">
      <c r="A115" s="89" t="inlineStr">
        <is>
          <t>P6-21</t>
        </is>
      </c>
      <c r="B115" s="90" t="inlineStr">
        <is>
          <t>Phase 6</t>
        </is>
      </c>
      <c r="C115" s="91" t="inlineStr">
        <is>
          <t>Cutover</t>
        </is>
      </c>
      <c r="D115" s="91" t="inlineStr">
        <is>
          <t>Production cutover</t>
        </is>
      </c>
      <c r="E115" s="91" t="inlineStr">
        <is>
          <t>Deploy theme &amp; required plugins, migrate issues/settings/Customizer/roles, run approved DB optimizations, activate theme, switch credentials &amp; webhooks to production, purge caches.</t>
        </is>
      </c>
      <c r="F115" s="90" t="inlineStr">
        <is>
          <t>P0</t>
        </is>
      </c>
      <c r="G115" s="92" t="inlineStr">
        <is>
          <t>Not Started</t>
        </is>
      </c>
      <c r="H115" s="93" t="n">
        <v>46327</v>
      </c>
      <c r="I115" s="93" t="n">
        <v>46327</v>
      </c>
      <c r="J115" s="94" t="n">
        <v>0</v>
      </c>
      <c r="K115" s="91" t="inlineStr">
        <is>
          <t>P6-18, P6-19, P6-20</t>
        </is>
      </c>
      <c r="L115" s="91" t="inlineStr">
        <is>
          <t>Production</t>
        </is>
      </c>
      <c r="M115" s="91" t="inlineStr">
        <is>
          <t>theme package, settings exports</t>
        </is>
      </c>
      <c r="N115" s="91" t="inlineStr">
        <is>
          <t>Follow Deployment sheet stages 5–7</t>
        </is>
      </c>
      <c r="O115" s="91" t="inlineStr">
        <is>
          <t>New site live on production with no data loss</t>
        </is>
      </c>
      <c r="P115" s="95" t="n"/>
      <c r="Q115" s="95" t="n"/>
      <c r="R115" s="96" t="n"/>
      <c r="S115" s="91" t="inlineStr">
        <is>
          <t>Server Access</t>
        </is>
      </c>
      <c r="T115" s="92" t="inlineStr">
        <is>
          <t>Not Tested</t>
        </is>
      </c>
      <c r="U115" s="97">
        <f>IF(A115="",0,IF(G115="Completed",1,IF(G115="Not Started",0,MIN(0.99,N(J115)))))</f>
        <v/>
      </c>
      <c r="V115" s="97">
        <f>IF(OR(A115="",H115="",I115=""),0,MAX(0,MIN(1,(StatusDate-H115+1)/(I115-H115+1))))</f>
        <v/>
      </c>
      <c r="W115" s="98">
        <f>IF(OR(A115="",I115="",G115="Completed"),"",I115-StatusDate)</f>
        <v/>
      </c>
      <c r="X115" s="99">
        <f>IF(A115="","",IF(AND(G115&lt;&gt;"Completed",I115&lt;&gt;"",I115&lt;StatusDate),"OVERDUE",""))</f>
        <v/>
      </c>
      <c r="Y115" s="99">
        <f>IF(OR(A115="",K115=""),"",IF(SUMPRODUCT(($A$6:$A$400&lt;&gt;"")*ISNUMBER(SEARCH($A$6:$A$400,K115))*($G$6:$G$400&lt;&gt;"Completed"))=0,"✓ Ready","⏳ "&amp;SUMPRODUCT(($A$6:$A$400&lt;&gt;"")*ISNUMBER(SEARCH($A$6:$A$400,K115))*($G$6:$G$400&lt;&gt;"Completed"))&amp;" open"))</f>
        <v/>
      </c>
      <c r="Z115" s="99">
        <f>IF(A115="","",B115&amp;"|"&amp;COUNTIFS($B$6:B115,B115,$A$6:A115,"?*"))</f>
        <v/>
      </c>
      <c r="AA115" s="99">
        <f>IF(OR(A115="",I115="",G115="Completed"),"",IF(I115&gt;=StatusDate,I115+ROW()/100000,""))</f>
        <v/>
      </c>
      <c r="AB115" s="99">
        <f>IF(A115="","",IF(AND(G115&lt;&gt;"Completed",OR(G115="Blocked",AND(TRIM(P115)&lt;&gt;"",P115&lt;&gt;"None"))),ROW(),""))</f>
        <v/>
      </c>
      <c r="AC115" s="99">
        <f>IF(A115="","",IF(G115="Completed","Done",IF(G115="Blocked","Blocked",IF(X115="OVERDUE","Overdue",IF(AND(W115&lt;&gt;"",W115&lt;=2),"Due soon",IF(AND(Y115&lt;&gt;"",LEFT(Y115,1)="⏳",G115&lt;&gt;"Not Started"),"Dependency open",IF(AND(S115&lt;&gt;"None",S115&lt;&gt;"",G115&lt;&gt;"Completed"),"External req.","On track")))))))</f>
        <v/>
      </c>
    </row>
    <row r="116" ht="62" customHeight="1">
      <c r="A116" s="89" t="inlineStr">
        <is>
          <t>P6-22</t>
        </is>
      </c>
      <c r="B116" s="90" t="inlineStr">
        <is>
          <t>Phase 6</t>
        </is>
      </c>
      <c r="C116" s="91" t="inlineStr">
        <is>
          <t>Post-launch</t>
        </is>
      </c>
      <c r="D116" s="91" t="inlineStr">
        <is>
          <t>Post-launch verification &amp; monitoring</t>
        </is>
      </c>
      <c r="E116" s="91" t="inlineStr">
        <is>
          <t>Smoke tests, URL sample crawl, Search Console sitemap resubmit, payments live test, error log and uptime monitoring for 48 h.</t>
        </is>
      </c>
      <c r="F116" s="90" t="inlineStr">
        <is>
          <t>P0</t>
        </is>
      </c>
      <c r="G116" s="92" t="inlineStr">
        <is>
          <t>Not Started</t>
        </is>
      </c>
      <c r="H116" s="93" t="n">
        <v>46327</v>
      </c>
      <c r="I116" s="93" t="n">
        <v>46327</v>
      </c>
      <c r="J116" s="94" t="n">
        <v>0</v>
      </c>
      <c r="K116" s="91" t="inlineStr">
        <is>
          <t>P6-21</t>
        </is>
      </c>
      <c r="L116" s="91" t="inlineStr">
        <is>
          <t>Production</t>
        </is>
      </c>
      <c r="M116" s="91" t="inlineStr">
        <is>
          <t>debug.log, Search Console</t>
        </is>
      </c>
      <c r="N116" s="91" t="inlineStr">
        <is>
          <t>Deployment sheet stage 8–9</t>
        </is>
      </c>
      <c r="O116" s="91" t="inlineStr">
        <is>
          <t>No critical issues in first 48 h</t>
        </is>
      </c>
      <c r="P116" s="95" t="n"/>
      <c r="Q116" s="95" t="n"/>
      <c r="R116" s="96" t="n"/>
      <c r="S116" s="91" t="inlineStr">
        <is>
          <t>None</t>
        </is>
      </c>
      <c r="T116" s="92" t="inlineStr">
        <is>
          <t>Not Tested</t>
        </is>
      </c>
      <c r="U116" s="97">
        <f>IF(A116="",0,IF(G116="Completed",1,IF(G116="Not Started",0,MIN(0.99,N(J116)))))</f>
        <v/>
      </c>
      <c r="V116" s="97">
        <f>IF(OR(A116="",H116="",I116=""),0,MAX(0,MIN(1,(StatusDate-H116+1)/(I116-H116+1))))</f>
        <v/>
      </c>
      <c r="W116" s="98">
        <f>IF(OR(A116="",I116="",G116="Completed"),"",I116-StatusDate)</f>
        <v/>
      </c>
      <c r="X116" s="99">
        <f>IF(A116="","",IF(AND(G116&lt;&gt;"Completed",I116&lt;&gt;"",I116&lt;StatusDate),"OVERDUE",""))</f>
        <v/>
      </c>
      <c r="Y116" s="99">
        <f>IF(OR(A116="",K116=""),"",IF(SUMPRODUCT(($A$6:$A$400&lt;&gt;"")*ISNUMBER(SEARCH($A$6:$A$400,K116))*($G$6:$G$400&lt;&gt;"Completed"))=0,"✓ Ready","⏳ "&amp;SUMPRODUCT(($A$6:$A$400&lt;&gt;"")*ISNUMBER(SEARCH($A$6:$A$400,K116))*($G$6:$G$400&lt;&gt;"Completed"))&amp;" open"))</f>
        <v/>
      </c>
      <c r="Z116" s="99">
        <f>IF(A116="","",B116&amp;"|"&amp;COUNTIFS($B$6:B116,B116,$A$6:A116,"?*"))</f>
        <v/>
      </c>
      <c r="AA116" s="99">
        <f>IF(OR(A116="",I116="",G116="Completed"),"",IF(I116&gt;=StatusDate,I116+ROW()/100000,""))</f>
        <v/>
      </c>
      <c r="AB116" s="99">
        <f>IF(A116="","",IF(AND(G116&lt;&gt;"Completed",OR(G116="Blocked",AND(TRIM(P116)&lt;&gt;"",P116&lt;&gt;"None"))),ROW(),""))</f>
        <v/>
      </c>
      <c r="AC116" s="99">
        <f>IF(A116="","",IF(G116="Completed","Done",IF(G116="Blocked","Blocked",IF(X116="OVERDUE","Overdue",IF(AND(W116&lt;&gt;"",W116&lt;=2),"Due soon",IF(AND(Y116&lt;&gt;"",LEFT(Y116,1)="⏳",G116&lt;&gt;"Not Started"),"Dependency open",IF(AND(S116&lt;&gt;"None",S116&lt;&gt;"",G116&lt;&gt;"Completed"),"External req.","On track")))))))</f>
        <v/>
      </c>
    </row>
    <row r="117" ht="18" customHeight="1">
      <c r="A117" s="89" t="n"/>
      <c r="B117" s="90" t="n"/>
      <c r="C117" s="91" t="n"/>
      <c r="D117" s="91" t="n"/>
      <c r="E117" s="91" t="n"/>
      <c r="F117" s="90" t="n"/>
      <c r="G117" s="92" t="n"/>
      <c r="H117" s="93" t="n"/>
      <c r="I117" s="93" t="n"/>
      <c r="J117" s="94" t="n"/>
      <c r="K117" s="91" t="n"/>
      <c r="L117" s="91" t="n"/>
      <c r="M117" s="91" t="n"/>
      <c r="N117" s="91" t="n"/>
      <c r="O117" s="91" t="n"/>
      <c r="P117" s="95" t="n"/>
      <c r="Q117" s="95" t="n"/>
      <c r="R117" s="96" t="n"/>
      <c r="S117" s="91" t="n"/>
      <c r="T117" s="92" t="n"/>
      <c r="U117" s="97">
        <f>IF(A117="",0,IF(G117="Completed",1,IF(G117="Not Started",0,MIN(0.99,N(J117)))))</f>
        <v/>
      </c>
      <c r="V117" s="97">
        <f>IF(OR(A117="",H117="",I117=""),0,MAX(0,MIN(1,(StatusDate-H117+1)/(I117-H117+1))))</f>
        <v/>
      </c>
      <c r="W117" s="98">
        <f>IF(OR(A117="",I117="",G117="Completed"),"",I117-StatusDate)</f>
        <v/>
      </c>
      <c r="X117" s="99">
        <f>IF(A117="","",IF(AND(G117&lt;&gt;"Completed",I117&lt;&gt;"",I117&lt;StatusDate),"OVERDUE",""))</f>
        <v/>
      </c>
      <c r="Y117" s="99">
        <f>IF(OR(A117="",K117=""),"",IF(SUMPRODUCT(($A$6:$A$400&lt;&gt;"")*ISNUMBER(SEARCH($A$6:$A$400,K117))*($G$6:$G$400&lt;&gt;"Completed"))=0,"✓ Ready","⏳ "&amp;SUMPRODUCT(($A$6:$A$400&lt;&gt;"")*ISNUMBER(SEARCH($A$6:$A$400,K117))*($G$6:$G$400&lt;&gt;"Completed"))&amp;" open"))</f>
        <v/>
      </c>
      <c r="Z117" s="99">
        <f>IF(A117="","",B117&amp;"|"&amp;COUNTIFS($B$6:B117,B117,$A$6:A117,"?*"))</f>
        <v/>
      </c>
      <c r="AA117" s="99">
        <f>IF(OR(A117="",I117="",G117="Completed"),"",IF(I117&gt;=StatusDate,I117+ROW()/100000,""))</f>
        <v/>
      </c>
      <c r="AB117" s="99">
        <f>IF(A117="","",IF(AND(G117&lt;&gt;"Completed",OR(G117="Blocked",AND(TRIM(P117)&lt;&gt;"",P117&lt;&gt;"None"))),ROW(),""))</f>
        <v/>
      </c>
      <c r="AC117" s="99">
        <f>IF(A117="","",IF(G117="Completed","Done",IF(G117="Blocked","Blocked",IF(X117="OVERDUE","Overdue",IF(AND(W117&lt;&gt;"",W117&lt;=2),"Due soon",IF(AND(Y117&lt;&gt;"",LEFT(Y117,1)="⏳",G117&lt;&gt;"Not Started"),"Dependency open",IF(AND(S117&lt;&gt;"None",S117&lt;&gt;"",G117&lt;&gt;"Completed"),"External req.","On track")))))))</f>
        <v/>
      </c>
    </row>
    <row r="118" ht="18" customHeight="1">
      <c r="A118" s="89" t="n"/>
      <c r="B118" s="90" t="n"/>
      <c r="C118" s="91" t="n"/>
      <c r="D118" s="91" t="n"/>
      <c r="E118" s="91" t="n"/>
      <c r="F118" s="90" t="n"/>
      <c r="G118" s="92" t="n"/>
      <c r="H118" s="93" t="n"/>
      <c r="I118" s="93" t="n"/>
      <c r="J118" s="94" t="n"/>
      <c r="K118" s="91" t="n"/>
      <c r="L118" s="91" t="n"/>
      <c r="M118" s="91" t="n"/>
      <c r="N118" s="91" t="n"/>
      <c r="O118" s="91" t="n"/>
      <c r="P118" s="95" t="n"/>
      <c r="Q118" s="95" t="n"/>
      <c r="R118" s="96" t="n"/>
      <c r="S118" s="91" t="n"/>
      <c r="T118" s="92" t="n"/>
      <c r="U118" s="97">
        <f>IF(A118="",0,IF(G118="Completed",1,IF(G118="Not Started",0,MIN(0.99,N(J118)))))</f>
        <v/>
      </c>
      <c r="V118" s="97">
        <f>IF(OR(A118="",H118="",I118=""),0,MAX(0,MIN(1,(StatusDate-H118+1)/(I118-H118+1))))</f>
        <v/>
      </c>
      <c r="W118" s="98">
        <f>IF(OR(A118="",I118="",G118="Completed"),"",I118-StatusDate)</f>
        <v/>
      </c>
      <c r="X118" s="99">
        <f>IF(A118="","",IF(AND(G118&lt;&gt;"Completed",I118&lt;&gt;"",I118&lt;StatusDate),"OVERDUE",""))</f>
        <v/>
      </c>
      <c r="Y118" s="99">
        <f>IF(OR(A118="",K118=""),"",IF(SUMPRODUCT(($A$6:$A$400&lt;&gt;"")*ISNUMBER(SEARCH($A$6:$A$400,K118))*($G$6:$G$400&lt;&gt;"Completed"))=0,"✓ Ready","⏳ "&amp;SUMPRODUCT(($A$6:$A$400&lt;&gt;"")*ISNUMBER(SEARCH($A$6:$A$400,K118))*($G$6:$G$400&lt;&gt;"Completed"))&amp;" open"))</f>
        <v/>
      </c>
      <c r="Z118" s="99">
        <f>IF(A118="","",B118&amp;"|"&amp;COUNTIFS($B$6:B118,B118,$A$6:A118,"?*"))</f>
        <v/>
      </c>
      <c r="AA118" s="99">
        <f>IF(OR(A118="",I118="",G118="Completed"),"",IF(I118&gt;=StatusDate,I118+ROW()/100000,""))</f>
        <v/>
      </c>
      <c r="AB118" s="99">
        <f>IF(A118="","",IF(AND(G118&lt;&gt;"Completed",OR(G118="Blocked",AND(TRIM(P118)&lt;&gt;"",P118&lt;&gt;"None"))),ROW(),""))</f>
        <v/>
      </c>
      <c r="AC118" s="99">
        <f>IF(A118="","",IF(G118="Completed","Done",IF(G118="Blocked","Blocked",IF(X118="OVERDUE","Overdue",IF(AND(W118&lt;&gt;"",W118&lt;=2),"Due soon",IF(AND(Y118&lt;&gt;"",LEFT(Y118,1)="⏳",G118&lt;&gt;"Not Started"),"Dependency open",IF(AND(S118&lt;&gt;"None",S118&lt;&gt;"",G118&lt;&gt;"Completed"),"External req.","On track")))))))</f>
        <v/>
      </c>
    </row>
    <row r="119" ht="18" customHeight="1">
      <c r="A119" s="89" t="n"/>
      <c r="B119" s="90" t="n"/>
      <c r="C119" s="91" t="n"/>
      <c r="D119" s="91" t="n"/>
      <c r="E119" s="91" t="n"/>
      <c r="F119" s="90" t="n"/>
      <c r="G119" s="92" t="n"/>
      <c r="H119" s="93" t="n"/>
      <c r="I119" s="93" t="n"/>
      <c r="J119" s="94" t="n"/>
      <c r="K119" s="91" t="n"/>
      <c r="L119" s="91" t="n"/>
      <c r="M119" s="91" t="n"/>
      <c r="N119" s="91" t="n"/>
      <c r="O119" s="91" t="n"/>
      <c r="P119" s="95" t="n"/>
      <c r="Q119" s="95" t="n"/>
      <c r="R119" s="96" t="n"/>
      <c r="S119" s="91" t="n"/>
      <c r="T119" s="92" t="n"/>
      <c r="U119" s="97">
        <f>IF(A119="",0,IF(G119="Completed",1,IF(G119="Not Started",0,MIN(0.99,N(J119)))))</f>
        <v/>
      </c>
      <c r="V119" s="97">
        <f>IF(OR(A119="",H119="",I119=""),0,MAX(0,MIN(1,(StatusDate-H119+1)/(I119-H119+1))))</f>
        <v/>
      </c>
      <c r="W119" s="98">
        <f>IF(OR(A119="",I119="",G119="Completed"),"",I119-StatusDate)</f>
        <v/>
      </c>
      <c r="X119" s="99">
        <f>IF(A119="","",IF(AND(G119&lt;&gt;"Completed",I119&lt;&gt;"",I119&lt;StatusDate),"OVERDUE",""))</f>
        <v/>
      </c>
      <c r="Y119" s="99">
        <f>IF(OR(A119="",K119=""),"",IF(SUMPRODUCT(($A$6:$A$400&lt;&gt;"")*ISNUMBER(SEARCH($A$6:$A$400,K119))*($G$6:$G$400&lt;&gt;"Completed"))=0,"✓ Ready","⏳ "&amp;SUMPRODUCT(($A$6:$A$400&lt;&gt;"")*ISNUMBER(SEARCH($A$6:$A$400,K119))*($G$6:$G$400&lt;&gt;"Completed"))&amp;" open"))</f>
        <v/>
      </c>
      <c r="Z119" s="99">
        <f>IF(A119="","",B119&amp;"|"&amp;COUNTIFS($B$6:B119,B119,$A$6:A119,"?*"))</f>
        <v/>
      </c>
      <c r="AA119" s="99">
        <f>IF(OR(A119="",I119="",G119="Completed"),"",IF(I119&gt;=StatusDate,I119+ROW()/100000,""))</f>
        <v/>
      </c>
      <c r="AB119" s="99">
        <f>IF(A119="","",IF(AND(G119&lt;&gt;"Completed",OR(G119="Blocked",AND(TRIM(P119)&lt;&gt;"",P119&lt;&gt;"None"))),ROW(),""))</f>
        <v/>
      </c>
      <c r="AC119" s="99">
        <f>IF(A119="","",IF(G119="Completed","Done",IF(G119="Blocked","Blocked",IF(X119="OVERDUE","Overdue",IF(AND(W119&lt;&gt;"",W119&lt;=2),"Due soon",IF(AND(Y119&lt;&gt;"",LEFT(Y119,1)="⏳",G119&lt;&gt;"Not Started"),"Dependency open",IF(AND(S119&lt;&gt;"None",S119&lt;&gt;"",G119&lt;&gt;"Completed"),"External req.","On track")))))))</f>
        <v/>
      </c>
    </row>
    <row r="120" ht="18" customHeight="1">
      <c r="A120" s="89" t="n"/>
      <c r="B120" s="90" t="n"/>
      <c r="C120" s="91" t="n"/>
      <c r="D120" s="91" t="n"/>
      <c r="E120" s="91" t="n"/>
      <c r="F120" s="90" t="n"/>
      <c r="G120" s="92" t="n"/>
      <c r="H120" s="93" t="n"/>
      <c r="I120" s="93" t="n"/>
      <c r="J120" s="94" t="n"/>
      <c r="K120" s="91" t="n"/>
      <c r="L120" s="91" t="n"/>
      <c r="M120" s="91" t="n"/>
      <c r="N120" s="91" t="n"/>
      <c r="O120" s="91" t="n"/>
      <c r="P120" s="95" t="n"/>
      <c r="Q120" s="95" t="n"/>
      <c r="R120" s="96" t="n"/>
      <c r="S120" s="91" t="n"/>
      <c r="T120" s="92" t="n"/>
      <c r="U120" s="97">
        <f>IF(A120="",0,IF(G120="Completed",1,IF(G120="Not Started",0,MIN(0.99,N(J120)))))</f>
        <v/>
      </c>
      <c r="V120" s="97">
        <f>IF(OR(A120="",H120="",I120=""),0,MAX(0,MIN(1,(StatusDate-H120+1)/(I120-H120+1))))</f>
        <v/>
      </c>
      <c r="W120" s="98">
        <f>IF(OR(A120="",I120="",G120="Completed"),"",I120-StatusDate)</f>
        <v/>
      </c>
      <c r="X120" s="99">
        <f>IF(A120="","",IF(AND(G120&lt;&gt;"Completed",I120&lt;&gt;"",I120&lt;StatusDate),"OVERDUE",""))</f>
        <v/>
      </c>
      <c r="Y120" s="99">
        <f>IF(OR(A120="",K120=""),"",IF(SUMPRODUCT(($A$6:$A$400&lt;&gt;"")*ISNUMBER(SEARCH($A$6:$A$400,K120))*($G$6:$G$400&lt;&gt;"Completed"))=0,"✓ Ready","⏳ "&amp;SUMPRODUCT(($A$6:$A$400&lt;&gt;"")*ISNUMBER(SEARCH($A$6:$A$400,K120))*($G$6:$G$400&lt;&gt;"Completed"))&amp;" open"))</f>
        <v/>
      </c>
      <c r="Z120" s="99">
        <f>IF(A120="","",B120&amp;"|"&amp;COUNTIFS($B$6:B120,B120,$A$6:A120,"?*"))</f>
        <v/>
      </c>
      <c r="AA120" s="99">
        <f>IF(OR(A120="",I120="",G120="Completed"),"",IF(I120&gt;=StatusDate,I120+ROW()/100000,""))</f>
        <v/>
      </c>
      <c r="AB120" s="99">
        <f>IF(A120="","",IF(AND(G120&lt;&gt;"Completed",OR(G120="Blocked",AND(TRIM(P120)&lt;&gt;"",P120&lt;&gt;"None"))),ROW(),""))</f>
        <v/>
      </c>
      <c r="AC120" s="99">
        <f>IF(A120="","",IF(G120="Completed","Done",IF(G120="Blocked","Blocked",IF(X120="OVERDUE","Overdue",IF(AND(W120&lt;&gt;"",W120&lt;=2),"Due soon",IF(AND(Y120&lt;&gt;"",LEFT(Y120,1)="⏳",G120&lt;&gt;"Not Started"),"Dependency open",IF(AND(S120&lt;&gt;"None",S120&lt;&gt;"",G120&lt;&gt;"Completed"),"External req.","On track")))))))</f>
        <v/>
      </c>
    </row>
    <row r="121" ht="18" customHeight="1">
      <c r="A121" s="89" t="n"/>
      <c r="B121" s="90" t="n"/>
      <c r="C121" s="91" t="n"/>
      <c r="D121" s="91" t="n"/>
      <c r="E121" s="91" t="n"/>
      <c r="F121" s="90" t="n"/>
      <c r="G121" s="92" t="n"/>
      <c r="H121" s="93" t="n"/>
      <c r="I121" s="93" t="n"/>
      <c r="J121" s="94" t="n"/>
      <c r="K121" s="91" t="n"/>
      <c r="L121" s="91" t="n"/>
      <c r="M121" s="91" t="n"/>
      <c r="N121" s="91" t="n"/>
      <c r="O121" s="91" t="n"/>
      <c r="P121" s="95" t="n"/>
      <c r="Q121" s="95" t="n"/>
      <c r="R121" s="96" t="n"/>
      <c r="S121" s="91" t="n"/>
      <c r="T121" s="92" t="n"/>
      <c r="U121" s="97">
        <f>IF(A121="",0,IF(G121="Completed",1,IF(G121="Not Started",0,MIN(0.99,N(J121)))))</f>
        <v/>
      </c>
      <c r="V121" s="97">
        <f>IF(OR(A121="",H121="",I121=""),0,MAX(0,MIN(1,(StatusDate-H121+1)/(I121-H121+1))))</f>
        <v/>
      </c>
      <c r="W121" s="98">
        <f>IF(OR(A121="",I121="",G121="Completed"),"",I121-StatusDate)</f>
        <v/>
      </c>
      <c r="X121" s="99">
        <f>IF(A121="","",IF(AND(G121&lt;&gt;"Completed",I121&lt;&gt;"",I121&lt;StatusDate),"OVERDUE",""))</f>
        <v/>
      </c>
      <c r="Y121" s="99">
        <f>IF(OR(A121="",K121=""),"",IF(SUMPRODUCT(($A$6:$A$400&lt;&gt;"")*ISNUMBER(SEARCH($A$6:$A$400,K121))*($G$6:$G$400&lt;&gt;"Completed"))=0,"✓ Ready","⏳ "&amp;SUMPRODUCT(($A$6:$A$400&lt;&gt;"")*ISNUMBER(SEARCH($A$6:$A$400,K121))*($G$6:$G$400&lt;&gt;"Completed"))&amp;" open"))</f>
        <v/>
      </c>
      <c r="Z121" s="99">
        <f>IF(A121="","",B121&amp;"|"&amp;COUNTIFS($B$6:B121,B121,$A$6:A121,"?*"))</f>
        <v/>
      </c>
      <c r="AA121" s="99">
        <f>IF(OR(A121="",I121="",G121="Completed"),"",IF(I121&gt;=StatusDate,I121+ROW()/100000,""))</f>
        <v/>
      </c>
      <c r="AB121" s="99">
        <f>IF(A121="","",IF(AND(G121&lt;&gt;"Completed",OR(G121="Blocked",AND(TRIM(P121)&lt;&gt;"",P121&lt;&gt;"None"))),ROW(),""))</f>
        <v/>
      </c>
      <c r="AC121" s="99">
        <f>IF(A121="","",IF(G121="Completed","Done",IF(G121="Blocked","Blocked",IF(X121="OVERDUE","Overdue",IF(AND(W121&lt;&gt;"",W121&lt;=2),"Due soon",IF(AND(Y121&lt;&gt;"",LEFT(Y121,1)="⏳",G121&lt;&gt;"Not Started"),"Dependency open",IF(AND(S121&lt;&gt;"None",S121&lt;&gt;"",G121&lt;&gt;"Completed"),"External req.","On track")))))))</f>
        <v/>
      </c>
    </row>
    <row r="122" ht="18" customHeight="1">
      <c r="A122" s="89" t="n"/>
      <c r="B122" s="90" t="n"/>
      <c r="C122" s="91" t="n"/>
      <c r="D122" s="91" t="n"/>
      <c r="E122" s="91" t="n"/>
      <c r="F122" s="90" t="n"/>
      <c r="G122" s="92" t="n"/>
      <c r="H122" s="93" t="n"/>
      <c r="I122" s="93" t="n"/>
      <c r="J122" s="94" t="n"/>
      <c r="K122" s="91" t="n"/>
      <c r="L122" s="91" t="n"/>
      <c r="M122" s="91" t="n"/>
      <c r="N122" s="91" t="n"/>
      <c r="O122" s="91" t="n"/>
      <c r="P122" s="95" t="n"/>
      <c r="Q122" s="95" t="n"/>
      <c r="R122" s="96" t="n"/>
      <c r="S122" s="91" t="n"/>
      <c r="T122" s="92" t="n"/>
      <c r="U122" s="97">
        <f>IF(A122="",0,IF(G122="Completed",1,IF(G122="Not Started",0,MIN(0.99,N(J122)))))</f>
        <v/>
      </c>
      <c r="V122" s="97">
        <f>IF(OR(A122="",H122="",I122=""),0,MAX(0,MIN(1,(StatusDate-H122+1)/(I122-H122+1))))</f>
        <v/>
      </c>
      <c r="W122" s="98">
        <f>IF(OR(A122="",I122="",G122="Completed"),"",I122-StatusDate)</f>
        <v/>
      </c>
      <c r="X122" s="99">
        <f>IF(A122="","",IF(AND(G122&lt;&gt;"Completed",I122&lt;&gt;"",I122&lt;StatusDate),"OVERDUE",""))</f>
        <v/>
      </c>
      <c r="Y122" s="99">
        <f>IF(OR(A122="",K122=""),"",IF(SUMPRODUCT(($A$6:$A$400&lt;&gt;"")*ISNUMBER(SEARCH($A$6:$A$400,K122))*($G$6:$G$400&lt;&gt;"Completed"))=0,"✓ Ready","⏳ "&amp;SUMPRODUCT(($A$6:$A$400&lt;&gt;"")*ISNUMBER(SEARCH($A$6:$A$400,K122))*($G$6:$G$400&lt;&gt;"Completed"))&amp;" open"))</f>
        <v/>
      </c>
      <c r="Z122" s="99">
        <f>IF(A122="","",B122&amp;"|"&amp;COUNTIFS($B$6:B122,B122,$A$6:A122,"?*"))</f>
        <v/>
      </c>
      <c r="AA122" s="99">
        <f>IF(OR(A122="",I122="",G122="Completed"),"",IF(I122&gt;=StatusDate,I122+ROW()/100000,""))</f>
        <v/>
      </c>
      <c r="AB122" s="99">
        <f>IF(A122="","",IF(AND(G122&lt;&gt;"Completed",OR(G122="Blocked",AND(TRIM(P122)&lt;&gt;"",P122&lt;&gt;"None"))),ROW(),""))</f>
        <v/>
      </c>
      <c r="AC122" s="99">
        <f>IF(A122="","",IF(G122="Completed","Done",IF(G122="Blocked","Blocked",IF(X122="OVERDUE","Overdue",IF(AND(W122&lt;&gt;"",W122&lt;=2),"Due soon",IF(AND(Y122&lt;&gt;"",LEFT(Y122,1)="⏳",G122&lt;&gt;"Not Started"),"Dependency open",IF(AND(S122&lt;&gt;"None",S122&lt;&gt;"",G122&lt;&gt;"Completed"),"External req.","On track")))))))</f>
        <v/>
      </c>
    </row>
    <row r="123" ht="18" customHeight="1">
      <c r="A123" s="89" t="n"/>
      <c r="B123" s="90" t="n"/>
      <c r="C123" s="91" t="n"/>
      <c r="D123" s="91" t="n"/>
      <c r="E123" s="91" t="n"/>
      <c r="F123" s="90" t="n"/>
      <c r="G123" s="92" t="n"/>
      <c r="H123" s="93" t="n"/>
      <c r="I123" s="93" t="n"/>
      <c r="J123" s="94" t="n"/>
      <c r="K123" s="91" t="n"/>
      <c r="L123" s="91" t="n"/>
      <c r="M123" s="91" t="n"/>
      <c r="N123" s="91" t="n"/>
      <c r="O123" s="91" t="n"/>
      <c r="P123" s="95" t="n"/>
      <c r="Q123" s="95" t="n"/>
      <c r="R123" s="96" t="n"/>
      <c r="S123" s="91" t="n"/>
      <c r="T123" s="92" t="n"/>
      <c r="U123" s="97">
        <f>IF(A123="",0,IF(G123="Completed",1,IF(G123="Not Started",0,MIN(0.99,N(J123)))))</f>
        <v/>
      </c>
      <c r="V123" s="97">
        <f>IF(OR(A123="",H123="",I123=""),0,MAX(0,MIN(1,(StatusDate-H123+1)/(I123-H123+1))))</f>
        <v/>
      </c>
      <c r="W123" s="98">
        <f>IF(OR(A123="",I123="",G123="Completed"),"",I123-StatusDate)</f>
        <v/>
      </c>
      <c r="X123" s="99">
        <f>IF(A123="","",IF(AND(G123&lt;&gt;"Completed",I123&lt;&gt;"",I123&lt;StatusDate),"OVERDUE",""))</f>
        <v/>
      </c>
      <c r="Y123" s="99">
        <f>IF(OR(A123="",K123=""),"",IF(SUMPRODUCT(($A$6:$A$400&lt;&gt;"")*ISNUMBER(SEARCH($A$6:$A$400,K123))*($G$6:$G$400&lt;&gt;"Completed"))=0,"✓ Ready","⏳ "&amp;SUMPRODUCT(($A$6:$A$400&lt;&gt;"")*ISNUMBER(SEARCH($A$6:$A$400,K123))*($G$6:$G$400&lt;&gt;"Completed"))&amp;" open"))</f>
        <v/>
      </c>
      <c r="Z123" s="99">
        <f>IF(A123="","",B123&amp;"|"&amp;COUNTIFS($B$6:B123,B123,$A$6:A123,"?*"))</f>
        <v/>
      </c>
      <c r="AA123" s="99">
        <f>IF(OR(A123="",I123="",G123="Completed"),"",IF(I123&gt;=StatusDate,I123+ROW()/100000,""))</f>
        <v/>
      </c>
      <c r="AB123" s="99">
        <f>IF(A123="","",IF(AND(G123&lt;&gt;"Completed",OR(G123="Blocked",AND(TRIM(P123)&lt;&gt;"",P123&lt;&gt;"None"))),ROW(),""))</f>
        <v/>
      </c>
      <c r="AC123" s="99">
        <f>IF(A123="","",IF(G123="Completed","Done",IF(G123="Blocked","Blocked",IF(X123="OVERDUE","Overdue",IF(AND(W123&lt;&gt;"",W123&lt;=2),"Due soon",IF(AND(Y123&lt;&gt;"",LEFT(Y123,1)="⏳",G123&lt;&gt;"Not Started"),"Dependency open",IF(AND(S123&lt;&gt;"None",S123&lt;&gt;"",G123&lt;&gt;"Completed"),"External req.","On track")))))))</f>
        <v/>
      </c>
    </row>
    <row r="124" ht="18" customHeight="1">
      <c r="A124" s="89" t="n"/>
      <c r="B124" s="90" t="n"/>
      <c r="C124" s="91" t="n"/>
      <c r="D124" s="91" t="n"/>
      <c r="E124" s="91" t="n"/>
      <c r="F124" s="90" t="n"/>
      <c r="G124" s="92" t="n"/>
      <c r="H124" s="93" t="n"/>
      <c r="I124" s="93" t="n"/>
      <c r="J124" s="94" t="n"/>
      <c r="K124" s="91" t="n"/>
      <c r="L124" s="91" t="n"/>
      <c r="M124" s="91" t="n"/>
      <c r="N124" s="91" t="n"/>
      <c r="O124" s="91" t="n"/>
      <c r="P124" s="95" t="n"/>
      <c r="Q124" s="95" t="n"/>
      <c r="R124" s="96" t="n"/>
      <c r="S124" s="91" t="n"/>
      <c r="T124" s="92" t="n"/>
      <c r="U124" s="97">
        <f>IF(A124="",0,IF(G124="Completed",1,IF(G124="Not Started",0,MIN(0.99,N(J124)))))</f>
        <v/>
      </c>
      <c r="V124" s="97">
        <f>IF(OR(A124="",H124="",I124=""),0,MAX(0,MIN(1,(StatusDate-H124+1)/(I124-H124+1))))</f>
        <v/>
      </c>
      <c r="W124" s="98">
        <f>IF(OR(A124="",I124="",G124="Completed"),"",I124-StatusDate)</f>
        <v/>
      </c>
      <c r="X124" s="99">
        <f>IF(A124="","",IF(AND(G124&lt;&gt;"Completed",I124&lt;&gt;"",I124&lt;StatusDate),"OVERDUE",""))</f>
        <v/>
      </c>
      <c r="Y124" s="99">
        <f>IF(OR(A124="",K124=""),"",IF(SUMPRODUCT(($A$6:$A$400&lt;&gt;"")*ISNUMBER(SEARCH($A$6:$A$400,K124))*($G$6:$G$400&lt;&gt;"Completed"))=0,"✓ Ready","⏳ "&amp;SUMPRODUCT(($A$6:$A$400&lt;&gt;"")*ISNUMBER(SEARCH($A$6:$A$400,K124))*($G$6:$G$400&lt;&gt;"Completed"))&amp;" open"))</f>
        <v/>
      </c>
      <c r="Z124" s="99">
        <f>IF(A124="","",B124&amp;"|"&amp;COUNTIFS($B$6:B124,B124,$A$6:A124,"?*"))</f>
        <v/>
      </c>
      <c r="AA124" s="99">
        <f>IF(OR(A124="",I124="",G124="Completed"),"",IF(I124&gt;=StatusDate,I124+ROW()/100000,""))</f>
        <v/>
      </c>
      <c r="AB124" s="99">
        <f>IF(A124="","",IF(AND(G124&lt;&gt;"Completed",OR(G124="Blocked",AND(TRIM(P124)&lt;&gt;"",P124&lt;&gt;"None"))),ROW(),""))</f>
        <v/>
      </c>
      <c r="AC124" s="99">
        <f>IF(A124="","",IF(G124="Completed","Done",IF(G124="Blocked","Blocked",IF(X124="OVERDUE","Overdue",IF(AND(W124&lt;&gt;"",W124&lt;=2),"Due soon",IF(AND(Y124&lt;&gt;"",LEFT(Y124,1)="⏳",G124&lt;&gt;"Not Started"),"Dependency open",IF(AND(S124&lt;&gt;"None",S124&lt;&gt;"",G124&lt;&gt;"Completed"),"External req.","On track")))))))</f>
        <v/>
      </c>
    </row>
    <row r="125" ht="18" customHeight="1">
      <c r="A125" s="89" t="n"/>
      <c r="B125" s="90" t="n"/>
      <c r="C125" s="91" t="n"/>
      <c r="D125" s="91" t="n"/>
      <c r="E125" s="91" t="n"/>
      <c r="F125" s="90" t="n"/>
      <c r="G125" s="92" t="n"/>
      <c r="H125" s="93" t="n"/>
      <c r="I125" s="93" t="n"/>
      <c r="J125" s="94" t="n"/>
      <c r="K125" s="91" t="n"/>
      <c r="L125" s="91" t="n"/>
      <c r="M125" s="91" t="n"/>
      <c r="N125" s="91" t="n"/>
      <c r="O125" s="91" t="n"/>
      <c r="P125" s="95" t="n"/>
      <c r="Q125" s="95" t="n"/>
      <c r="R125" s="96" t="n"/>
      <c r="S125" s="91" t="n"/>
      <c r="T125" s="92" t="n"/>
      <c r="U125" s="97">
        <f>IF(A125="",0,IF(G125="Completed",1,IF(G125="Not Started",0,MIN(0.99,N(J125)))))</f>
        <v/>
      </c>
      <c r="V125" s="97">
        <f>IF(OR(A125="",H125="",I125=""),0,MAX(0,MIN(1,(StatusDate-H125+1)/(I125-H125+1))))</f>
        <v/>
      </c>
      <c r="W125" s="98">
        <f>IF(OR(A125="",I125="",G125="Completed"),"",I125-StatusDate)</f>
        <v/>
      </c>
      <c r="X125" s="99">
        <f>IF(A125="","",IF(AND(G125&lt;&gt;"Completed",I125&lt;&gt;"",I125&lt;StatusDate),"OVERDUE",""))</f>
        <v/>
      </c>
      <c r="Y125" s="99">
        <f>IF(OR(A125="",K125=""),"",IF(SUMPRODUCT(($A$6:$A$400&lt;&gt;"")*ISNUMBER(SEARCH($A$6:$A$400,K125))*($G$6:$G$400&lt;&gt;"Completed"))=0,"✓ Ready","⏳ "&amp;SUMPRODUCT(($A$6:$A$400&lt;&gt;"")*ISNUMBER(SEARCH($A$6:$A$400,K125))*($G$6:$G$400&lt;&gt;"Completed"))&amp;" open"))</f>
        <v/>
      </c>
      <c r="Z125" s="99">
        <f>IF(A125="","",B125&amp;"|"&amp;COUNTIFS($B$6:B125,B125,$A$6:A125,"?*"))</f>
        <v/>
      </c>
      <c r="AA125" s="99">
        <f>IF(OR(A125="",I125="",G125="Completed"),"",IF(I125&gt;=StatusDate,I125+ROW()/100000,""))</f>
        <v/>
      </c>
      <c r="AB125" s="99">
        <f>IF(A125="","",IF(AND(G125&lt;&gt;"Completed",OR(G125="Blocked",AND(TRIM(P125)&lt;&gt;"",P125&lt;&gt;"None"))),ROW(),""))</f>
        <v/>
      </c>
      <c r="AC125" s="99">
        <f>IF(A125="","",IF(G125="Completed","Done",IF(G125="Blocked","Blocked",IF(X125="OVERDUE","Overdue",IF(AND(W125&lt;&gt;"",W125&lt;=2),"Due soon",IF(AND(Y125&lt;&gt;"",LEFT(Y125,1)="⏳",G125&lt;&gt;"Not Started"),"Dependency open",IF(AND(S125&lt;&gt;"None",S125&lt;&gt;"",G125&lt;&gt;"Completed"),"External req.","On track")))))))</f>
        <v/>
      </c>
    </row>
    <row r="126" ht="18" customHeight="1">
      <c r="A126" s="89" t="n"/>
      <c r="B126" s="90" t="n"/>
      <c r="C126" s="91" t="n"/>
      <c r="D126" s="91" t="n"/>
      <c r="E126" s="91" t="n"/>
      <c r="F126" s="90" t="n"/>
      <c r="G126" s="92" t="n"/>
      <c r="H126" s="93" t="n"/>
      <c r="I126" s="93" t="n"/>
      <c r="J126" s="94" t="n"/>
      <c r="K126" s="91" t="n"/>
      <c r="L126" s="91" t="n"/>
      <c r="M126" s="91" t="n"/>
      <c r="N126" s="91" t="n"/>
      <c r="O126" s="91" t="n"/>
      <c r="P126" s="95" t="n"/>
      <c r="Q126" s="95" t="n"/>
      <c r="R126" s="96" t="n"/>
      <c r="S126" s="91" t="n"/>
      <c r="T126" s="92" t="n"/>
      <c r="U126" s="97">
        <f>IF(A126="",0,IF(G126="Completed",1,IF(G126="Not Started",0,MIN(0.99,N(J126)))))</f>
        <v/>
      </c>
      <c r="V126" s="97">
        <f>IF(OR(A126="",H126="",I126=""),0,MAX(0,MIN(1,(StatusDate-H126+1)/(I126-H126+1))))</f>
        <v/>
      </c>
      <c r="W126" s="98">
        <f>IF(OR(A126="",I126="",G126="Completed"),"",I126-StatusDate)</f>
        <v/>
      </c>
      <c r="X126" s="99">
        <f>IF(A126="","",IF(AND(G126&lt;&gt;"Completed",I126&lt;&gt;"",I126&lt;StatusDate),"OVERDUE",""))</f>
        <v/>
      </c>
      <c r="Y126" s="99">
        <f>IF(OR(A126="",K126=""),"",IF(SUMPRODUCT(($A$6:$A$400&lt;&gt;"")*ISNUMBER(SEARCH($A$6:$A$400,K126))*($G$6:$G$400&lt;&gt;"Completed"))=0,"✓ Ready","⏳ "&amp;SUMPRODUCT(($A$6:$A$400&lt;&gt;"")*ISNUMBER(SEARCH($A$6:$A$400,K126))*($G$6:$G$400&lt;&gt;"Completed"))&amp;" open"))</f>
        <v/>
      </c>
      <c r="Z126" s="99">
        <f>IF(A126="","",B126&amp;"|"&amp;COUNTIFS($B$6:B126,B126,$A$6:A126,"?*"))</f>
        <v/>
      </c>
      <c r="AA126" s="99">
        <f>IF(OR(A126="",I126="",G126="Completed"),"",IF(I126&gt;=StatusDate,I126+ROW()/100000,""))</f>
        <v/>
      </c>
      <c r="AB126" s="99">
        <f>IF(A126="","",IF(AND(G126&lt;&gt;"Completed",OR(G126="Blocked",AND(TRIM(P126)&lt;&gt;"",P126&lt;&gt;"None"))),ROW(),""))</f>
        <v/>
      </c>
      <c r="AC126" s="99">
        <f>IF(A126="","",IF(G126="Completed","Done",IF(G126="Blocked","Blocked",IF(X126="OVERDUE","Overdue",IF(AND(W126&lt;&gt;"",W126&lt;=2),"Due soon",IF(AND(Y126&lt;&gt;"",LEFT(Y126,1)="⏳",G126&lt;&gt;"Not Started"),"Dependency open",IF(AND(S126&lt;&gt;"None",S126&lt;&gt;"",G126&lt;&gt;"Completed"),"External req.","On track")))))))</f>
        <v/>
      </c>
    </row>
    <row r="127" ht="18" customHeight="1">
      <c r="A127" s="89" t="n"/>
      <c r="B127" s="90" t="n"/>
      <c r="C127" s="91" t="n"/>
      <c r="D127" s="91" t="n"/>
      <c r="E127" s="91" t="n"/>
      <c r="F127" s="90" t="n"/>
      <c r="G127" s="92" t="n"/>
      <c r="H127" s="93" t="n"/>
      <c r="I127" s="93" t="n"/>
      <c r="J127" s="94" t="n"/>
      <c r="K127" s="91" t="n"/>
      <c r="L127" s="91" t="n"/>
      <c r="M127" s="91" t="n"/>
      <c r="N127" s="91" t="n"/>
      <c r="O127" s="91" t="n"/>
      <c r="P127" s="95" t="n"/>
      <c r="Q127" s="95" t="n"/>
      <c r="R127" s="96" t="n"/>
      <c r="S127" s="91" t="n"/>
      <c r="T127" s="92" t="n"/>
      <c r="U127" s="97">
        <f>IF(A127="",0,IF(G127="Completed",1,IF(G127="Not Started",0,MIN(0.99,N(J127)))))</f>
        <v/>
      </c>
      <c r="V127" s="97">
        <f>IF(OR(A127="",H127="",I127=""),0,MAX(0,MIN(1,(StatusDate-H127+1)/(I127-H127+1))))</f>
        <v/>
      </c>
      <c r="W127" s="98">
        <f>IF(OR(A127="",I127="",G127="Completed"),"",I127-StatusDate)</f>
        <v/>
      </c>
      <c r="X127" s="99">
        <f>IF(A127="","",IF(AND(G127&lt;&gt;"Completed",I127&lt;&gt;"",I127&lt;StatusDate),"OVERDUE",""))</f>
        <v/>
      </c>
      <c r="Y127" s="99">
        <f>IF(OR(A127="",K127=""),"",IF(SUMPRODUCT(($A$6:$A$400&lt;&gt;"")*ISNUMBER(SEARCH($A$6:$A$400,K127))*($G$6:$G$400&lt;&gt;"Completed"))=0,"✓ Ready","⏳ "&amp;SUMPRODUCT(($A$6:$A$400&lt;&gt;"")*ISNUMBER(SEARCH($A$6:$A$400,K127))*($G$6:$G$400&lt;&gt;"Completed"))&amp;" open"))</f>
        <v/>
      </c>
      <c r="Z127" s="99">
        <f>IF(A127="","",B127&amp;"|"&amp;COUNTIFS($B$6:B127,B127,$A$6:A127,"?*"))</f>
        <v/>
      </c>
      <c r="AA127" s="99">
        <f>IF(OR(A127="",I127="",G127="Completed"),"",IF(I127&gt;=StatusDate,I127+ROW()/100000,""))</f>
        <v/>
      </c>
      <c r="AB127" s="99">
        <f>IF(A127="","",IF(AND(G127&lt;&gt;"Completed",OR(G127="Blocked",AND(TRIM(P127)&lt;&gt;"",P127&lt;&gt;"None"))),ROW(),""))</f>
        <v/>
      </c>
      <c r="AC127" s="99">
        <f>IF(A127="","",IF(G127="Completed","Done",IF(G127="Blocked","Blocked",IF(X127="OVERDUE","Overdue",IF(AND(W127&lt;&gt;"",W127&lt;=2),"Due soon",IF(AND(Y127&lt;&gt;"",LEFT(Y127,1)="⏳",G127&lt;&gt;"Not Started"),"Dependency open",IF(AND(S127&lt;&gt;"None",S127&lt;&gt;"",G127&lt;&gt;"Completed"),"External req.","On track")))))))</f>
        <v/>
      </c>
    </row>
    <row r="128" ht="18" customHeight="1">
      <c r="A128" s="89" t="n"/>
      <c r="B128" s="90" t="n"/>
      <c r="C128" s="91" t="n"/>
      <c r="D128" s="91" t="n"/>
      <c r="E128" s="91" t="n"/>
      <c r="F128" s="90" t="n"/>
      <c r="G128" s="92" t="n"/>
      <c r="H128" s="93" t="n"/>
      <c r="I128" s="93" t="n"/>
      <c r="J128" s="94" t="n"/>
      <c r="K128" s="91" t="n"/>
      <c r="L128" s="91" t="n"/>
      <c r="M128" s="91" t="n"/>
      <c r="N128" s="91" t="n"/>
      <c r="O128" s="91" t="n"/>
      <c r="P128" s="95" t="n"/>
      <c r="Q128" s="95" t="n"/>
      <c r="R128" s="96" t="n"/>
      <c r="S128" s="91" t="n"/>
      <c r="T128" s="92" t="n"/>
      <c r="U128" s="97">
        <f>IF(A128="",0,IF(G128="Completed",1,IF(G128="Not Started",0,MIN(0.99,N(J128)))))</f>
        <v/>
      </c>
      <c r="V128" s="97">
        <f>IF(OR(A128="",H128="",I128=""),0,MAX(0,MIN(1,(StatusDate-H128+1)/(I128-H128+1))))</f>
        <v/>
      </c>
      <c r="W128" s="98">
        <f>IF(OR(A128="",I128="",G128="Completed"),"",I128-StatusDate)</f>
        <v/>
      </c>
      <c r="X128" s="99">
        <f>IF(A128="","",IF(AND(G128&lt;&gt;"Completed",I128&lt;&gt;"",I128&lt;StatusDate),"OVERDUE",""))</f>
        <v/>
      </c>
      <c r="Y128" s="99">
        <f>IF(OR(A128="",K128=""),"",IF(SUMPRODUCT(($A$6:$A$400&lt;&gt;"")*ISNUMBER(SEARCH($A$6:$A$400,K128))*($G$6:$G$400&lt;&gt;"Completed"))=0,"✓ Ready","⏳ "&amp;SUMPRODUCT(($A$6:$A$400&lt;&gt;"")*ISNUMBER(SEARCH($A$6:$A$400,K128))*($G$6:$G$400&lt;&gt;"Completed"))&amp;" open"))</f>
        <v/>
      </c>
      <c r="Z128" s="99">
        <f>IF(A128="","",B128&amp;"|"&amp;COUNTIFS($B$6:B128,B128,$A$6:A128,"?*"))</f>
        <v/>
      </c>
      <c r="AA128" s="99">
        <f>IF(OR(A128="",I128="",G128="Completed"),"",IF(I128&gt;=StatusDate,I128+ROW()/100000,""))</f>
        <v/>
      </c>
      <c r="AB128" s="99">
        <f>IF(A128="","",IF(AND(G128&lt;&gt;"Completed",OR(G128="Blocked",AND(TRIM(P128)&lt;&gt;"",P128&lt;&gt;"None"))),ROW(),""))</f>
        <v/>
      </c>
      <c r="AC128" s="99">
        <f>IF(A128="","",IF(G128="Completed","Done",IF(G128="Blocked","Blocked",IF(X128="OVERDUE","Overdue",IF(AND(W128&lt;&gt;"",W128&lt;=2),"Due soon",IF(AND(Y128&lt;&gt;"",LEFT(Y128,1)="⏳",G128&lt;&gt;"Not Started"),"Dependency open",IF(AND(S128&lt;&gt;"None",S128&lt;&gt;"",G128&lt;&gt;"Completed"),"External req.","On track")))))))</f>
        <v/>
      </c>
    </row>
    <row r="129" ht="18" customHeight="1">
      <c r="A129" s="89" t="n"/>
      <c r="B129" s="90" t="n"/>
      <c r="C129" s="91" t="n"/>
      <c r="D129" s="91" t="n"/>
      <c r="E129" s="91" t="n"/>
      <c r="F129" s="90" t="n"/>
      <c r="G129" s="92" t="n"/>
      <c r="H129" s="93" t="n"/>
      <c r="I129" s="93" t="n"/>
      <c r="J129" s="94" t="n"/>
      <c r="K129" s="91" t="n"/>
      <c r="L129" s="91" t="n"/>
      <c r="M129" s="91" t="n"/>
      <c r="N129" s="91" t="n"/>
      <c r="O129" s="91" t="n"/>
      <c r="P129" s="95" t="n"/>
      <c r="Q129" s="95" t="n"/>
      <c r="R129" s="96" t="n"/>
      <c r="S129" s="91" t="n"/>
      <c r="T129" s="92" t="n"/>
      <c r="U129" s="97">
        <f>IF(A129="",0,IF(G129="Completed",1,IF(G129="Not Started",0,MIN(0.99,N(J129)))))</f>
        <v/>
      </c>
      <c r="V129" s="97">
        <f>IF(OR(A129="",H129="",I129=""),0,MAX(0,MIN(1,(StatusDate-H129+1)/(I129-H129+1))))</f>
        <v/>
      </c>
      <c r="W129" s="98">
        <f>IF(OR(A129="",I129="",G129="Completed"),"",I129-StatusDate)</f>
        <v/>
      </c>
      <c r="X129" s="99">
        <f>IF(A129="","",IF(AND(G129&lt;&gt;"Completed",I129&lt;&gt;"",I129&lt;StatusDate),"OVERDUE",""))</f>
        <v/>
      </c>
      <c r="Y129" s="99">
        <f>IF(OR(A129="",K129=""),"",IF(SUMPRODUCT(($A$6:$A$400&lt;&gt;"")*ISNUMBER(SEARCH($A$6:$A$400,K129))*($G$6:$G$400&lt;&gt;"Completed"))=0,"✓ Ready","⏳ "&amp;SUMPRODUCT(($A$6:$A$400&lt;&gt;"")*ISNUMBER(SEARCH($A$6:$A$400,K129))*($G$6:$G$400&lt;&gt;"Completed"))&amp;" open"))</f>
        <v/>
      </c>
      <c r="Z129" s="99">
        <f>IF(A129="","",B129&amp;"|"&amp;COUNTIFS($B$6:B129,B129,$A$6:A129,"?*"))</f>
        <v/>
      </c>
      <c r="AA129" s="99">
        <f>IF(OR(A129="",I129="",G129="Completed"),"",IF(I129&gt;=StatusDate,I129+ROW()/100000,""))</f>
        <v/>
      </c>
      <c r="AB129" s="99">
        <f>IF(A129="","",IF(AND(G129&lt;&gt;"Completed",OR(G129="Blocked",AND(TRIM(P129)&lt;&gt;"",P129&lt;&gt;"None"))),ROW(),""))</f>
        <v/>
      </c>
      <c r="AC129" s="99">
        <f>IF(A129="","",IF(G129="Completed","Done",IF(G129="Blocked","Blocked",IF(X129="OVERDUE","Overdue",IF(AND(W129&lt;&gt;"",W129&lt;=2),"Due soon",IF(AND(Y129&lt;&gt;"",LEFT(Y129,1)="⏳",G129&lt;&gt;"Not Started"),"Dependency open",IF(AND(S129&lt;&gt;"None",S129&lt;&gt;"",G129&lt;&gt;"Completed"),"External req.","On track")))))))</f>
        <v/>
      </c>
    </row>
    <row r="130" ht="18" customHeight="1">
      <c r="A130" s="89" t="n"/>
      <c r="B130" s="90" t="n"/>
      <c r="C130" s="91" t="n"/>
      <c r="D130" s="91" t="n"/>
      <c r="E130" s="91" t="n"/>
      <c r="F130" s="90" t="n"/>
      <c r="G130" s="92" t="n"/>
      <c r="H130" s="93" t="n"/>
      <c r="I130" s="93" t="n"/>
      <c r="J130" s="94" t="n"/>
      <c r="K130" s="91" t="n"/>
      <c r="L130" s="91" t="n"/>
      <c r="M130" s="91" t="n"/>
      <c r="N130" s="91" t="n"/>
      <c r="O130" s="91" t="n"/>
      <c r="P130" s="95" t="n"/>
      <c r="Q130" s="95" t="n"/>
      <c r="R130" s="96" t="n"/>
      <c r="S130" s="91" t="n"/>
      <c r="T130" s="92" t="n"/>
      <c r="U130" s="97">
        <f>IF(A130="",0,IF(G130="Completed",1,IF(G130="Not Started",0,MIN(0.99,N(J130)))))</f>
        <v/>
      </c>
      <c r="V130" s="97">
        <f>IF(OR(A130="",H130="",I130=""),0,MAX(0,MIN(1,(StatusDate-H130+1)/(I130-H130+1))))</f>
        <v/>
      </c>
      <c r="W130" s="98">
        <f>IF(OR(A130="",I130="",G130="Completed"),"",I130-StatusDate)</f>
        <v/>
      </c>
      <c r="X130" s="99">
        <f>IF(A130="","",IF(AND(G130&lt;&gt;"Completed",I130&lt;&gt;"",I130&lt;StatusDate),"OVERDUE",""))</f>
        <v/>
      </c>
      <c r="Y130" s="99">
        <f>IF(OR(A130="",K130=""),"",IF(SUMPRODUCT(($A$6:$A$400&lt;&gt;"")*ISNUMBER(SEARCH($A$6:$A$400,K130))*($G$6:$G$400&lt;&gt;"Completed"))=0,"✓ Ready","⏳ "&amp;SUMPRODUCT(($A$6:$A$400&lt;&gt;"")*ISNUMBER(SEARCH($A$6:$A$400,K130))*($G$6:$G$400&lt;&gt;"Completed"))&amp;" open"))</f>
        <v/>
      </c>
      <c r="Z130" s="99">
        <f>IF(A130="","",B130&amp;"|"&amp;COUNTIFS($B$6:B130,B130,$A$6:A130,"?*"))</f>
        <v/>
      </c>
      <c r="AA130" s="99">
        <f>IF(OR(A130="",I130="",G130="Completed"),"",IF(I130&gt;=StatusDate,I130+ROW()/100000,""))</f>
        <v/>
      </c>
      <c r="AB130" s="99">
        <f>IF(A130="","",IF(AND(G130&lt;&gt;"Completed",OR(G130="Blocked",AND(TRIM(P130)&lt;&gt;"",P130&lt;&gt;"None"))),ROW(),""))</f>
        <v/>
      </c>
      <c r="AC130" s="99">
        <f>IF(A130="","",IF(G130="Completed","Done",IF(G130="Blocked","Blocked",IF(X130="OVERDUE","Overdue",IF(AND(W130&lt;&gt;"",W130&lt;=2),"Due soon",IF(AND(Y130&lt;&gt;"",LEFT(Y130,1)="⏳",G130&lt;&gt;"Not Started"),"Dependency open",IF(AND(S130&lt;&gt;"None",S130&lt;&gt;"",G130&lt;&gt;"Completed"),"External req.","On track")))))))</f>
        <v/>
      </c>
    </row>
    <row r="131" ht="18" customHeight="1">
      <c r="A131" s="89" t="n"/>
      <c r="B131" s="90" t="n"/>
      <c r="C131" s="91" t="n"/>
      <c r="D131" s="91" t="n"/>
      <c r="E131" s="91" t="n"/>
      <c r="F131" s="90" t="n"/>
      <c r="G131" s="92" t="n"/>
      <c r="H131" s="93" t="n"/>
      <c r="I131" s="93" t="n"/>
      <c r="J131" s="94" t="n"/>
      <c r="K131" s="91" t="n"/>
      <c r="L131" s="91" t="n"/>
      <c r="M131" s="91" t="n"/>
      <c r="N131" s="91" t="n"/>
      <c r="O131" s="91" t="n"/>
      <c r="P131" s="95" t="n"/>
      <c r="Q131" s="95" t="n"/>
      <c r="R131" s="96" t="n"/>
      <c r="S131" s="91" t="n"/>
      <c r="T131" s="92" t="n"/>
      <c r="U131" s="97">
        <f>IF(A131="",0,IF(G131="Completed",1,IF(G131="Not Started",0,MIN(0.99,N(J131)))))</f>
        <v/>
      </c>
      <c r="V131" s="97">
        <f>IF(OR(A131="",H131="",I131=""),0,MAX(0,MIN(1,(StatusDate-H131+1)/(I131-H131+1))))</f>
        <v/>
      </c>
      <c r="W131" s="98">
        <f>IF(OR(A131="",I131="",G131="Completed"),"",I131-StatusDate)</f>
        <v/>
      </c>
      <c r="X131" s="99">
        <f>IF(A131="","",IF(AND(G131&lt;&gt;"Completed",I131&lt;&gt;"",I131&lt;StatusDate),"OVERDUE",""))</f>
        <v/>
      </c>
      <c r="Y131" s="99">
        <f>IF(OR(A131="",K131=""),"",IF(SUMPRODUCT(($A$6:$A$400&lt;&gt;"")*ISNUMBER(SEARCH($A$6:$A$400,K131))*($G$6:$G$400&lt;&gt;"Completed"))=0,"✓ Ready","⏳ "&amp;SUMPRODUCT(($A$6:$A$400&lt;&gt;"")*ISNUMBER(SEARCH($A$6:$A$400,K131))*($G$6:$G$400&lt;&gt;"Completed"))&amp;" open"))</f>
        <v/>
      </c>
      <c r="Z131" s="99">
        <f>IF(A131="","",B131&amp;"|"&amp;COUNTIFS($B$6:B131,B131,$A$6:A131,"?*"))</f>
        <v/>
      </c>
      <c r="AA131" s="99">
        <f>IF(OR(A131="",I131="",G131="Completed"),"",IF(I131&gt;=StatusDate,I131+ROW()/100000,""))</f>
        <v/>
      </c>
      <c r="AB131" s="99">
        <f>IF(A131="","",IF(AND(G131&lt;&gt;"Completed",OR(G131="Blocked",AND(TRIM(P131)&lt;&gt;"",P131&lt;&gt;"None"))),ROW(),""))</f>
        <v/>
      </c>
      <c r="AC131" s="99">
        <f>IF(A131="","",IF(G131="Completed","Done",IF(G131="Blocked","Blocked",IF(X131="OVERDUE","Overdue",IF(AND(W131&lt;&gt;"",W131&lt;=2),"Due soon",IF(AND(Y131&lt;&gt;"",LEFT(Y131,1)="⏳",G131&lt;&gt;"Not Started"),"Dependency open",IF(AND(S131&lt;&gt;"None",S131&lt;&gt;"",G131&lt;&gt;"Completed"),"External req.","On track")))))))</f>
        <v/>
      </c>
    </row>
    <row r="132" ht="18" customHeight="1">
      <c r="A132" s="89" t="n"/>
      <c r="B132" s="90" t="n"/>
      <c r="C132" s="91" t="n"/>
      <c r="D132" s="91" t="n"/>
      <c r="E132" s="91" t="n"/>
      <c r="F132" s="90" t="n"/>
      <c r="G132" s="92" t="n"/>
      <c r="H132" s="93" t="n"/>
      <c r="I132" s="93" t="n"/>
      <c r="J132" s="94" t="n"/>
      <c r="K132" s="91" t="n"/>
      <c r="L132" s="91" t="n"/>
      <c r="M132" s="91" t="n"/>
      <c r="N132" s="91" t="n"/>
      <c r="O132" s="91" t="n"/>
      <c r="P132" s="95" t="n"/>
      <c r="Q132" s="95" t="n"/>
      <c r="R132" s="96" t="n"/>
      <c r="S132" s="91" t="n"/>
      <c r="T132" s="92" t="n"/>
      <c r="U132" s="97">
        <f>IF(A132="",0,IF(G132="Completed",1,IF(G132="Not Started",0,MIN(0.99,N(J132)))))</f>
        <v/>
      </c>
      <c r="V132" s="97">
        <f>IF(OR(A132="",H132="",I132=""),0,MAX(0,MIN(1,(StatusDate-H132+1)/(I132-H132+1))))</f>
        <v/>
      </c>
      <c r="W132" s="98">
        <f>IF(OR(A132="",I132="",G132="Completed"),"",I132-StatusDate)</f>
        <v/>
      </c>
      <c r="X132" s="99">
        <f>IF(A132="","",IF(AND(G132&lt;&gt;"Completed",I132&lt;&gt;"",I132&lt;StatusDate),"OVERDUE",""))</f>
        <v/>
      </c>
      <c r="Y132" s="99">
        <f>IF(OR(A132="",K132=""),"",IF(SUMPRODUCT(($A$6:$A$400&lt;&gt;"")*ISNUMBER(SEARCH($A$6:$A$400,K132))*($G$6:$G$400&lt;&gt;"Completed"))=0,"✓ Ready","⏳ "&amp;SUMPRODUCT(($A$6:$A$400&lt;&gt;"")*ISNUMBER(SEARCH($A$6:$A$400,K132))*($G$6:$G$400&lt;&gt;"Completed"))&amp;" open"))</f>
        <v/>
      </c>
      <c r="Z132" s="99">
        <f>IF(A132="","",B132&amp;"|"&amp;COUNTIFS($B$6:B132,B132,$A$6:A132,"?*"))</f>
        <v/>
      </c>
      <c r="AA132" s="99">
        <f>IF(OR(A132="",I132="",G132="Completed"),"",IF(I132&gt;=StatusDate,I132+ROW()/100000,""))</f>
        <v/>
      </c>
      <c r="AB132" s="99">
        <f>IF(A132="","",IF(AND(G132&lt;&gt;"Completed",OR(G132="Blocked",AND(TRIM(P132)&lt;&gt;"",P132&lt;&gt;"None"))),ROW(),""))</f>
        <v/>
      </c>
      <c r="AC132" s="99">
        <f>IF(A132="","",IF(G132="Completed","Done",IF(G132="Blocked","Blocked",IF(X132="OVERDUE","Overdue",IF(AND(W132&lt;&gt;"",W132&lt;=2),"Due soon",IF(AND(Y132&lt;&gt;"",LEFT(Y132,1)="⏳",G132&lt;&gt;"Not Started"),"Dependency open",IF(AND(S132&lt;&gt;"None",S132&lt;&gt;"",G132&lt;&gt;"Completed"),"External req.","On track")))))))</f>
        <v/>
      </c>
    </row>
    <row r="133" ht="18" customHeight="1">
      <c r="A133" s="89" t="n"/>
      <c r="B133" s="90" t="n"/>
      <c r="C133" s="91" t="n"/>
      <c r="D133" s="91" t="n"/>
      <c r="E133" s="91" t="n"/>
      <c r="F133" s="90" t="n"/>
      <c r="G133" s="92" t="n"/>
      <c r="H133" s="93" t="n"/>
      <c r="I133" s="93" t="n"/>
      <c r="J133" s="94" t="n"/>
      <c r="K133" s="91" t="n"/>
      <c r="L133" s="91" t="n"/>
      <c r="M133" s="91" t="n"/>
      <c r="N133" s="91" t="n"/>
      <c r="O133" s="91" t="n"/>
      <c r="P133" s="95" t="n"/>
      <c r="Q133" s="95" t="n"/>
      <c r="R133" s="96" t="n"/>
      <c r="S133" s="91" t="n"/>
      <c r="T133" s="92" t="n"/>
      <c r="U133" s="97">
        <f>IF(A133="",0,IF(G133="Completed",1,IF(G133="Not Started",0,MIN(0.99,N(J133)))))</f>
        <v/>
      </c>
      <c r="V133" s="97">
        <f>IF(OR(A133="",H133="",I133=""),0,MAX(0,MIN(1,(StatusDate-H133+1)/(I133-H133+1))))</f>
        <v/>
      </c>
      <c r="W133" s="98">
        <f>IF(OR(A133="",I133="",G133="Completed"),"",I133-StatusDate)</f>
        <v/>
      </c>
      <c r="X133" s="99">
        <f>IF(A133="","",IF(AND(G133&lt;&gt;"Completed",I133&lt;&gt;"",I133&lt;StatusDate),"OVERDUE",""))</f>
        <v/>
      </c>
      <c r="Y133" s="99">
        <f>IF(OR(A133="",K133=""),"",IF(SUMPRODUCT(($A$6:$A$400&lt;&gt;"")*ISNUMBER(SEARCH($A$6:$A$400,K133))*($G$6:$G$400&lt;&gt;"Completed"))=0,"✓ Ready","⏳ "&amp;SUMPRODUCT(($A$6:$A$400&lt;&gt;"")*ISNUMBER(SEARCH($A$6:$A$400,K133))*($G$6:$G$400&lt;&gt;"Completed"))&amp;" open"))</f>
        <v/>
      </c>
      <c r="Z133" s="99">
        <f>IF(A133="","",B133&amp;"|"&amp;COUNTIFS($B$6:B133,B133,$A$6:A133,"?*"))</f>
        <v/>
      </c>
      <c r="AA133" s="99">
        <f>IF(OR(A133="",I133="",G133="Completed"),"",IF(I133&gt;=StatusDate,I133+ROW()/100000,""))</f>
        <v/>
      </c>
      <c r="AB133" s="99">
        <f>IF(A133="","",IF(AND(G133&lt;&gt;"Completed",OR(G133="Blocked",AND(TRIM(P133)&lt;&gt;"",P133&lt;&gt;"None"))),ROW(),""))</f>
        <v/>
      </c>
      <c r="AC133" s="99">
        <f>IF(A133="","",IF(G133="Completed","Done",IF(G133="Blocked","Blocked",IF(X133="OVERDUE","Overdue",IF(AND(W133&lt;&gt;"",W133&lt;=2),"Due soon",IF(AND(Y133&lt;&gt;"",LEFT(Y133,1)="⏳",G133&lt;&gt;"Not Started"),"Dependency open",IF(AND(S133&lt;&gt;"None",S133&lt;&gt;"",G133&lt;&gt;"Completed"),"External req.","On track")))))))</f>
        <v/>
      </c>
    </row>
    <row r="134" ht="18" customHeight="1">
      <c r="A134" s="89" t="n"/>
      <c r="B134" s="90" t="n"/>
      <c r="C134" s="91" t="n"/>
      <c r="D134" s="91" t="n"/>
      <c r="E134" s="91" t="n"/>
      <c r="F134" s="90" t="n"/>
      <c r="G134" s="92" t="n"/>
      <c r="H134" s="93" t="n"/>
      <c r="I134" s="93" t="n"/>
      <c r="J134" s="94" t="n"/>
      <c r="K134" s="91" t="n"/>
      <c r="L134" s="91" t="n"/>
      <c r="M134" s="91" t="n"/>
      <c r="N134" s="91" t="n"/>
      <c r="O134" s="91" t="n"/>
      <c r="P134" s="95" t="n"/>
      <c r="Q134" s="95" t="n"/>
      <c r="R134" s="96" t="n"/>
      <c r="S134" s="91" t="n"/>
      <c r="T134" s="92" t="n"/>
      <c r="U134" s="97">
        <f>IF(A134="",0,IF(G134="Completed",1,IF(G134="Not Started",0,MIN(0.99,N(J134)))))</f>
        <v/>
      </c>
      <c r="V134" s="97">
        <f>IF(OR(A134="",H134="",I134=""),0,MAX(0,MIN(1,(StatusDate-H134+1)/(I134-H134+1))))</f>
        <v/>
      </c>
      <c r="W134" s="98">
        <f>IF(OR(A134="",I134="",G134="Completed"),"",I134-StatusDate)</f>
        <v/>
      </c>
      <c r="X134" s="99">
        <f>IF(A134="","",IF(AND(G134&lt;&gt;"Completed",I134&lt;&gt;"",I134&lt;StatusDate),"OVERDUE",""))</f>
        <v/>
      </c>
      <c r="Y134" s="99">
        <f>IF(OR(A134="",K134=""),"",IF(SUMPRODUCT(($A$6:$A$400&lt;&gt;"")*ISNUMBER(SEARCH($A$6:$A$400,K134))*($G$6:$G$400&lt;&gt;"Completed"))=0,"✓ Ready","⏳ "&amp;SUMPRODUCT(($A$6:$A$400&lt;&gt;"")*ISNUMBER(SEARCH($A$6:$A$400,K134))*($G$6:$G$400&lt;&gt;"Completed"))&amp;" open"))</f>
        <v/>
      </c>
      <c r="Z134" s="99">
        <f>IF(A134="","",B134&amp;"|"&amp;COUNTIFS($B$6:B134,B134,$A$6:A134,"?*"))</f>
        <v/>
      </c>
      <c r="AA134" s="99">
        <f>IF(OR(A134="",I134="",G134="Completed"),"",IF(I134&gt;=StatusDate,I134+ROW()/100000,""))</f>
        <v/>
      </c>
      <c r="AB134" s="99">
        <f>IF(A134="","",IF(AND(G134&lt;&gt;"Completed",OR(G134="Blocked",AND(TRIM(P134)&lt;&gt;"",P134&lt;&gt;"None"))),ROW(),""))</f>
        <v/>
      </c>
      <c r="AC134" s="99">
        <f>IF(A134="","",IF(G134="Completed","Done",IF(G134="Blocked","Blocked",IF(X134="OVERDUE","Overdue",IF(AND(W134&lt;&gt;"",W134&lt;=2),"Due soon",IF(AND(Y134&lt;&gt;"",LEFT(Y134,1)="⏳",G134&lt;&gt;"Not Started"),"Dependency open",IF(AND(S134&lt;&gt;"None",S134&lt;&gt;"",G134&lt;&gt;"Completed"),"External req.","On track")))))))</f>
        <v/>
      </c>
    </row>
    <row r="135" ht="18" customHeight="1">
      <c r="A135" s="89" t="n"/>
      <c r="B135" s="90" t="n"/>
      <c r="C135" s="91" t="n"/>
      <c r="D135" s="91" t="n"/>
      <c r="E135" s="91" t="n"/>
      <c r="F135" s="90" t="n"/>
      <c r="G135" s="92" t="n"/>
      <c r="H135" s="93" t="n"/>
      <c r="I135" s="93" t="n"/>
      <c r="J135" s="94" t="n"/>
      <c r="K135" s="91" t="n"/>
      <c r="L135" s="91" t="n"/>
      <c r="M135" s="91" t="n"/>
      <c r="N135" s="91" t="n"/>
      <c r="O135" s="91" t="n"/>
      <c r="P135" s="95" t="n"/>
      <c r="Q135" s="95" t="n"/>
      <c r="R135" s="96" t="n"/>
      <c r="S135" s="91" t="n"/>
      <c r="T135" s="92" t="n"/>
      <c r="U135" s="97">
        <f>IF(A135="",0,IF(G135="Completed",1,IF(G135="Not Started",0,MIN(0.99,N(J135)))))</f>
        <v/>
      </c>
      <c r="V135" s="97">
        <f>IF(OR(A135="",H135="",I135=""),0,MAX(0,MIN(1,(StatusDate-H135+1)/(I135-H135+1))))</f>
        <v/>
      </c>
      <c r="W135" s="98">
        <f>IF(OR(A135="",I135="",G135="Completed"),"",I135-StatusDate)</f>
        <v/>
      </c>
      <c r="X135" s="99">
        <f>IF(A135="","",IF(AND(G135&lt;&gt;"Completed",I135&lt;&gt;"",I135&lt;StatusDate),"OVERDUE",""))</f>
        <v/>
      </c>
      <c r="Y135" s="99">
        <f>IF(OR(A135="",K135=""),"",IF(SUMPRODUCT(($A$6:$A$400&lt;&gt;"")*ISNUMBER(SEARCH($A$6:$A$400,K135))*($G$6:$G$400&lt;&gt;"Completed"))=0,"✓ Ready","⏳ "&amp;SUMPRODUCT(($A$6:$A$400&lt;&gt;"")*ISNUMBER(SEARCH($A$6:$A$400,K135))*($G$6:$G$400&lt;&gt;"Completed"))&amp;" open"))</f>
        <v/>
      </c>
      <c r="Z135" s="99">
        <f>IF(A135="","",B135&amp;"|"&amp;COUNTIFS($B$6:B135,B135,$A$6:A135,"?*"))</f>
        <v/>
      </c>
      <c r="AA135" s="99">
        <f>IF(OR(A135="",I135="",G135="Completed"),"",IF(I135&gt;=StatusDate,I135+ROW()/100000,""))</f>
        <v/>
      </c>
      <c r="AB135" s="99">
        <f>IF(A135="","",IF(AND(G135&lt;&gt;"Completed",OR(G135="Blocked",AND(TRIM(P135)&lt;&gt;"",P135&lt;&gt;"None"))),ROW(),""))</f>
        <v/>
      </c>
      <c r="AC135" s="99">
        <f>IF(A135="","",IF(G135="Completed","Done",IF(G135="Blocked","Blocked",IF(X135="OVERDUE","Overdue",IF(AND(W135&lt;&gt;"",W135&lt;=2),"Due soon",IF(AND(Y135&lt;&gt;"",LEFT(Y135,1)="⏳",G135&lt;&gt;"Not Started"),"Dependency open",IF(AND(S135&lt;&gt;"None",S135&lt;&gt;"",G135&lt;&gt;"Completed"),"External req.","On track")))))))</f>
        <v/>
      </c>
    </row>
    <row r="136" ht="18" customHeight="1">
      <c r="A136" s="89" t="n"/>
      <c r="B136" s="90" t="n"/>
      <c r="C136" s="91" t="n"/>
      <c r="D136" s="91" t="n"/>
      <c r="E136" s="91" t="n"/>
      <c r="F136" s="90" t="n"/>
      <c r="G136" s="92" t="n"/>
      <c r="H136" s="93" t="n"/>
      <c r="I136" s="93" t="n"/>
      <c r="J136" s="94" t="n"/>
      <c r="K136" s="91" t="n"/>
      <c r="L136" s="91" t="n"/>
      <c r="M136" s="91" t="n"/>
      <c r="N136" s="91" t="n"/>
      <c r="O136" s="91" t="n"/>
      <c r="P136" s="95" t="n"/>
      <c r="Q136" s="95" t="n"/>
      <c r="R136" s="96" t="n"/>
      <c r="S136" s="91" t="n"/>
      <c r="T136" s="92" t="n"/>
      <c r="U136" s="97">
        <f>IF(A136="",0,IF(G136="Completed",1,IF(G136="Not Started",0,MIN(0.99,N(J136)))))</f>
        <v/>
      </c>
      <c r="V136" s="97">
        <f>IF(OR(A136="",H136="",I136=""),0,MAX(0,MIN(1,(StatusDate-H136+1)/(I136-H136+1))))</f>
        <v/>
      </c>
      <c r="W136" s="98">
        <f>IF(OR(A136="",I136="",G136="Completed"),"",I136-StatusDate)</f>
        <v/>
      </c>
      <c r="X136" s="99">
        <f>IF(A136="","",IF(AND(G136&lt;&gt;"Completed",I136&lt;&gt;"",I136&lt;StatusDate),"OVERDUE",""))</f>
        <v/>
      </c>
      <c r="Y136" s="99">
        <f>IF(OR(A136="",K136=""),"",IF(SUMPRODUCT(($A$6:$A$400&lt;&gt;"")*ISNUMBER(SEARCH($A$6:$A$400,K136))*($G$6:$G$400&lt;&gt;"Completed"))=0,"✓ Ready","⏳ "&amp;SUMPRODUCT(($A$6:$A$400&lt;&gt;"")*ISNUMBER(SEARCH($A$6:$A$400,K136))*($G$6:$G$400&lt;&gt;"Completed"))&amp;" open"))</f>
        <v/>
      </c>
      <c r="Z136" s="99">
        <f>IF(A136="","",B136&amp;"|"&amp;COUNTIFS($B$6:B136,B136,$A$6:A136,"?*"))</f>
        <v/>
      </c>
      <c r="AA136" s="99">
        <f>IF(OR(A136="",I136="",G136="Completed"),"",IF(I136&gt;=StatusDate,I136+ROW()/100000,""))</f>
        <v/>
      </c>
      <c r="AB136" s="99">
        <f>IF(A136="","",IF(AND(G136&lt;&gt;"Completed",OR(G136="Blocked",AND(TRIM(P136)&lt;&gt;"",P136&lt;&gt;"None"))),ROW(),""))</f>
        <v/>
      </c>
      <c r="AC136" s="99">
        <f>IF(A136="","",IF(G136="Completed","Done",IF(G136="Blocked","Blocked",IF(X136="OVERDUE","Overdue",IF(AND(W136&lt;&gt;"",W136&lt;=2),"Due soon",IF(AND(Y136&lt;&gt;"",LEFT(Y136,1)="⏳",G136&lt;&gt;"Not Started"),"Dependency open",IF(AND(S136&lt;&gt;"None",S136&lt;&gt;"",G136&lt;&gt;"Completed"),"External req.","On track")))))))</f>
        <v/>
      </c>
    </row>
    <row r="137" ht="18" customHeight="1">
      <c r="A137" s="89" t="n"/>
      <c r="B137" s="90" t="n"/>
      <c r="C137" s="91" t="n"/>
      <c r="D137" s="91" t="n"/>
      <c r="E137" s="91" t="n"/>
      <c r="F137" s="90" t="n"/>
      <c r="G137" s="92" t="n"/>
      <c r="H137" s="93" t="n"/>
      <c r="I137" s="93" t="n"/>
      <c r="J137" s="94" t="n"/>
      <c r="K137" s="91" t="n"/>
      <c r="L137" s="91" t="n"/>
      <c r="M137" s="91" t="n"/>
      <c r="N137" s="91" t="n"/>
      <c r="O137" s="91" t="n"/>
      <c r="P137" s="95" t="n"/>
      <c r="Q137" s="95" t="n"/>
      <c r="R137" s="96" t="n"/>
      <c r="S137" s="91" t="n"/>
      <c r="T137" s="92" t="n"/>
      <c r="U137" s="97">
        <f>IF(A137="",0,IF(G137="Completed",1,IF(G137="Not Started",0,MIN(0.99,N(J137)))))</f>
        <v/>
      </c>
      <c r="V137" s="97">
        <f>IF(OR(A137="",H137="",I137=""),0,MAX(0,MIN(1,(StatusDate-H137+1)/(I137-H137+1))))</f>
        <v/>
      </c>
      <c r="W137" s="98">
        <f>IF(OR(A137="",I137="",G137="Completed"),"",I137-StatusDate)</f>
        <v/>
      </c>
      <c r="X137" s="99">
        <f>IF(A137="","",IF(AND(G137&lt;&gt;"Completed",I137&lt;&gt;"",I137&lt;StatusDate),"OVERDUE",""))</f>
        <v/>
      </c>
      <c r="Y137" s="99">
        <f>IF(OR(A137="",K137=""),"",IF(SUMPRODUCT(($A$6:$A$400&lt;&gt;"")*ISNUMBER(SEARCH($A$6:$A$400,K137))*($G$6:$G$400&lt;&gt;"Completed"))=0,"✓ Ready","⏳ "&amp;SUMPRODUCT(($A$6:$A$400&lt;&gt;"")*ISNUMBER(SEARCH($A$6:$A$400,K137))*($G$6:$G$400&lt;&gt;"Completed"))&amp;" open"))</f>
        <v/>
      </c>
      <c r="Z137" s="99">
        <f>IF(A137="","",B137&amp;"|"&amp;COUNTIFS($B$6:B137,B137,$A$6:A137,"?*"))</f>
        <v/>
      </c>
      <c r="AA137" s="99">
        <f>IF(OR(A137="",I137="",G137="Completed"),"",IF(I137&gt;=StatusDate,I137+ROW()/100000,""))</f>
        <v/>
      </c>
      <c r="AB137" s="99">
        <f>IF(A137="","",IF(AND(G137&lt;&gt;"Completed",OR(G137="Blocked",AND(TRIM(P137)&lt;&gt;"",P137&lt;&gt;"None"))),ROW(),""))</f>
        <v/>
      </c>
      <c r="AC137" s="99">
        <f>IF(A137="","",IF(G137="Completed","Done",IF(G137="Blocked","Blocked",IF(X137="OVERDUE","Overdue",IF(AND(W137&lt;&gt;"",W137&lt;=2),"Due soon",IF(AND(Y137&lt;&gt;"",LEFT(Y137,1)="⏳",G137&lt;&gt;"Not Started"),"Dependency open",IF(AND(S137&lt;&gt;"None",S137&lt;&gt;"",G137&lt;&gt;"Completed"),"External req.","On track")))))))</f>
        <v/>
      </c>
    </row>
    <row r="138" ht="18" customHeight="1">
      <c r="A138" s="89" t="n"/>
      <c r="B138" s="90" t="n"/>
      <c r="C138" s="91" t="n"/>
      <c r="D138" s="91" t="n"/>
      <c r="E138" s="91" t="n"/>
      <c r="F138" s="90" t="n"/>
      <c r="G138" s="92" t="n"/>
      <c r="H138" s="93" t="n"/>
      <c r="I138" s="93" t="n"/>
      <c r="J138" s="94" t="n"/>
      <c r="K138" s="91" t="n"/>
      <c r="L138" s="91" t="n"/>
      <c r="M138" s="91" t="n"/>
      <c r="N138" s="91" t="n"/>
      <c r="O138" s="91" t="n"/>
      <c r="P138" s="95" t="n"/>
      <c r="Q138" s="95" t="n"/>
      <c r="R138" s="96" t="n"/>
      <c r="S138" s="91" t="n"/>
      <c r="T138" s="92" t="n"/>
      <c r="U138" s="97">
        <f>IF(A138="",0,IF(G138="Completed",1,IF(G138="Not Started",0,MIN(0.99,N(J138)))))</f>
        <v/>
      </c>
      <c r="V138" s="97">
        <f>IF(OR(A138="",H138="",I138=""),0,MAX(0,MIN(1,(StatusDate-H138+1)/(I138-H138+1))))</f>
        <v/>
      </c>
      <c r="W138" s="98">
        <f>IF(OR(A138="",I138="",G138="Completed"),"",I138-StatusDate)</f>
        <v/>
      </c>
      <c r="X138" s="99">
        <f>IF(A138="","",IF(AND(G138&lt;&gt;"Completed",I138&lt;&gt;"",I138&lt;StatusDate),"OVERDUE",""))</f>
        <v/>
      </c>
      <c r="Y138" s="99">
        <f>IF(OR(A138="",K138=""),"",IF(SUMPRODUCT(($A$6:$A$400&lt;&gt;"")*ISNUMBER(SEARCH($A$6:$A$400,K138))*($G$6:$G$400&lt;&gt;"Completed"))=0,"✓ Ready","⏳ "&amp;SUMPRODUCT(($A$6:$A$400&lt;&gt;"")*ISNUMBER(SEARCH($A$6:$A$400,K138))*($G$6:$G$400&lt;&gt;"Completed"))&amp;" open"))</f>
        <v/>
      </c>
      <c r="Z138" s="99">
        <f>IF(A138="","",B138&amp;"|"&amp;COUNTIFS($B$6:B138,B138,$A$6:A138,"?*"))</f>
        <v/>
      </c>
      <c r="AA138" s="99">
        <f>IF(OR(A138="",I138="",G138="Completed"),"",IF(I138&gt;=StatusDate,I138+ROW()/100000,""))</f>
        <v/>
      </c>
      <c r="AB138" s="99">
        <f>IF(A138="","",IF(AND(G138&lt;&gt;"Completed",OR(G138="Blocked",AND(TRIM(P138)&lt;&gt;"",P138&lt;&gt;"None"))),ROW(),""))</f>
        <v/>
      </c>
      <c r="AC138" s="99">
        <f>IF(A138="","",IF(G138="Completed","Done",IF(G138="Blocked","Blocked",IF(X138="OVERDUE","Overdue",IF(AND(W138&lt;&gt;"",W138&lt;=2),"Due soon",IF(AND(Y138&lt;&gt;"",LEFT(Y138,1)="⏳",G138&lt;&gt;"Not Started"),"Dependency open",IF(AND(S138&lt;&gt;"None",S138&lt;&gt;"",G138&lt;&gt;"Completed"),"External req.","On track")))))))</f>
        <v/>
      </c>
    </row>
    <row r="139" ht="18" customHeight="1">
      <c r="A139" s="89" t="n"/>
      <c r="B139" s="90" t="n"/>
      <c r="C139" s="91" t="n"/>
      <c r="D139" s="91" t="n"/>
      <c r="E139" s="91" t="n"/>
      <c r="F139" s="90" t="n"/>
      <c r="G139" s="92" t="n"/>
      <c r="H139" s="93" t="n"/>
      <c r="I139" s="93" t="n"/>
      <c r="J139" s="94" t="n"/>
      <c r="K139" s="91" t="n"/>
      <c r="L139" s="91" t="n"/>
      <c r="M139" s="91" t="n"/>
      <c r="N139" s="91" t="n"/>
      <c r="O139" s="91" t="n"/>
      <c r="P139" s="95" t="n"/>
      <c r="Q139" s="95" t="n"/>
      <c r="R139" s="96" t="n"/>
      <c r="S139" s="91" t="n"/>
      <c r="T139" s="92" t="n"/>
      <c r="U139" s="97">
        <f>IF(A139="",0,IF(G139="Completed",1,IF(G139="Not Started",0,MIN(0.99,N(J139)))))</f>
        <v/>
      </c>
      <c r="V139" s="97">
        <f>IF(OR(A139="",H139="",I139=""),0,MAX(0,MIN(1,(StatusDate-H139+1)/(I139-H139+1))))</f>
        <v/>
      </c>
      <c r="W139" s="98">
        <f>IF(OR(A139="",I139="",G139="Completed"),"",I139-StatusDate)</f>
        <v/>
      </c>
      <c r="X139" s="99">
        <f>IF(A139="","",IF(AND(G139&lt;&gt;"Completed",I139&lt;&gt;"",I139&lt;StatusDate),"OVERDUE",""))</f>
        <v/>
      </c>
      <c r="Y139" s="99">
        <f>IF(OR(A139="",K139=""),"",IF(SUMPRODUCT(($A$6:$A$400&lt;&gt;"")*ISNUMBER(SEARCH($A$6:$A$400,K139))*($G$6:$G$400&lt;&gt;"Completed"))=0,"✓ Ready","⏳ "&amp;SUMPRODUCT(($A$6:$A$400&lt;&gt;"")*ISNUMBER(SEARCH($A$6:$A$400,K139))*($G$6:$G$400&lt;&gt;"Completed"))&amp;" open"))</f>
        <v/>
      </c>
      <c r="Z139" s="99">
        <f>IF(A139="","",B139&amp;"|"&amp;COUNTIFS($B$6:B139,B139,$A$6:A139,"?*"))</f>
        <v/>
      </c>
      <c r="AA139" s="99">
        <f>IF(OR(A139="",I139="",G139="Completed"),"",IF(I139&gt;=StatusDate,I139+ROW()/100000,""))</f>
        <v/>
      </c>
      <c r="AB139" s="99">
        <f>IF(A139="","",IF(AND(G139&lt;&gt;"Completed",OR(G139="Blocked",AND(TRIM(P139)&lt;&gt;"",P139&lt;&gt;"None"))),ROW(),""))</f>
        <v/>
      </c>
      <c r="AC139" s="99">
        <f>IF(A139="","",IF(G139="Completed","Done",IF(G139="Blocked","Blocked",IF(X139="OVERDUE","Overdue",IF(AND(W139&lt;&gt;"",W139&lt;=2),"Due soon",IF(AND(Y139&lt;&gt;"",LEFT(Y139,1)="⏳",G139&lt;&gt;"Not Started"),"Dependency open",IF(AND(S139&lt;&gt;"None",S139&lt;&gt;"",G139&lt;&gt;"Completed"),"External req.","On track")))))))</f>
        <v/>
      </c>
    </row>
    <row r="140" ht="18" customHeight="1">
      <c r="A140" s="89" t="n"/>
      <c r="B140" s="90" t="n"/>
      <c r="C140" s="91" t="n"/>
      <c r="D140" s="91" t="n"/>
      <c r="E140" s="91" t="n"/>
      <c r="F140" s="90" t="n"/>
      <c r="G140" s="92" t="n"/>
      <c r="H140" s="93" t="n"/>
      <c r="I140" s="93" t="n"/>
      <c r="J140" s="94" t="n"/>
      <c r="K140" s="91" t="n"/>
      <c r="L140" s="91" t="n"/>
      <c r="M140" s="91" t="n"/>
      <c r="N140" s="91" t="n"/>
      <c r="O140" s="91" t="n"/>
      <c r="P140" s="95" t="n"/>
      <c r="Q140" s="95" t="n"/>
      <c r="R140" s="96" t="n"/>
      <c r="S140" s="91" t="n"/>
      <c r="T140" s="92" t="n"/>
      <c r="U140" s="97">
        <f>IF(A140="",0,IF(G140="Completed",1,IF(G140="Not Started",0,MIN(0.99,N(J140)))))</f>
        <v/>
      </c>
      <c r="V140" s="97">
        <f>IF(OR(A140="",H140="",I140=""),0,MAX(0,MIN(1,(StatusDate-H140+1)/(I140-H140+1))))</f>
        <v/>
      </c>
      <c r="W140" s="98">
        <f>IF(OR(A140="",I140="",G140="Completed"),"",I140-StatusDate)</f>
        <v/>
      </c>
      <c r="X140" s="99">
        <f>IF(A140="","",IF(AND(G140&lt;&gt;"Completed",I140&lt;&gt;"",I140&lt;StatusDate),"OVERDUE",""))</f>
        <v/>
      </c>
      <c r="Y140" s="99">
        <f>IF(OR(A140="",K140=""),"",IF(SUMPRODUCT(($A$6:$A$400&lt;&gt;"")*ISNUMBER(SEARCH($A$6:$A$400,K140))*($G$6:$G$400&lt;&gt;"Completed"))=0,"✓ Ready","⏳ "&amp;SUMPRODUCT(($A$6:$A$400&lt;&gt;"")*ISNUMBER(SEARCH($A$6:$A$400,K140))*($G$6:$G$400&lt;&gt;"Completed"))&amp;" open"))</f>
        <v/>
      </c>
      <c r="Z140" s="99">
        <f>IF(A140="","",B140&amp;"|"&amp;COUNTIFS($B$6:B140,B140,$A$6:A140,"?*"))</f>
        <v/>
      </c>
      <c r="AA140" s="99">
        <f>IF(OR(A140="",I140="",G140="Completed"),"",IF(I140&gt;=StatusDate,I140+ROW()/100000,""))</f>
        <v/>
      </c>
      <c r="AB140" s="99">
        <f>IF(A140="","",IF(AND(G140&lt;&gt;"Completed",OR(G140="Blocked",AND(TRIM(P140)&lt;&gt;"",P140&lt;&gt;"None"))),ROW(),""))</f>
        <v/>
      </c>
      <c r="AC140" s="99">
        <f>IF(A140="","",IF(G140="Completed","Done",IF(G140="Blocked","Blocked",IF(X140="OVERDUE","Overdue",IF(AND(W140&lt;&gt;"",W140&lt;=2),"Due soon",IF(AND(Y140&lt;&gt;"",LEFT(Y140,1)="⏳",G140&lt;&gt;"Not Started"),"Dependency open",IF(AND(S140&lt;&gt;"None",S140&lt;&gt;"",G140&lt;&gt;"Completed"),"External req.","On track")))))))</f>
        <v/>
      </c>
    </row>
    <row r="141" ht="18" customHeight="1">
      <c r="A141" s="89" t="n"/>
      <c r="B141" s="90" t="n"/>
      <c r="C141" s="91" t="n"/>
      <c r="D141" s="91" t="n"/>
      <c r="E141" s="91" t="n"/>
      <c r="F141" s="90" t="n"/>
      <c r="G141" s="92" t="n"/>
      <c r="H141" s="93" t="n"/>
      <c r="I141" s="93" t="n"/>
      <c r="J141" s="94" t="n"/>
      <c r="K141" s="91" t="n"/>
      <c r="L141" s="91" t="n"/>
      <c r="M141" s="91" t="n"/>
      <c r="N141" s="91" t="n"/>
      <c r="O141" s="91" t="n"/>
      <c r="P141" s="95" t="n"/>
      <c r="Q141" s="95" t="n"/>
      <c r="R141" s="96" t="n"/>
      <c r="S141" s="91" t="n"/>
      <c r="T141" s="92" t="n"/>
      <c r="U141" s="97">
        <f>IF(A141="",0,IF(G141="Completed",1,IF(G141="Not Started",0,MIN(0.99,N(J141)))))</f>
        <v/>
      </c>
      <c r="V141" s="97">
        <f>IF(OR(A141="",H141="",I141=""),0,MAX(0,MIN(1,(StatusDate-H141+1)/(I141-H141+1))))</f>
        <v/>
      </c>
      <c r="W141" s="98">
        <f>IF(OR(A141="",I141="",G141="Completed"),"",I141-StatusDate)</f>
        <v/>
      </c>
      <c r="X141" s="99">
        <f>IF(A141="","",IF(AND(G141&lt;&gt;"Completed",I141&lt;&gt;"",I141&lt;StatusDate),"OVERDUE",""))</f>
        <v/>
      </c>
      <c r="Y141" s="99">
        <f>IF(OR(A141="",K141=""),"",IF(SUMPRODUCT(($A$6:$A$400&lt;&gt;"")*ISNUMBER(SEARCH($A$6:$A$400,K141))*($G$6:$G$400&lt;&gt;"Completed"))=0,"✓ Ready","⏳ "&amp;SUMPRODUCT(($A$6:$A$400&lt;&gt;"")*ISNUMBER(SEARCH($A$6:$A$400,K141))*($G$6:$G$400&lt;&gt;"Completed"))&amp;" open"))</f>
        <v/>
      </c>
      <c r="Z141" s="99">
        <f>IF(A141="","",B141&amp;"|"&amp;COUNTIFS($B$6:B141,B141,$A$6:A141,"?*"))</f>
        <v/>
      </c>
      <c r="AA141" s="99">
        <f>IF(OR(A141="",I141="",G141="Completed"),"",IF(I141&gt;=StatusDate,I141+ROW()/100000,""))</f>
        <v/>
      </c>
      <c r="AB141" s="99">
        <f>IF(A141="","",IF(AND(G141&lt;&gt;"Completed",OR(G141="Blocked",AND(TRIM(P141)&lt;&gt;"",P141&lt;&gt;"None"))),ROW(),""))</f>
        <v/>
      </c>
      <c r="AC141" s="99">
        <f>IF(A141="","",IF(G141="Completed","Done",IF(G141="Blocked","Blocked",IF(X141="OVERDUE","Overdue",IF(AND(W141&lt;&gt;"",W141&lt;=2),"Due soon",IF(AND(Y141&lt;&gt;"",LEFT(Y141,1)="⏳",G141&lt;&gt;"Not Started"),"Dependency open",IF(AND(S141&lt;&gt;"None",S141&lt;&gt;"",G141&lt;&gt;"Completed"),"External req.","On track")))))))</f>
        <v/>
      </c>
    </row>
    <row r="142" ht="18" customHeight="1">
      <c r="A142" s="89" t="n"/>
      <c r="B142" s="90" t="n"/>
      <c r="C142" s="91" t="n"/>
      <c r="D142" s="91" t="n"/>
      <c r="E142" s="91" t="n"/>
      <c r="F142" s="90" t="n"/>
      <c r="G142" s="92" t="n"/>
      <c r="H142" s="93" t="n"/>
      <c r="I142" s="93" t="n"/>
      <c r="J142" s="94" t="n"/>
      <c r="K142" s="91" t="n"/>
      <c r="L142" s="91" t="n"/>
      <c r="M142" s="91" t="n"/>
      <c r="N142" s="91" t="n"/>
      <c r="O142" s="91" t="n"/>
      <c r="P142" s="95" t="n"/>
      <c r="Q142" s="95" t="n"/>
      <c r="R142" s="96" t="n"/>
      <c r="S142" s="91" t="n"/>
      <c r="T142" s="92" t="n"/>
      <c r="U142" s="97">
        <f>IF(A142="",0,IF(G142="Completed",1,IF(G142="Not Started",0,MIN(0.99,N(J142)))))</f>
        <v/>
      </c>
      <c r="V142" s="97">
        <f>IF(OR(A142="",H142="",I142=""),0,MAX(0,MIN(1,(StatusDate-H142+1)/(I142-H142+1))))</f>
        <v/>
      </c>
      <c r="W142" s="98">
        <f>IF(OR(A142="",I142="",G142="Completed"),"",I142-StatusDate)</f>
        <v/>
      </c>
      <c r="X142" s="99">
        <f>IF(A142="","",IF(AND(G142&lt;&gt;"Completed",I142&lt;&gt;"",I142&lt;StatusDate),"OVERDUE",""))</f>
        <v/>
      </c>
      <c r="Y142" s="99">
        <f>IF(OR(A142="",K142=""),"",IF(SUMPRODUCT(($A$6:$A$400&lt;&gt;"")*ISNUMBER(SEARCH($A$6:$A$400,K142))*($G$6:$G$400&lt;&gt;"Completed"))=0,"✓ Ready","⏳ "&amp;SUMPRODUCT(($A$6:$A$400&lt;&gt;"")*ISNUMBER(SEARCH($A$6:$A$400,K142))*($G$6:$G$400&lt;&gt;"Completed"))&amp;" open"))</f>
        <v/>
      </c>
      <c r="Z142" s="99">
        <f>IF(A142="","",B142&amp;"|"&amp;COUNTIFS($B$6:B142,B142,$A$6:A142,"?*"))</f>
        <v/>
      </c>
      <c r="AA142" s="99">
        <f>IF(OR(A142="",I142="",G142="Completed"),"",IF(I142&gt;=StatusDate,I142+ROW()/100000,""))</f>
        <v/>
      </c>
      <c r="AB142" s="99">
        <f>IF(A142="","",IF(AND(G142&lt;&gt;"Completed",OR(G142="Blocked",AND(TRIM(P142)&lt;&gt;"",P142&lt;&gt;"None"))),ROW(),""))</f>
        <v/>
      </c>
      <c r="AC142" s="99">
        <f>IF(A142="","",IF(G142="Completed","Done",IF(G142="Blocked","Blocked",IF(X142="OVERDUE","Overdue",IF(AND(W142&lt;&gt;"",W142&lt;=2),"Due soon",IF(AND(Y142&lt;&gt;"",LEFT(Y142,1)="⏳",G142&lt;&gt;"Not Started"),"Dependency open",IF(AND(S142&lt;&gt;"None",S142&lt;&gt;"",G142&lt;&gt;"Completed"),"External req.","On track")))))))</f>
        <v/>
      </c>
    </row>
    <row r="143" ht="18" customHeight="1">
      <c r="A143" s="89" t="n"/>
      <c r="B143" s="90" t="n"/>
      <c r="C143" s="91" t="n"/>
      <c r="D143" s="91" t="n"/>
      <c r="E143" s="91" t="n"/>
      <c r="F143" s="90" t="n"/>
      <c r="G143" s="92" t="n"/>
      <c r="H143" s="93" t="n"/>
      <c r="I143" s="93" t="n"/>
      <c r="J143" s="94" t="n"/>
      <c r="K143" s="91" t="n"/>
      <c r="L143" s="91" t="n"/>
      <c r="M143" s="91" t="n"/>
      <c r="N143" s="91" t="n"/>
      <c r="O143" s="91" t="n"/>
      <c r="P143" s="95" t="n"/>
      <c r="Q143" s="95" t="n"/>
      <c r="R143" s="96" t="n"/>
      <c r="S143" s="91" t="n"/>
      <c r="T143" s="92" t="n"/>
      <c r="U143" s="97">
        <f>IF(A143="",0,IF(G143="Completed",1,IF(G143="Not Started",0,MIN(0.99,N(J143)))))</f>
        <v/>
      </c>
      <c r="V143" s="97">
        <f>IF(OR(A143="",H143="",I143=""),0,MAX(0,MIN(1,(StatusDate-H143+1)/(I143-H143+1))))</f>
        <v/>
      </c>
      <c r="W143" s="98">
        <f>IF(OR(A143="",I143="",G143="Completed"),"",I143-StatusDate)</f>
        <v/>
      </c>
      <c r="X143" s="99">
        <f>IF(A143="","",IF(AND(G143&lt;&gt;"Completed",I143&lt;&gt;"",I143&lt;StatusDate),"OVERDUE",""))</f>
        <v/>
      </c>
      <c r="Y143" s="99">
        <f>IF(OR(A143="",K143=""),"",IF(SUMPRODUCT(($A$6:$A$400&lt;&gt;"")*ISNUMBER(SEARCH($A$6:$A$400,K143))*($G$6:$G$400&lt;&gt;"Completed"))=0,"✓ Ready","⏳ "&amp;SUMPRODUCT(($A$6:$A$400&lt;&gt;"")*ISNUMBER(SEARCH($A$6:$A$400,K143))*($G$6:$G$400&lt;&gt;"Completed"))&amp;" open"))</f>
        <v/>
      </c>
      <c r="Z143" s="99">
        <f>IF(A143="","",B143&amp;"|"&amp;COUNTIFS($B$6:B143,B143,$A$6:A143,"?*"))</f>
        <v/>
      </c>
      <c r="AA143" s="99">
        <f>IF(OR(A143="",I143="",G143="Completed"),"",IF(I143&gt;=StatusDate,I143+ROW()/100000,""))</f>
        <v/>
      </c>
      <c r="AB143" s="99">
        <f>IF(A143="","",IF(AND(G143&lt;&gt;"Completed",OR(G143="Blocked",AND(TRIM(P143)&lt;&gt;"",P143&lt;&gt;"None"))),ROW(),""))</f>
        <v/>
      </c>
      <c r="AC143" s="99">
        <f>IF(A143="","",IF(G143="Completed","Done",IF(G143="Blocked","Blocked",IF(X143="OVERDUE","Overdue",IF(AND(W143&lt;&gt;"",W143&lt;=2),"Due soon",IF(AND(Y143&lt;&gt;"",LEFT(Y143,1)="⏳",G143&lt;&gt;"Not Started"),"Dependency open",IF(AND(S143&lt;&gt;"None",S143&lt;&gt;"",G143&lt;&gt;"Completed"),"External req.","On track")))))))</f>
        <v/>
      </c>
    </row>
    <row r="144" ht="18" customHeight="1">
      <c r="A144" s="89" t="n"/>
      <c r="B144" s="90" t="n"/>
      <c r="C144" s="91" t="n"/>
      <c r="D144" s="91" t="n"/>
      <c r="E144" s="91" t="n"/>
      <c r="F144" s="90" t="n"/>
      <c r="G144" s="92" t="n"/>
      <c r="H144" s="93" t="n"/>
      <c r="I144" s="93" t="n"/>
      <c r="J144" s="94" t="n"/>
      <c r="K144" s="91" t="n"/>
      <c r="L144" s="91" t="n"/>
      <c r="M144" s="91" t="n"/>
      <c r="N144" s="91" t="n"/>
      <c r="O144" s="91" t="n"/>
      <c r="P144" s="95" t="n"/>
      <c r="Q144" s="95" t="n"/>
      <c r="R144" s="96" t="n"/>
      <c r="S144" s="91" t="n"/>
      <c r="T144" s="92" t="n"/>
      <c r="U144" s="97">
        <f>IF(A144="",0,IF(G144="Completed",1,IF(G144="Not Started",0,MIN(0.99,N(J144)))))</f>
        <v/>
      </c>
      <c r="V144" s="97">
        <f>IF(OR(A144="",H144="",I144=""),0,MAX(0,MIN(1,(StatusDate-H144+1)/(I144-H144+1))))</f>
        <v/>
      </c>
      <c r="W144" s="98">
        <f>IF(OR(A144="",I144="",G144="Completed"),"",I144-StatusDate)</f>
        <v/>
      </c>
      <c r="X144" s="99">
        <f>IF(A144="","",IF(AND(G144&lt;&gt;"Completed",I144&lt;&gt;"",I144&lt;StatusDate),"OVERDUE",""))</f>
        <v/>
      </c>
      <c r="Y144" s="99">
        <f>IF(OR(A144="",K144=""),"",IF(SUMPRODUCT(($A$6:$A$400&lt;&gt;"")*ISNUMBER(SEARCH($A$6:$A$400,K144))*($G$6:$G$400&lt;&gt;"Completed"))=0,"✓ Ready","⏳ "&amp;SUMPRODUCT(($A$6:$A$400&lt;&gt;"")*ISNUMBER(SEARCH($A$6:$A$400,K144))*($G$6:$G$400&lt;&gt;"Completed"))&amp;" open"))</f>
        <v/>
      </c>
      <c r="Z144" s="99">
        <f>IF(A144="","",B144&amp;"|"&amp;COUNTIFS($B$6:B144,B144,$A$6:A144,"?*"))</f>
        <v/>
      </c>
      <c r="AA144" s="99">
        <f>IF(OR(A144="",I144="",G144="Completed"),"",IF(I144&gt;=StatusDate,I144+ROW()/100000,""))</f>
        <v/>
      </c>
      <c r="AB144" s="99">
        <f>IF(A144="","",IF(AND(G144&lt;&gt;"Completed",OR(G144="Blocked",AND(TRIM(P144)&lt;&gt;"",P144&lt;&gt;"None"))),ROW(),""))</f>
        <v/>
      </c>
      <c r="AC144" s="99">
        <f>IF(A144="","",IF(G144="Completed","Done",IF(G144="Blocked","Blocked",IF(X144="OVERDUE","Overdue",IF(AND(W144&lt;&gt;"",W144&lt;=2),"Due soon",IF(AND(Y144&lt;&gt;"",LEFT(Y144,1)="⏳",G144&lt;&gt;"Not Started"),"Dependency open",IF(AND(S144&lt;&gt;"None",S144&lt;&gt;"",G144&lt;&gt;"Completed"),"External req.","On track")))))))</f>
        <v/>
      </c>
    </row>
    <row r="145" ht="18" customHeight="1">
      <c r="A145" s="89" t="n"/>
      <c r="B145" s="90" t="n"/>
      <c r="C145" s="91" t="n"/>
      <c r="D145" s="91" t="n"/>
      <c r="E145" s="91" t="n"/>
      <c r="F145" s="90" t="n"/>
      <c r="G145" s="92" t="n"/>
      <c r="H145" s="93" t="n"/>
      <c r="I145" s="93" t="n"/>
      <c r="J145" s="94" t="n"/>
      <c r="K145" s="91" t="n"/>
      <c r="L145" s="91" t="n"/>
      <c r="M145" s="91" t="n"/>
      <c r="N145" s="91" t="n"/>
      <c r="O145" s="91" t="n"/>
      <c r="P145" s="95" t="n"/>
      <c r="Q145" s="95" t="n"/>
      <c r="R145" s="96" t="n"/>
      <c r="S145" s="91" t="n"/>
      <c r="T145" s="92" t="n"/>
      <c r="U145" s="97">
        <f>IF(A145="",0,IF(G145="Completed",1,IF(G145="Not Started",0,MIN(0.99,N(J145)))))</f>
        <v/>
      </c>
      <c r="V145" s="97">
        <f>IF(OR(A145="",H145="",I145=""),0,MAX(0,MIN(1,(StatusDate-H145+1)/(I145-H145+1))))</f>
        <v/>
      </c>
      <c r="W145" s="98">
        <f>IF(OR(A145="",I145="",G145="Completed"),"",I145-StatusDate)</f>
        <v/>
      </c>
      <c r="X145" s="99">
        <f>IF(A145="","",IF(AND(G145&lt;&gt;"Completed",I145&lt;&gt;"",I145&lt;StatusDate),"OVERDUE",""))</f>
        <v/>
      </c>
      <c r="Y145" s="99">
        <f>IF(OR(A145="",K145=""),"",IF(SUMPRODUCT(($A$6:$A$400&lt;&gt;"")*ISNUMBER(SEARCH($A$6:$A$400,K145))*($G$6:$G$400&lt;&gt;"Completed"))=0,"✓ Ready","⏳ "&amp;SUMPRODUCT(($A$6:$A$400&lt;&gt;"")*ISNUMBER(SEARCH($A$6:$A$400,K145))*($G$6:$G$400&lt;&gt;"Completed"))&amp;" open"))</f>
        <v/>
      </c>
      <c r="Z145" s="99">
        <f>IF(A145="","",B145&amp;"|"&amp;COUNTIFS($B$6:B145,B145,$A$6:A145,"?*"))</f>
        <v/>
      </c>
      <c r="AA145" s="99">
        <f>IF(OR(A145="",I145="",G145="Completed"),"",IF(I145&gt;=StatusDate,I145+ROW()/100000,""))</f>
        <v/>
      </c>
      <c r="AB145" s="99">
        <f>IF(A145="","",IF(AND(G145&lt;&gt;"Completed",OR(G145="Blocked",AND(TRIM(P145)&lt;&gt;"",P145&lt;&gt;"None"))),ROW(),""))</f>
        <v/>
      </c>
      <c r="AC145" s="99">
        <f>IF(A145="","",IF(G145="Completed","Done",IF(G145="Blocked","Blocked",IF(X145="OVERDUE","Overdue",IF(AND(W145&lt;&gt;"",W145&lt;=2),"Due soon",IF(AND(Y145&lt;&gt;"",LEFT(Y145,1)="⏳",G145&lt;&gt;"Not Started"),"Dependency open",IF(AND(S145&lt;&gt;"None",S145&lt;&gt;"",G145&lt;&gt;"Completed"),"External req.","On track")))))))</f>
        <v/>
      </c>
    </row>
    <row r="146" ht="18" customHeight="1">
      <c r="A146" s="89" t="n"/>
      <c r="B146" s="90" t="n"/>
      <c r="C146" s="91" t="n"/>
      <c r="D146" s="91" t="n"/>
      <c r="E146" s="91" t="n"/>
      <c r="F146" s="90" t="n"/>
      <c r="G146" s="92" t="n"/>
      <c r="H146" s="93" t="n"/>
      <c r="I146" s="93" t="n"/>
      <c r="J146" s="94" t="n"/>
      <c r="K146" s="91" t="n"/>
      <c r="L146" s="91" t="n"/>
      <c r="M146" s="91" t="n"/>
      <c r="N146" s="91" t="n"/>
      <c r="O146" s="91" t="n"/>
      <c r="P146" s="95" t="n"/>
      <c r="Q146" s="95" t="n"/>
      <c r="R146" s="96" t="n"/>
      <c r="S146" s="91" t="n"/>
      <c r="T146" s="92" t="n"/>
      <c r="U146" s="97">
        <f>IF(A146="",0,IF(G146="Completed",1,IF(G146="Not Started",0,MIN(0.99,N(J146)))))</f>
        <v/>
      </c>
      <c r="V146" s="97">
        <f>IF(OR(A146="",H146="",I146=""),0,MAX(0,MIN(1,(StatusDate-H146+1)/(I146-H146+1))))</f>
        <v/>
      </c>
      <c r="W146" s="98">
        <f>IF(OR(A146="",I146="",G146="Completed"),"",I146-StatusDate)</f>
        <v/>
      </c>
      <c r="X146" s="99">
        <f>IF(A146="","",IF(AND(G146&lt;&gt;"Completed",I146&lt;&gt;"",I146&lt;StatusDate),"OVERDUE",""))</f>
        <v/>
      </c>
      <c r="Y146" s="99">
        <f>IF(OR(A146="",K146=""),"",IF(SUMPRODUCT(($A$6:$A$400&lt;&gt;"")*ISNUMBER(SEARCH($A$6:$A$400,K146))*($G$6:$G$400&lt;&gt;"Completed"))=0,"✓ Ready","⏳ "&amp;SUMPRODUCT(($A$6:$A$400&lt;&gt;"")*ISNUMBER(SEARCH($A$6:$A$400,K146))*($G$6:$G$400&lt;&gt;"Completed"))&amp;" open"))</f>
        <v/>
      </c>
      <c r="Z146" s="99">
        <f>IF(A146="","",B146&amp;"|"&amp;COUNTIFS($B$6:B146,B146,$A$6:A146,"?*"))</f>
        <v/>
      </c>
      <c r="AA146" s="99">
        <f>IF(OR(A146="",I146="",G146="Completed"),"",IF(I146&gt;=StatusDate,I146+ROW()/100000,""))</f>
        <v/>
      </c>
      <c r="AB146" s="99">
        <f>IF(A146="","",IF(AND(G146&lt;&gt;"Completed",OR(G146="Blocked",AND(TRIM(P146)&lt;&gt;"",P146&lt;&gt;"None"))),ROW(),""))</f>
        <v/>
      </c>
      <c r="AC146" s="99">
        <f>IF(A146="","",IF(G146="Completed","Done",IF(G146="Blocked","Blocked",IF(X146="OVERDUE","Overdue",IF(AND(W146&lt;&gt;"",W146&lt;=2),"Due soon",IF(AND(Y146&lt;&gt;"",LEFT(Y146,1)="⏳",G146&lt;&gt;"Not Started"),"Dependency open",IF(AND(S146&lt;&gt;"None",S146&lt;&gt;"",G146&lt;&gt;"Completed"),"External req.","On track")))))))</f>
        <v/>
      </c>
    </row>
  </sheetData>
  <mergeCells count="2">
    <mergeCell ref="A2:AC2"/>
    <mergeCell ref="A1:AC1"/>
  </mergeCells>
  <conditionalFormatting sqref="A6:T146">
    <cfRule type="expression" priority="1" dxfId="12" stopIfTrue="1">
      <formula>$X6="OVERDUE"</formula>
    </cfRule>
    <cfRule type="expression" priority="2" dxfId="12">
      <formula>$G6="Blocked"</formula>
    </cfRule>
    <cfRule type="expression" priority="3" dxfId="13">
      <formula>$G6="Completed"</formula>
    </cfRule>
    <cfRule type="expression" priority="4" dxfId="14">
      <formula>$G6="In Progress"</formula>
    </cfRule>
    <cfRule type="expression" priority="5" dxfId="15">
      <formula>$G6="Testing"</formula>
    </cfRule>
    <cfRule type="expression" priority="6" dxfId="15">
      <formula>$G6="In Review"</formula>
    </cfRule>
  </conditionalFormatting>
  <conditionalFormatting sqref="G6:G146">
    <cfRule type="expression" priority="7" dxfId="4">
      <formula>$G6="Completed"</formula>
    </cfRule>
    <cfRule type="expression" priority="8" dxfId="5">
      <formula>$G6="In Progress"</formula>
    </cfRule>
    <cfRule type="expression" priority="9" dxfId="11">
      <formula>$G6="Testing"</formula>
    </cfRule>
    <cfRule type="expression" priority="10" dxfId="11">
      <formula>$G6="In Review"</formula>
    </cfRule>
    <cfRule type="expression" priority="11" dxfId="6">
      <formula>$G6="Blocked"</formula>
    </cfRule>
    <cfRule type="expression" priority="12" dxfId="7">
      <formula>$G6="Not Started"</formula>
    </cfRule>
  </conditionalFormatting>
  <conditionalFormatting sqref="I6:I146">
    <cfRule type="expression" priority="13" dxfId="16">
      <formula>$X6="OVERDUE"</formula>
    </cfRule>
  </conditionalFormatting>
  <conditionalFormatting sqref="X6:X146">
    <cfRule type="expression" priority="14" dxfId="16">
      <formula>$X6="OVERDUE"</formula>
    </cfRule>
  </conditionalFormatting>
  <conditionalFormatting sqref="R6:R146">
    <cfRule type="expression" priority="15" dxfId="17">
      <formula>AND($G6="Completed",$R6="")</formula>
    </cfRule>
  </conditionalFormatting>
  <conditionalFormatting sqref="F6:F146">
    <cfRule type="expression" priority="16" dxfId="6">
      <formula>$F6="P0"</formula>
    </cfRule>
    <cfRule type="expression" priority="17" dxfId="11">
      <formula>$F6="P1"</formula>
    </cfRule>
    <cfRule type="expression" priority="18" dxfId="18">
      <formula>$F6="P2"</formula>
    </cfRule>
  </conditionalFormatting>
  <conditionalFormatting sqref="S6:S146">
    <cfRule type="expression" priority="19" dxfId="19">
      <formula>AND($S6&lt;&gt;"None",$S6&lt;&gt;"",$G6&lt;&gt;"Completed")</formula>
    </cfRule>
  </conditionalFormatting>
  <conditionalFormatting sqref="Y6:Y146">
    <cfRule type="expression" priority="20" dxfId="9">
      <formula>LEFT($Y6,1)="⏳"</formula>
    </cfRule>
  </conditionalFormatting>
  <conditionalFormatting sqref="AC6:AC146">
    <cfRule type="expression" priority="21" dxfId="16">
      <formula>$AC6="Overdue"</formula>
    </cfRule>
    <cfRule type="expression" priority="22" dxfId="16">
      <formula>$AC6="Blocked"</formula>
    </cfRule>
    <cfRule type="expression" priority="23" dxfId="19">
      <formula>$AC6="Due soon"</formula>
    </cfRule>
    <cfRule type="expression" priority="24" dxfId="11">
      <formula>$AC6="Dependency open"</formula>
    </cfRule>
    <cfRule type="expression" priority="25" dxfId="11">
      <formula>$AC6="External req."</formula>
    </cfRule>
    <cfRule type="expression" priority="26" dxfId="4">
      <formula>$AC6="Done"</formula>
    </cfRule>
    <cfRule type="expression" priority="27" dxfId="5">
      <formula>$AC6="On track"</formula>
    </cfRule>
  </conditionalFormatting>
  <conditionalFormatting sqref="J6:J146">
    <cfRule type="dataBar" priority="28">
      <dataBar>
        <cfvo type="num" val="0"/>
        <cfvo type="num" val="1"/>
        <color rgb="0010B981"/>
      </dataBar>
    </cfRule>
  </conditionalFormatting>
  <dataValidations count="13">
    <dataValidation sqref="G6:G146" showDropDown="0" showInputMessage="0" showErrorMessage="1" allowBlank="1" errorTitle="Invalid value" error="Please choose a value from the dropdown list." type="list" errorStyle="stop">
      <formula1>=Lists!$A$2:$A$7</formula1>
    </dataValidation>
    <dataValidation sqref="F6:F146" showDropDown="0" showInputMessage="0" showErrorMessage="1" allowBlank="1" errorTitle="Invalid value" error="Please choose a value from the dropdown list." type="list" errorStyle="stop">
      <formula1>=Lists!$B$2:$B$4</formula1>
    </dataValidation>
    <dataValidation sqref="L6:L146" showDropDown="0" showInputMessage="0" showErrorMessage="1" allowBlank="1" errorTitle="Invalid value" error="Please choose a value from the dropdown list." type="list" errorStyle="stop">
      <formula1>=Lists!$C$2:$C$5</formula1>
    </dataValidation>
    <dataValidation sqref="B6:B146" showDropDown="0" showInputMessage="0" showErrorMessage="1" allowBlank="1" errorTitle="Invalid value" error="Please choose a value from the dropdown list." type="list" errorStyle="stop">
      <formula1>=Lists!$D$2:$D$7</formula1>
    </dataValidation>
    <dataValidation sqref="S6:S146" showDropDown="0" showInputMessage="0" showErrorMessage="1" allowBlank="1" errorTitle="Invalid value" error="Please choose a value from the dropdown list." type="list" errorStyle="stop">
      <formula1>=Lists!$E$2:$E$7</formula1>
    </dataValidation>
    <dataValidation sqref="T6:T146" showDropDown="0" showInputMessage="0" showErrorMessage="1" allowBlank="1" errorTitle="Invalid value" error="Please choose a value from the dropdown list." type="list" errorStyle="stop">
      <formula1>=Lists!$F$2:$F$6</formula1>
    </dataValidation>
    <dataValidation sqref="J6:J146" showDropDown="0" showInputMessage="0" showErrorMessage="1" allowBlank="1" errorTitle="Invalid value" error="Please choose a value from the dropdown list." type="list" errorStyle="stop">
      <formula1>=Lists!$O$2:$O$12</formula1>
    </dataValidation>
    <dataValidation sqref="C6:C146" showDropDown="0" showInputMessage="0" showErrorMessage="1" allowBlank="1" errorTitle="Custom value" error="This value is not in the list — click OK to keep it." type="list" errorStyle="information">
      <formula1>=Lists!$P$2:$P$72</formula1>
    </dataValidation>
    <dataValidation sqref="H6:I146" showDropDown="0" showInputMessage="0" showErrorMessage="1" allowBlank="1" errorTitle="Custom value" error="This value is not in the list — click OK to keep it." type="list" errorStyle="information">
      <formula1>=Lists!$S$2:$S$62</formula1>
    </dataValidation>
    <dataValidation sqref="R6:R146" showDropDown="0" showInputMessage="0" showErrorMessage="1" allowBlank="1" errorTitle="Custom value" error="This value is not in the list — click OK to keep it." type="list" errorStyle="information">
      <formula1>=Lists!$S$2:$S$62</formula1>
    </dataValidation>
    <dataValidation sqref="K6:K146" showDropDown="0" showInputMessage="0" showErrorMessage="1" allowBlank="1" errorTitle="Custom value" error="This value is not in the list — click OK to keep it." type="list" errorStyle="information">
      <formula1>='Master Tracker'!$A$6:$A$400</formula1>
    </dataValidation>
    <dataValidation sqref="P6:P146" showDropDown="0" showInputMessage="0" showErrorMessage="1" allowBlank="1" errorTitle="Custom value" error="This value is not in the list — click OK to keep it." type="list" errorStyle="information">
      <formula1>=Lists!$Q$2:$Q$12</formula1>
    </dataValidation>
    <dataValidation sqref="Q6:Q146" showDropDown="0" showInputMessage="0" showErrorMessage="1" allowBlank="1" errorTitle="Custom value" error="This value is not in the list — click OK to keep it." type="list" errorStyle="information">
      <formula1>=Lists!$R$2:$R$8</formula1>
    </dataValidation>
  </dataValidations>
  <hyperlinks>
    <hyperlink xmlns:r="http://schemas.openxmlformats.org/officeDocument/2006/relationships" ref="G3" r:id="rId1"/>
    <hyperlink xmlns:r="http://schemas.openxmlformats.org/officeDocument/2006/relationships" ref="I3" r:id="rId2"/>
    <hyperlink xmlns:r="http://schemas.openxmlformats.org/officeDocument/2006/relationships" ref="K3" r:id="rId3"/>
  </hyperlinks>
  <pageMargins left="0.75" right="0.75" top="1" bottom="1" header="0.5" footer="0.5"/>
  <pageSetup orientation="landscape" fitToHeight="0" fitToWidth="1"/>
  <tableParts count="1">
    <tablePart xmlns:r="http://schemas.openxmlformats.org/officeDocument/2006/relationships" r:id="rId4"/>
  </tableParts>
</worksheet>
</file>

<file path=xl/worksheets/sheet3.xml><?xml version="1.0" encoding="utf-8"?>
<worksheet xmlns="http://schemas.openxmlformats.org/spreadsheetml/2006/main">
  <sheetPr>
    <tabColor rgb="00334155"/>
    <outlinePr summaryBelow="1" summaryRight="1"/>
    <pageSetUpPr fitToPage="1"/>
  </sheetPr>
  <dimension ref="A1:S65"/>
  <sheetViews>
    <sheetView showGridLines="0" zoomScale="90" workbookViewId="0">
      <pane ySplit="3" topLeftCell="A4" activePane="bottomLeft" state="frozen"/>
      <selection pane="bottomLeft" activeCell="A1" sqref="A1"/>
    </sheetView>
  </sheetViews>
  <sheetFormatPr baseColWidth="8" defaultRowHeight="15"/>
  <cols>
    <col width="5" customWidth="1" min="1" max="1"/>
    <col width="9" customWidth="1" min="2" max="2"/>
    <col width="15" customWidth="1" min="3" max="3"/>
    <col width="32" customWidth="1" min="4" max="4"/>
    <col width="8" customWidth="1" min="5" max="5"/>
    <col width="12" customWidth="1" min="6" max="6"/>
    <col width="10" customWidth="1" min="7" max="7"/>
    <col width="10" customWidth="1" min="8" max="8"/>
    <col width="10" customWidth="1" min="9" max="9"/>
    <col width="16" customWidth="1" min="10" max="10"/>
    <col width="12" customWidth="1" min="11" max="11"/>
    <col width="30" customWidth="1" min="12" max="12"/>
    <col width="38" customWidth="1" min="13" max="13"/>
    <col width="38" customWidth="1" min="14" max="14"/>
    <col width="10" customWidth="1" min="15" max="15"/>
    <col width="13" customWidth="1" min="16" max="16"/>
    <col width="12" customWidth="1" min="17" max="17"/>
    <col width="12" customWidth="1" min="18" max="18"/>
    <col hidden="1" width="4" customWidth="1" min="19" max="19"/>
  </cols>
  <sheetData>
    <row r="1" ht="34" customHeight="1">
      <c r="A1" s="1" t="inlineStr">
        <is>
          <t xml:space="preserve">  PHASE 1 — THEME FOUNDATION &amp; ASSET PIPELINE</t>
        </is>
      </c>
      <c r="B1" s="2" t="n"/>
      <c r="C1" s="2" t="n"/>
      <c r="D1" s="2" t="n"/>
      <c r="E1" s="2" t="n"/>
      <c r="F1" s="2" t="n"/>
      <c r="G1" s="2" t="n"/>
      <c r="H1" s="2" t="n"/>
      <c r="I1" s="2" t="n"/>
      <c r="J1" s="2" t="n"/>
      <c r="K1" s="2" t="n"/>
      <c r="L1" s="2" t="n"/>
      <c r="M1" s="2" t="n"/>
      <c r="N1" s="2" t="n"/>
      <c r="O1" s="2" t="n"/>
      <c r="P1" s="2" t="n"/>
      <c r="Q1" s="2" t="n"/>
      <c r="R1" s="2" t="n"/>
    </row>
    <row r="2" ht="20" customHeight="1">
      <c r="A2" s="3" t="inlineStr">
        <is>
          <t xml:space="preserve">  Window 12 Oct – 14 Oct 2026   ·   Status is read live from the Master Tracker (edit there)</t>
        </is>
      </c>
      <c r="B2" s="4" t="n"/>
      <c r="C2" s="4" t="n"/>
      <c r="D2" s="4" t="n"/>
      <c r="E2" s="4" t="n"/>
      <c r="F2" s="4" t="n"/>
      <c r="G2" s="4" t="n"/>
      <c r="H2" s="4" t="n"/>
      <c r="I2" s="4" t="n"/>
      <c r="J2" s="4" t="n"/>
      <c r="K2" s="4" t="n"/>
      <c r="L2" s="4" t="n"/>
      <c r="M2" s="4" t="n"/>
      <c r="N2" s="4" t="n"/>
      <c r="O2" s="4" t="n"/>
      <c r="P2" s="4" t="n"/>
      <c r="Q2" s="4" t="n"/>
      <c r="R2" s="4" t="n"/>
    </row>
    <row r="3">
      <c r="A3" s="87" t="inlineStr">
        <is>
          <t>← Dashboard</t>
        </is>
      </c>
      <c r="D3" s="87" t="inlineStr">
        <is>
          <t>Open Master Tracker →</t>
        </is>
      </c>
      <c r="F3" s="7" t="inlineStr">
        <is>
          <t>Staging ↗</t>
        </is>
      </c>
    </row>
    <row r="5">
      <c r="A5" s="100" t="inlineStr">
        <is>
          <t>COMPLETION</t>
        </is>
      </c>
      <c r="B5" s="101" t="n"/>
      <c r="C5" s="101" t="n"/>
      <c r="D5" s="100" t="inlineStr">
        <is>
          <t>PLANNED</t>
        </is>
      </c>
      <c r="E5" s="100" t="inlineStr">
        <is>
          <t>TASKS</t>
        </is>
      </c>
      <c r="F5" s="101" t="n"/>
      <c r="G5" s="100" t="inlineStr">
        <is>
          <t>DONE</t>
        </is>
      </c>
      <c r="H5" s="100" t="inlineStr">
        <is>
          <t>IN PROGRESS</t>
        </is>
      </c>
      <c r="I5" s="101" t="n"/>
      <c r="J5" s="100" t="inlineStr">
        <is>
          <t>BLOCKED</t>
        </is>
      </c>
      <c r="K5" s="101" t="n"/>
      <c r="L5" s="100" t="inlineStr">
        <is>
          <t>OVERDUE</t>
        </is>
      </c>
      <c r="M5" s="100" t="inlineStr">
        <is>
          <t>IN REVIEW / TEST</t>
        </is>
      </c>
      <c r="N5" s="100" t="inlineStr">
        <is>
          <t>OPEN P0</t>
        </is>
      </c>
      <c r="O5" s="100" t="inlineStr">
        <is>
          <t>DEADLINE</t>
        </is>
      </c>
      <c r="P5" s="102" t="inlineStr">
        <is>
          <t>PHASE STATUS</t>
        </is>
      </c>
    </row>
    <row r="6" ht="32" customHeight="1">
      <c r="A6" s="103">
        <f>IFERROR(SUMPRODUCT(('Master Tracker'!$B$6:$B$400="Phase 1")*'Master Tracker'!$U$6:$U$400)/COUNTIFS('Master Tracker'!$B$6:$B$400,"Phase 1",'Master Tracker'!$A$6:$A$400,"?*"),0)</f>
        <v/>
      </c>
      <c r="B6" s="104" t="n"/>
      <c r="C6" s="104" t="n"/>
      <c r="D6" s="103">
        <f>IFERROR(SUMPRODUCT(('Master Tracker'!$B$6:$B$400="Phase 1")*'Master Tracker'!$V$6:$V$400)/COUNTIFS('Master Tracker'!$B$6:$B$400,"Phase 1",'Master Tracker'!$A$6:$A$400,"?*"),0)</f>
        <v/>
      </c>
      <c r="E6" s="105">
        <f>COUNTIFS('Master Tracker'!$B$6:$B$400,"Phase 1",'Master Tracker'!$A$6:$A$400,"?*")</f>
        <v/>
      </c>
      <c r="F6" s="104" t="n"/>
      <c r="G6" s="105">
        <f>COUNTIFS('Master Tracker'!$B$6:$B$400,"Phase 1",'Master Tracker'!$G$6:$G$400,"Completed")</f>
        <v/>
      </c>
      <c r="H6" s="105">
        <f>COUNTIFS('Master Tracker'!$B$6:$B$400,"Phase 1",'Master Tracker'!$G$6:$G$400,"In Progress")</f>
        <v/>
      </c>
      <c r="I6" s="104" t="n"/>
      <c r="J6" s="105">
        <f>COUNTIFS('Master Tracker'!$B$6:$B$400,"Phase 1",'Master Tracker'!$G$6:$G$400,"Blocked")</f>
        <v/>
      </c>
      <c r="K6" s="104" t="n"/>
      <c r="L6" s="105">
        <f>COUNTIFS('Master Tracker'!$B$6:$B$400,"Phase 1",'Master Tracker'!$X$6:$X$400,"OVERDUE")</f>
        <v/>
      </c>
      <c r="M6" s="105">
        <f>COUNTIFS('Master Tracker'!$B$6:$B$400,"Phase 1",'Master Tracker'!$G$6:$G$400,"In Review")+COUNTIFS('Master Tracker'!$B$6:$B$400,"Phase 1",'Master Tracker'!$G$6:$G$400,"Testing")</f>
        <v/>
      </c>
      <c r="N6" s="105">
        <f>COUNTIFS('Master Tracker'!$B$6:$B$400,"Phase 1",'Master Tracker'!$F$6:$F$400,"P0",'Master Tracker'!$G$6:$G$400,"&lt;&gt;Completed",'Master Tracker'!$A$6:$A$400,"?*")</f>
        <v/>
      </c>
      <c r="O6" s="106">
        <f>_xlfn.MAXIFS('Master Tracker'!$I$6:$I$400,'Master Tracker'!$B$6:$B$400,"Phase 1")</f>
        <v/>
      </c>
      <c r="P6" s="107">
        <f>IF(E6=0,"—",IF(G6=E6,"Complete",IF(J6&gt;0,"Blocked",IF(L6&gt;0,"Behind",IF(A6+0.1&lt;D6,"Behind",IF(A6&gt;0,"On Track","Not Started"))))))</f>
        <v/>
      </c>
    </row>
    <row r="7" ht="22" customHeight="1">
      <c r="A7" s="108">
        <f>"Progress  "&amp;REPT("█",ROUND(A6*50,0))&amp;REPT("░",50-ROUND(A6*50,0))&amp;"  "&amp;TEXT(A6,"0%")&amp;"  (planned "&amp;TEXT(D6,"0%")&amp;")"</f>
        <v/>
      </c>
    </row>
    <row r="9" ht="22" customHeight="1">
      <c r="A9" s="9" t="inlineStr">
        <is>
          <t xml:space="preserve">  PHASE GOAL</t>
        </is>
      </c>
      <c r="B9" s="10" t="n"/>
      <c r="C9" s="10" t="n"/>
      <c r="D9" s="10" t="n"/>
      <c r="E9" s="10" t="n"/>
      <c r="F9" s="10" t="n"/>
      <c r="G9" s="10" t="n"/>
      <c r="H9" s="10" t="n"/>
      <c r="I9" s="10" t="n"/>
      <c r="J9" s="10" t="n"/>
      <c r="K9" s="10" t="n"/>
      <c r="L9" s="10" t="n"/>
      <c r="M9" s="10" t="n"/>
      <c r="N9" s="10" t="n"/>
      <c r="O9" s="10" t="n"/>
      <c r="P9" s="10" t="n"/>
      <c r="Q9" s="10" t="n"/>
      <c r="R9" s="10" t="n"/>
    </row>
    <row r="10" ht="46" customHeight="1">
      <c r="A10" s="109" t="inlineStr">
        <is>
          <t>Build a clean, dependency-free custom WordPress theme (replacing JNews) with a modular PHP template system, a token-based CSS architecture, Vanilla JS modules, first-class Arabic RTL typography, responsive layouts, and performance primitives (query caching, Arabic date helpers) that every later phase reuses.</t>
        </is>
      </c>
    </row>
    <row r="12" ht="22" customHeight="1">
      <c r="A12" s="9" t="inlineStr">
        <is>
          <t xml:space="preserve">  DELIVERABLES</t>
        </is>
      </c>
      <c r="B12" s="10" t="n"/>
      <c r="C12" s="10" t="n"/>
      <c r="D12" s="10" t="n"/>
      <c r="E12" s="10" t="n"/>
      <c r="F12" s="10" t="n"/>
      <c r="G12" s="10" t="n"/>
      <c r="H12" s="10" t="n"/>
      <c r="J12" s="9" t="inlineStr">
        <is>
          <t xml:space="preserve">  REQUIRED WORDPRESS FILES</t>
        </is>
      </c>
      <c r="K12" s="10" t="n"/>
      <c r="L12" s="10" t="n"/>
      <c r="M12" s="10" t="n"/>
      <c r="N12" s="10" t="n"/>
      <c r="O12" s="10" t="n"/>
      <c r="P12" s="10" t="n"/>
      <c r="Q12" s="10" t="n"/>
      <c r="R12" s="10" t="n"/>
    </row>
    <row r="13">
      <c r="A13" s="110" t="inlineStr">
        <is>
          <t>▸ Custom theme 'altijara' activated on staging</t>
        </is>
      </c>
      <c r="J13" s="110" t="inlineStr">
        <is>
          <t>▸ style.css</t>
        </is>
      </c>
    </row>
    <row r="14">
      <c r="A14" s="111" t="inlineStr">
        <is>
          <t>▸ Theme initialization (supports, menus, image sizes, text domain)</t>
        </is>
      </c>
      <c r="J14" s="111" t="inlineStr">
        <is>
          <t>▸ functions.php</t>
        </is>
      </c>
    </row>
    <row r="15">
      <c r="A15" s="110" t="inlineStr">
        <is>
          <t>▸ Base PHP template hierarchy + reusable components</t>
        </is>
      </c>
      <c r="J15" s="110" t="inlineStr">
        <is>
          <t>▸ inc/setup.php</t>
        </is>
      </c>
    </row>
    <row r="16">
      <c r="A16" s="111" t="inlineStr">
        <is>
          <t>▸ CSS token architecture &amp; Vanilla JS module system</t>
        </is>
      </c>
      <c r="J16" s="111" t="inlineStr">
        <is>
          <t>▸ inc/enqueue.php</t>
        </is>
      </c>
    </row>
    <row r="17">
      <c r="A17" s="110" t="inlineStr">
        <is>
          <t>▸ RTL Arabic typography and responsive grid</t>
        </is>
      </c>
      <c r="J17" s="110" t="inlineStr">
        <is>
          <t>▸ inc/cache.php</t>
        </is>
      </c>
    </row>
    <row r="18">
      <c r="A18" s="111" t="inlineStr">
        <is>
          <t>▸ Header / navigation / footer</t>
        </is>
      </c>
      <c r="J18" s="111" t="inlineStr">
        <is>
          <t>▸ inc/helpers-date.php</t>
        </is>
      </c>
    </row>
    <row r="19">
      <c r="A19" s="110" t="inlineStr">
        <is>
          <t>▸ Query caching layer + Arabic date helpers</t>
        </is>
      </c>
      <c r="J19" s="110" t="inlineStr">
        <is>
          <t>▸ inc/media.php</t>
        </is>
      </c>
    </row>
    <row r="20">
      <c r="A20" s="111" t="inlineStr">
        <is>
          <t>▸ Git repository of theme (backup of staging work)</t>
        </is>
      </c>
      <c r="J20" s="111" t="inlineStr">
        <is>
          <t>▸ inc/widgets.php</t>
        </is>
      </c>
    </row>
    <row r="21">
      <c r="A21" s="110" t="n"/>
      <c r="J21" s="110" t="inlineStr">
        <is>
          <t>▸ header.php / footer.php</t>
        </is>
      </c>
    </row>
    <row r="22">
      <c r="A22" s="111" t="n"/>
      <c r="J22" s="111" t="inlineStr">
        <is>
          <t>▸ index.php, front-page.php, single.php, page.php</t>
        </is>
      </c>
    </row>
    <row r="23">
      <c r="A23" s="110" t="n"/>
      <c r="J23" s="110" t="inlineStr">
        <is>
          <t>▸ archive.php, category.php, tag.php, author.php, search.php, 404.php</t>
        </is>
      </c>
    </row>
    <row r="24">
      <c r="A24" s="111" t="n"/>
      <c r="J24" s="111" t="inlineStr">
        <is>
          <t>▸ template-parts/components/*.php</t>
        </is>
      </c>
    </row>
    <row r="25">
      <c r="A25" s="110" t="n"/>
      <c r="J25" s="110" t="inlineStr">
        <is>
          <t>▸ assets/css/*.css, assets/js/*.js, assets/fonts/*</t>
        </is>
      </c>
    </row>
    <row r="27" ht="22" customHeight="1">
      <c r="A27" s="9" t="inlineStr">
        <is>
          <t xml:space="preserve">  TECHNICAL IMPLEMENTATION STEPS</t>
        </is>
      </c>
      <c r="B27" s="10" t="n"/>
      <c r="C27" s="10" t="n"/>
      <c r="D27" s="10" t="n"/>
      <c r="E27" s="10" t="n"/>
      <c r="F27" s="10" t="n"/>
      <c r="G27" s="10" t="n"/>
      <c r="H27" s="10" t="n"/>
      <c r="I27" s="10" t="n"/>
      <c r="J27" s="10" t="n"/>
      <c r="K27" s="10" t="n"/>
      <c r="L27" s="10" t="n"/>
      <c r="M27" s="10" t="n"/>
      <c r="N27" s="10" t="n"/>
      <c r="O27" s="10" t="n"/>
      <c r="P27" s="10" t="n"/>
      <c r="Q27" s="10" t="n"/>
      <c r="R27" s="10" t="n"/>
    </row>
    <row r="28">
      <c r="A28" s="112" t="n">
        <v>1</v>
      </c>
      <c r="B28" s="111" t="inlineStr">
        <is>
          <t>Audit staging access (hPanel, SFTP/SSH, phpMyAdmin), block indexing, enable debug log</t>
        </is>
      </c>
    </row>
    <row r="29">
      <c r="A29" s="112" t="n">
        <v>2</v>
      </c>
      <c r="B29" s="110" t="inlineStr">
        <is>
          <t>Scaffold /wp-content/themes/altijara/ and commit to Git</t>
        </is>
      </c>
    </row>
    <row r="30">
      <c r="A30" s="112" t="n">
        <v>3</v>
      </c>
      <c r="B30" s="111" t="inlineStr">
        <is>
          <t>Write inc/setup.php (theme supports, menus, image sizes)</t>
        </is>
      </c>
    </row>
    <row r="31">
      <c r="A31" s="112" t="n">
        <v>4</v>
      </c>
      <c r="B31" s="110" t="inlineStr">
        <is>
          <t>Write inc/enqueue.php with filemtime versioning and conditional loading</t>
        </is>
      </c>
    </row>
    <row r="32">
      <c r="A32" s="112" t="n">
        <v>5</v>
      </c>
      <c r="B32" s="111" t="inlineStr">
        <is>
          <t>Create template hierarchy skeletons and template-parts/components</t>
        </is>
      </c>
    </row>
    <row r="33">
      <c r="A33" s="112" t="n">
        <v>6</v>
      </c>
      <c r="B33" s="110" t="inlineStr">
        <is>
          <t>Build tokens.css → base → layout → components → utilities using logical properties</t>
        </is>
      </c>
    </row>
    <row r="34">
      <c r="A34" s="112" t="n">
        <v>7</v>
      </c>
      <c r="B34" s="111" t="inlineStr">
        <is>
          <t>Build main.js module loader (nav, drawer, search) without jQuery</t>
        </is>
      </c>
    </row>
    <row r="35">
      <c r="A35" s="112" t="n">
        <v>8</v>
      </c>
      <c r="B35" s="110" t="inlineStr">
        <is>
          <t>Self-host Arabic WOFF2 fonts, set dir=rtl / lang=ar</t>
        </is>
      </c>
    </row>
    <row r="36">
      <c r="A36" s="112" t="n">
        <v>9</v>
      </c>
      <c r="B36" s="111" t="inlineStr">
        <is>
          <t>Implement inc/cache.php with publish-time invalidation</t>
        </is>
      </c>
    </row>
    <row r="37">
      <c r="A37" s="112" t="n">
        <v>10</v>
      </c>
      <c r="B37" s="110" t="inlineStr">
        <is>
          <t>Implement inc/helpers-date.php; verify with Query Monitor and debug.log</t>
        </is>
      </c>
    </row>
    <row r="39" ht="22" customHeight="1">
      <c r="A39" s="9" t="inlineStr">
        <is>
          <t xml:space="preserve">  DETAILED TASK CHECKLIST   (live from Master Tracker — change Status / % there)</t>
        </is>
      </c>
      <c r="B39" s="10" t="n"/>
      <c r="C39" s="10" t="n"/>
      <c r="D39" s="10" t="n"/>
      <c r="E39" s="10" t="n"/>
      <c r="F39" s="10" t="n"/>
      <c r="G39" s="10" t="n"/>
      <c r="H39" s="10" t="n"/>
      <c r="I39" s="10" t="n"/>
      <c r="J39" s="10" t="n"/>
      <c r="K39" s="10" t="n"/>
      <c r="L39" s="10" t="n"/>
      <c r="M39" s="10" t="n"/>
      <c r="N39" s="10" t="n"/>
      <c r="O39" s="10" t="n"/>
      <c r="P39" s="10" t="n"/>
      <c r="Q39" s="10" t="n"/>
      <c r="R39" s="10" t="n"/>
    </row>
    <row r="40">
      <c r="A40" s="61" t="inlineStr">
        <is>
          <t>#</t>
        </is>
      </c>
      <c r="B40" s="61" t="inlineStr">
        <is>
          <t>Task ID</t>
        </is>
      </c>
      <c r="C40" s="61" t="inlineStr">
        <is>
          <t>Module</t>
        </is>
      </c>
      <c r="D40" s="61" t="inlineStr">
        <is>
          <t>Task</t>
        </is>
      </c>
      <c r="E40" s="61" t="inlineStr">
        <is>
          <t>Priority</t>
        </is>
      </c>
      <c r="F40" s="61" t="inlineStr">
        <is>
          <t>Status</t>
        </is>
      </c>
      <c r="G40" s="61" t="inlineStr">
        <is>
          <t>Start</t>
        </is>
      </c>
      <c r="H40" s="61" t="inlineStr">
        <is>
          <t>Due</t>
        </is>
      </c>
      <c r="I40" s="61" t="inlineStr">
        <is>
          <t>Complete</t>
        </is>
      </c>
      <c r="J40" s="61" t="inlineStr">
        <is>
          <t>Dependencies</t>
        </is>
      </c>
      <c r="K40" s="61" t="inlineStr">
        <is>
          <t>Dep. check</t>
        </is>
      </c>
      <c r="L40" s="61" t="inlineStr">
        <is>
          <t>WordPress files</t>
        </is>
      </c>
      <c r="M40" s="61" t="inlineStr">
        <is>
          <t>Acceptance criteria</t>
        </is>
      </c>
      <c r="N40" s="61" t="inlineStr">
        <is>
          <t>Testing checklist</t>
        </is>
      </c>
      <c r="O40" s="61" t="inlineStr">
        <is>
          <t>Test result</t>
        </is>
      </c>
      <c r="P40" s="61" t="inlineStr">
        <is>
          <t>Alert</t>
        </is>
      </c>
    </row>
    <row r="41" ht="48" customHeight="1">
      <c r="A41" s="53" t="n">
        <v>1</v>
      </c>
      <c r="B41" s="113">
        <f>IF($S41="","",IF(INDEX('Master Tracker'!$A$6:$A$400,$S41)="","",INDEX('Master Tracker'!$A$6:$A$400,$S41)))</f>
        <v/>
      </c>
      <c r="C41" s="114">
        <f>IF($S41="","",IF(INDEX('Master Tracker'!$C$6:$C$400,$S41)="","",INDEX('Master Tracker'!$C$6:$C$400,$S41)))</f>
        <v/>
      </c>
      <c r="D41" s="114">
        <f>IF($S41="","",IF(INDEX('Master Tracker'!$D$6:$D$400,$S41)="","",INDEX('Master Tracker'!$D$6:$D$400,$S41)))</f>
        <v/>
      </c>
      <c r="E41" s="53">
        <f>IF($S41="","",IF(INDEX('Master Tracker'!$F$6:$F$400,$S41)="","",INDEX('Master Tracker'!$F$6:$F$400,$S41)))</f>
        <v/>
      </c>
      <c r="F41" s="53">
        <f>IF($S41="","",IF(INDEX('Master Tracker'!$G$6:$G$400,$S41)="","",INDEX('Master Tracker'!$G$6:$G$400,$S41)))</f>
        <v/>
      </c>
      <c r="G41" s="70">
        <f>IF($S41="","",IF(INDEX('Master Tracker'!$H$6:$H$400,$S41)="","",INDEX('Master Tracker'!$H$6:$H$400,$S41)))</f>
        <v/>
      </c>
      <c r="H41" s="70">
        <f>IF($S41="","",IF(INDEX('Master Tracker'!$I$6:$I$400,$S41)="","",INDEX('Master Tracker'!$I$6:$I$400,$S41)))</f>
        <v/>
      </c>
      <c r="I41" s="115">
        <f>IF($S41="","",IF(INDEX('Master Tracker'!$U$6:$U$400,$S41)="","",INDEX('Master Tracker'!$U$6:$U$400,$S41)))</f>
        <v/>
      </c>
      <c r="J41" s="114">
        <f>IF($S41="","",IF(INDEX('Master Tracker'!$K$6:$K$400,$S41)="","",INDEX('Master Tracker'!$K$6:$K$400,$S41)))</f>
        <v/>
      </c>
      <c r="K41" s="114">
        <f>IF($S41="","",IF(INDEX('Master Tracker'!$Y$6:$Y$400,$S41)="","",INDEX('Master Tracker'!$Y$6:$Y$400,$S41)))</f>
        <v/>
      </c>
      <c r="L41" s="114">
        <f>IF($S41="","",IF(INDEX('Master Tracker'!$M$6:$M$400,$S41)="","",INDEX('Master Tracker'!$M$6:$M$400,$S41)))</f>
        <v/>
      </c>
      <c r="M41" s="114">
        <f>IF($S41="","",IF(INDEX('Master Tracker'!$O$6:$O$400,$S41)="","",INDEX('Master Tracker'!$O$6:$O$400,$S41)))</f>
        <v/>
      </c>
      <c r="N41" s="114">
        <f>IF($S41="","",IF(INDEX('Master Tracker'!$N$6:$N$400,$S41)="","",INDEX('Master Tracker'!$N$6:$N$400,$S41)))</f>
        <v/>
      </c>
      <c r="O41" s="53">
        <f>IF($S41="","",IF(INDEX('Master Tracker'!$T$6:$T$400,$S41)="","",INDEX('Master Tracker'!$T$6:$T$400,$S41)))</f>
        <v/>
      </c>
      <c r="P41" s="53">
        <f>IF($S41="","",IF(INDEX('Master Tracker'!$AC$6:$AC$400,$S41)="","",INDEX('Master Tracker'!$AC$6:$AC$400,$S41)))</f>
        <v/>
      </c>
      <c r="S41">
        <f>IFERROR(MATCH("Phase 1|"&amp;A41,'Master Tracker'!$Z$6:$Z$400,0),"")</f>
        <v/>
      </c>
    </row>
    <row r="42" ht="48" customHeight="1">
      <c r="A42" s="53" t="n">
        <v>2</v>
      </c>
      <c r="B42" s="113">
        <f>IF($S42="","",IF(INDEX('Master Tracker'!$A$6:$A$400,$S42)="","",INDEX('Master Tracker'!$A$6:$A$400,$S42)))</f>
        <v/>
      </c>
      <c r="C42" s="114">
        <f>IF($S42="","",IF(INDEX('Master Tracker'!$C$6:$C$400,$S42)="","",INDEX('Master Tracker'!$C$6:$C$400,$S42)))</f>
        <v/>
      </c>
      <c r="D42" s="114">
        <f>IF($S42="","",IF(INDEX('Master Tracker'!$D$6:$D$400,$S42)="","",INDEX('Master Tracker'!$D$6:$D$400,$S42)))</f>
        <v/>
      </c>
      <c r="E42" s="53">
        <f>IF($S42="","",IF(INDEX('Master Tracker'!$F$6:$F$400,$S42)="","",INDEX('Master Tracker'!$F$6:$F$400,$S42)))</f>
        <v/>
      </c>
      <c r="F42" s="53">
        <f>IF($S42="","",IF(INDEX('Master Tracker'!$G$6:$G$400,$S42)="","",INDEX('Master Tracker'!$G$6:$G$400,$S42)))</f>
        <v/>
      </c>
      <c r="G42" s="70">
        <f>IF($S42="","",IF(INDEX('Master Tracker'!$H$6:$H$400,$S42)="","",INDEX('Master Tracker'!$H$6:$H$400,$S42)))</f>
        <v/>
      </c>
      <c r="H42" s="70">
        <f>IF($S42="","",IF(INDEX('Master Tracker'!$I$6:$I$400,$S42)="","",INDEX('Master Tracker'!$I$6:$I$400,$S42)))</f>
        <v/>
      </c>
      <c r="I42" s="115">
        <f>IF($S42="","",IF(INDEX('Master Tracker'!$U$6:$U$400,$S42)="","",INDEX('Master Tracker'!$U$6:$U$400,$S42)))</f>
        <v/>
      </c>
      <c r="J42" s="114">
        <f>IF($S42="","",IF(INDEX('Master Tracker'!$K$6:$K$400,$S42)="","",INDEX('Master Tracker'!$K$6:$K$400,$S42)))</f>
        <v/>
      </c>
      <c r="K42" s="114">
        <f>IF($S42="","",IF(INDEX('Master Tracker'!$Y$6:$Y$400,$S42)="","",INDEX('Master Tracker'!$Y$6:$Y$400,$S42)))</f>
        <v/>
      </c>
      <c r="L42" s="114">
        <f>IF($S42="","",IF(INDEX('Master Tracker'!$M$6:$M$400,$S42)="","",INDEX('Master Tracker'!$M$6:$M$400,$S42)))</f>
        <v/>
      </c>
      <c r="M42" s="114">
        <f>IF($S42="","",IF(INDEX('Master Tracker'!$O$6:$O$400,$S42)="","",INDEX('Master Tracker'!$O$6:$O$400,$S42)))</f>
        <v/>
      </c>
      <c r="N42" s="114">
        <f>IF($S42="","",IF(INDEX('Master Tracker'!$N$6:$N$400,$S42)="","",INDEX('Master Tracker'!$N$6:$N$400,$S42)))</f>
        <v/>
      </c>
      <c r="O42" s="53">
        <f>IF($S42="","",IF(INDEX('Master Tracker'!$T$6:$T$400,$S42)="","",INDEX('Master Tracker'!$T$6:$T$400,$S42)))</f>
        <v/>
      </c>
      <c r="P42" s="53">
        <f>IF($S42="","",IF(INDEX('Master Tracker'!$AC$6:$AC$400,$S42)="","",INDEX('Master Tracker'!$AC$6:$AC$400,$S42)))</f>
        <v/>
      </c>
      <c r="S42">
        <f>IFERROR(MATCH("Phase 1|"&amp;A42,'Master Tracker'!$Z$6:$Z$400,0),"")</f>
        <v/>
      </c>
    </row>
    <row r="43" ht="48" customHeight="1">
      <c r="A43" s="53" t="n">
        <v>3</v>
      </c>
      <c r="B43" s="113">
        <f>IF($S43="","",IF(INDEX('Master Tracker'!$A$6:$A$400,$S43)="","",INDEX('Master Tracker'!$A$6:$A$400,$S43)))</f>
        <v/>
      </c>
      <c r="C43" s="114">
        <f>IF($S43="","",IF(INDEX('Master Tracker'!$C$6:$C$400,$S43)="","",INDEX('Master Tracker'!$C$6:$C$400,$S43)))</f>
        <v/>
      </c>
      <c r="D43" s="114">
        <f>IF($S43="","",IF(INDEX('Master Tracker'!$D$6:$D$400,$S43)="","",INDEX('Master Tracker'!$D$6:$D$400,$S43)))</f>
        <v/>
      </c>
      <c r="E43" s="53">
        <f>IF($S43="","",IF(INDEX('Master Tracker'!$F$6:$F$400,$S43)="","",INDEX('Master Tracker'!$F$6:$F$400,$S43)))</f>
        <v/>
      </c>
      <c r="F43" s="53">
        <f>IF($S43="","",IF(INDEX('Master Tracker'!$G$6:$G$400,$S43)="","",INDEX('Master Tracker'!$G$6:$G$400,$S43)))</f>
        <v/>
      </c>
      <c r="G43" s="70">
        <f>IF($S43="","",IF(INDEX('Master Tracker'!$H$6:$H$400,$S43)="","",INDEX('Master Tracker'!$H$6:$H$400,$S43)))</f>
        <v/>
      </c>
      <c r="H43" s="70">
        <f>IF($S43="","",IF(INDEX('Master Tracker'!$I$6:$I$400,$S43)="","",INDEX('Master Tracker'!$I$6:$I$400,$S43)))</f>
        <v/>
      </c>
      <c r="I43" s="115">
        <f>IF($S43="","",IF(INDEX('Master Tracker'!$U$6:$U$400,$S43)="","",INDEX('Master Tracker'!$U$6:$U$400,$S43)))</f>
        <v/>
      </c>
      <c r="J43" s="114">
        <f>IF($S43="","",IF(INDEX('Master Tracker'!$K$6:$K$400,$S43)="","",INDEX('Master Tracker'!$K$6:$K$400,$S43)))</f>
        <v/>
      </c>
      <c r="K43" s="114">
        <f>IF($S43="","",IF(INDEX('Master Tracker'!$Y$6:$Y$400,$S43)="","",INDEX('Master Tracker'!$Y$6:$Y$400,$S43)))</f>
        <v/>
      </c>
      <c r="L43" s="114">
        <f>IF($S43="","",IF(INDEX('Master Tracker'!$M$6:$M$400,$S43)="","",INDEX('Master Tracker'!$M$6:$M$400,$S43)))</f>
        <v/>
      </c>
      <c r="M43" s="114">
        <f>IF($S43="","",IF(INDEX('Master Tracker'!$O$6:$O$400,$S43)="","",INDEX('Master Tracker'!$O$6:$O$400,$S43)))</f>
        <v/>
      </c>
      <c r="N43" s="114">
        <f>IF($S43="","",IF(INDEX('Master Tracker'!$N$6:$N$400,$S43)="","",INDEX('Master Tracker'!$N$6:$N$400,$S43)))</f>
        <v/>
      </c>
      <c r="O43" s="53">
        <f>IF($S43="","",IF(INDEX('Master Tracker'!$T$6:$T$400,$S43)="","",INDEX('Master Tracker'!$T$6:$T$400,$S43)))</f>
        <v/>
      </c>
      <c r="P43" s="53">
        <f>IF($S43="","",IF(INDEX('Master Tracker'!$AC$6:$AC$400,$S43)="","",INDEX('Master Tracker'!$AC$6:$AC$400,$S43)))</f>
        <v/>
      </c>
      <c r="S43">
        <f>IFERROR(MATCH("Phase 1|"&amp;A43,'Master Tracker'!$Z$6:$Z$400,0),"")</f>
        <v/>
      </c>
    </row>
    <row r="44" ht="48" customHeight="1">
      <c r="A44" s="53" t="n">
        <v>4</v>
      </c>
      <c r="B44" s="113">
        <f>IF($S44="","",IF(INDEX('Master Tracker'!$A$6:$A$400,$S44)="","",INDEX('Master Tracker'!$A$6:$A$400,$S44)))</f>
        <v/>
      </c>
      <c r="C44" s="114">
        <f>IF($S44="","",IF(INDEX('Master Tracker'!$C$6:$C$400,$S44)="","",INDEX('Master Tracker'!$C$6:$C$400,$S44)))</f>
        <v/>
      </c>
      <c r="D44" s="114">
        <f>IF($S44="","",IF(INDEX('Master Tracker'!$D$6:$D$400,$S44)="","",INDEX('Master Tracker'!$D$6:$D$400,$S44)))</f>
        <v/>
      </c>
      <c r="E44" s="53">
        <f>IF($S44="","",IF(INDEX('Master Tracker'!$F$6:$F$400,$S44)="","",INDEX('Master Tracker'!$F$6:$F$400,$S44)))</f>
        <v/>
      </c>
      <c r="F44" s="53">
        <f>IF($S44="","",IF(INDEX('Master Tracker'!$G$6:$G$400,$S44)="","",INDEX('Master Tracker'!$G$6:$G$400,$S44)))</f>
        <v/>
      </c>
      <c r="G44" s="70">
        <f>IF($S44="","",IF(INDEX('Master Tracker'!$H$6:$H$400,$S44)="","",INDEX('Master Tracker'!$H$6:$H$400,$S44)))</f>
        <v/>
      </c>
      <c r="H44" s="70">
        <f>IF($S44="","",IF(INDEX('Master Tracker'!$I$6:$I$400,$S44)="","",INDEX('Master Tracker'!$I$6:$I$400,$S44)))</f>
        <v/>
      </c>
      <c r="I44" s="115">
        <f>IF($S44="","",IF(INDEX('Master Tracker'!$U$6:$U$400,$S44)="","",INDEX('Master Tracker'!$U$6:$U$400,$S44)))</f>
        <v/>
      </c>
      <c r="J44" s="114">
        <f>IF($S44="","",IF(INDEX('Master Tracker'!$K$6:$K$400,$S44)="","",INDEX('Master Tracker'!$K$6:$K$400,$S44)))</f>
        <v/>
      </c>
      <c r="K44" s="114">
        <f>IF($S44="","",IF(INDEX('Master Tracker'!$Y$6:$Y$400,$S44)="","",INDEX('Master Tracker'!$Y$6:$Y$400,$S44)))</f>
        <v/>
      </c>
      <c r="L44" s="114">
        <f>IF($S44="","",IF(INDEX('Master Tracker'!$M$6:$M$400,$S44)="","",INDEX('Master Tracker'!$M$6:$M$400,$S44)))</f>
        <v/>
      </c>
      <c r="M44" s="114">
        <f>IF($S44="","",IF(INDEX('Master Tracker'!$O$6:$O$400,$S44)="","",INDEX('Master Tracker'!$O$6:$O$400,$S44)))</f>
        <v/>
      </c>
      <c r="N44" s="114">
        <f>IF($S44="","",IF(INDEX('Master Tracker'!$N$6:$N$400,$S44)="","",INDEX('Master Tracker'!$N$6:$N$400,$S44)))</f>
        <v/>
      </c>
      <c r="O44" s="53">
        <f>IF($S44="","",IF(INDEX('Master Tracker'!$T$6:$T$400,$S44)="","",INDEX('Master Tracker'!$T$6:$T$400,$S44)))</f>
        <v/>
      </c>
      <c r="P44" s="53">
        <f>IF($S44="","",IF(INDEX('Master Tracker'!$AC$6:$AC$400,$S44)="","",INDEX('Master Tracker'!$AC$6:$AC$400,$S44)))</f>
        <v/>
      </c>
      <c r="S44">
        <f>IFERROR(MATCH("Phase 1|"&amp;A44,'Master Tracker'!$Z$6:$Z$400,0),"")</f>
        <v/>
      </c>
    </row>
    <row r="45" ht="48" customHeight="1">
      <c r="A45" s="53" t="n">
        <v>5</v>
      </c>
      <c r="B45" s="113">
        <f>IF($S45="","",IF(INDEX('Master Tracker'!$A$6:$A$400,$S45)="","",INDEX('Master Tracker'!$A$6:$A$400,$S45)))</f>
        <v/>
      </c>
      <c r="C45" s="114">
        <f>IF($S45="","",IF(INDEX('Master Tracker'!$C$6:$C$400,$S45)="","",INDEX('Master Tracker'!$C$6:$C$400,$S45)))</f>
        <v/>
      </c>
      <c r="D45" s="114">
        <f>IF($S45="","",IF(INDEX('Master Tracker'!$D$6:$D$400,$S45)="","",INDEX('Master Tracker'!$D$6:$D$400,$S45)))</f>
        <v/>
      </c>
      <c r="E45" s="53">
        <f>IF($S45="","",IF(INDEX('Master Tracker'!$F$6:$F$400,$S45)="","",INDEX('Master Tracker'!$F$6:$F$400,$S45)))</f>
        <v/>
      </c>
      <c r="F45" s="53">
        <f>IF($S45="","",IF(INDEX('Master Tracker'!$G$6:$G$400,$S45)="","",INDEX('Master Tracker'!$G$6:$G$400,$S45)))</f>
        <v/>
      </c>
      <c r="G45" s="70">
        <f>IF($S45="","",IF(INDEX('Master Tracker'!$H$6:$H$400,$S45)="","",INDEX('Master Tracker'!$H$6:$H$400,$S45)))</f>
        <v/>
      </c>
      <c r="H45" s="70">
        <f>IF($S45="","",IF(INDEX('Master Tracker'!$I$6:$I$400,$S45)="","",INDEX('Master Tracker'!$I$6:$I$400,$S45)))</f>
        <v/>
      </c>
      <c r="I45" s="115">
        <f>IF($S45="","",IF(INDEX('Master Tracker'!$U$6:$U$400,$S45)="","",INDEX('Master Tracker'!$U$6:$U$400,$S45)))</f>
        <v/>
      </c>
      <c r="J45" s="114">
        <f>IF($S45="","",IF(INDEX('Master Tracker'!$K$6:$K$400,$S45)="","",INDEX('Master Tracker'!$K$6:$K$400,$S45)))</f>
        <v/>
      </c>
      <c r="K45" s="114">
        <f>IF($S45="","",IF(INDEX('Master Tracker'!$Y$6:$Y$400,$S45)="","",INDEX('Master Tracker'!$Y$6:$Y$400,$S45)))</f>
        <v/>
      </c>
      <c r="L45" s="114">
        <f>IF($S45="","",IF(INDEX('Master Tracker'!$M$6:$M$400,$S45)="","",INDEX('Master Tracker'!$M$6:$M$400,$S45)))</f>
        <v/>
      </c>
      <c r="M45" s="114">
        <f>IF($S45="","",IF(INDEX('Master Tracker'!$O$6:$O$400,$S45)="","",INDEX('Master Tracker'!$O$6:$O$400,$S45)))</f>
        <v/>
      </c>
      <c r="N45" s="114">
        <f>IF($S45="","",IF(INDEX('Master Tracker'!$N$6:$N$400,$S45)="","",INDEX('Master Tracker'!$N$6:$N$400,$S45)))</f>
        <v/>
      </c>
      <c r="O45" s="53">
        <f>IF($S45="","",IF(INDEX('Master Tracker'!$T$6:$T$400,$S45)="","",INDEX('Master Tracker'!$T$6:$T$400,$S45)))</f>
        <v/>
      </c>
      <c r="P45" s="53">
        <f>IF($S45="","",IF(INDEX('Master Tracker'!$AC$6:$AC$400,$S45)="","",INDEX('Master Tracker'!$AC$6:$AC$400,$S45)))</f>
        <v/>
      </c>
      <c r="S45">
        <f>IFERROR(MATCH("Phase 1|"&amp;A45,'Master Tracker'!$Z$6:$Z$400,0),"")</f>
        <v/>
      </c>
    </row>
    <row r="46" ht="48" customHeight="1">
      <c r="A46" s="53" t="n">
        <v>6</v>
      </c>
      <c r="B46" s="113">
        <f>IF($S46="","",IF(INDEX('Master Tracker'!$A$6:$A$400,$S46)="","",INDEX('Master Tracker'!$A$6:$A$400,$S46)))</f>
        <v/>
      </c>
      <c r="C46" s="114">
        <f>IF($S46="","",IF(INDEX('Master Tracker'!$C$6:$C$400,$S46)="","",INDEX('Master Tracker'!$C$6:$C$400,$S46)))</f>
        <v/>
      </c>
      <c r="D46" s="114">
        <f>IF($S46="","",IF(INDEX('Master Tracker'!$D$6:$D$400,$S46)="","",INDEX('Master Tracker'!$D$6:$D$400,$S46)))</f>
        <v/>
      </c>
      <c r="E46" s="53">
        <f>IF($S46="","",IF(INDEX('Master Tracker'!$F$6:$F$400,$S46)="","",INDEX('Master Tracker'!$F$6:$F$400,$S46)))</f>
        <v/>
      </c>
      <c r="F46" s="53">
        <f>IF($S46="","",IF(INDEX('Master Tracker'!$G$6:$G$400,$S46)="","",INDEX('Master Tracker'!$G$6:$G$400,$S46)))</f>
        <v/>
      </c>
      <c r="G46" s="70">
        <f>IF($S46="","",IF(INDEX('Master Tracker'!$H$6:$H$400,$S46)="","",INDEX('Master Tracker'!$H$6:$H$400,$S46)))</f>
        <v/>
      </c>
      <c r="H46" s="70">
        <f>IF($S46="","",IF(INDEX('Master Tracker'!$I$6:$I$400,$S46)="","",INDEX('Master Tracker'!$I$6:$I$400,$S46)))</f>
        <v/>
      </c>
      <c r="I46" s="115">
        <f>IF($S46="","",IF(INDEX('Master Tracker'!$U$6:$U$400,$S46)="","",INDEX('Master Tracker'!$U$6:$U$400,$S46)))</f>
        <v/>
      </c>
      <c r="J46" s="114">
        <f>IF($S46="","",IF(INDEX('Master Tracker'!$K$6:$K$400,$S46)="","",INDEX('Master Tracker'!$K$6:$K$400,$S46)))</f>
        <v/>
      </c>
      <c r="K46" s="114">
        <f>IF($S46="","",IF(INDEX('Master Tracker'!$Y$6:$Y$400,$S46)="","",INDEX('Master Tracker'!$Y$6:$Y$400,$S46)))</f>
        <v/>
      </c>
      <c r="L46" s="114">
        <f>IF($S46="","",IF(INDEX('Master Tracker'!$M$6:$M$400,$S46)="","",INDEX('Master Tracker'!$M$6:$M$400,$S46)))</f>
        <v/>
      </c>
      <c r="M46" s="114">
        <f>IF($S46="","",IF(INDEX('Master Tracker'!$O$6:$O$400,$S46)="","",INDEX('Master Tracker'!$O$6:$O$400,$S46)))</f>
        <v/>
      </c>
      <c r="N46" s="114">
        <f>IF($S46="","",IF(INDEX('Master Tracker'!$N$6:$N$400,$S46)="","",INDEX('Master Tracker'!$N$6:$N$400,$S46)))</f>
        <v/>
      </c>
      <c r="O46" s="53">
        <f>IF($S46="","",IF(INDEX('Master Tracker'!$T$6:$T$400,$S46)="","",INDEX('Master Tracker'!$T$6:$T$400,$S46)))</f>
        <v/>
      </c>
      <c r="P46" s="53">
        <f>IF($S46="","",IF(INDEX('Master Tracker'!$AC$6:$AC$400,$S46)="","",INDEX('Master Tracker'!$AC$6:$AC$400,$S46)))</f>
        <v/>
      </c>
      <c r="S46">
        <f>IFERROR(MATCH("Phase 1|"&amp;A46,'Master Tracker'!$Z$6:$Z$400,0),"")</f>
        <v/>
      </c>
    </row>
    <row r="47" ht="48" customHeight="1">
      <c r="A47" s="53" t="n">
        <v>7</v>
      </c>
      <c r="B47" s="113">
        <f>IF($S47="","",IF(INDEX('Master Tracker'!$A$6:$A$400,$S47)="","",INDEX('Master Tracker'!$A$6:$A$400,$S47)))</f>
        <v/>
      </c>
      <c r="C47" s="114">
        <f>IF($S47="","",IF(INDEX('Master Tracker'!$C$6:$C$400,$S47)="","",INDEX('Master Tracker'!$C$6:$C$400,$S47)))</f>
        <v/>
      </c>
      <c r="D47" s="114">
        <f>IF($S47="","",IF(INDEX('Master Tracker'!$D$6:$D$400,$S47)="","",INDEX('Master Tracker'!$D$6:$D$400,$S47)))</f>
        <v/>
      </c>
      <c r="E47" s="53">
        <f>IF($S47="","",IF(INDEX('Master Tracker'!$F$6:$F$400,$S47)="","",INDEX('Master Tracker'!$F$6:$F$400,$S47)))</f>
        <v/>
      </c>
      <c r="F47" s="53">
        <f>IF($S47="","",IF(INDEX('Master Tracker'!$G$6:$G$400,$S47)="","",INDEX('Master Tracker'!$G$6:$G$400,$S47)))</f>
        <v/>
      </c>
      <c r="G47" s="70">
        <f>IF($S47="","",IF(INDEX('Master Tracker'!$H$6:$H$400,$S47)="","",INDEX('Master Tracker'!$H$6:$H$400,$S47)))</f>
        <v/>
      </c>
      <c r="H47" s="70">
        <f>IF($S47="","",IF(INDEX('Master Tracker'!$I$6:$I$400,$S47)="","",INDEX('Master Tracker'!$I$6:$I$400,$S47)))</f>
        <v/>
      </c>
      <c r="I47" s="115">
        <f>IF($S47="","",IF(INDEX('Master Tracker'!$U$6:$U$400,$S47)="","",INDEX('Master Tracker'!$U$6:$U$400,$S47)))</f>
        <v/>
      </c>
      <c r="J47" s="114">
        <f>IF($S47="","",IF(INDEX('Master Tracker'!$K$6:$K$400,$S47)="","",INDEX('Master Tracker'!$K$6:$K$400,$S47)))</f>
        <v/>
      </c>
      <c r="K47" s="114">
        <f>IF($S47="","",IF(INDEX('Master Tracker'!$Y$6:$Y$400,$S47)="","",INDEX('Master Tracker'!$Y$6:$Y$400,$S47)))</f>
        <v/>
      </c>
      <c r="L47" s="114">
        <f>IF($S47="","",IF(INDEX('Master Tracker'!$M$6:$M$400,$S47)="","",INDEX('Master Tracker'!$M$6:$M$400,$S47)))</f>
        <v/>
      </c>
      <c r="M47" s="114">
        <f>IF($S47="","",IF(INDEX('Master Tracker'!$O$6:$O$400,$S47)="","",INDEX('Master Tracker'!$O$6:$O$400,$S47)))</f>
        <v/>
      </c>
      <c r="N47" s="114">
        <f>IF($S47="","",IF(INDEX('Master Tracker'!$N$6:$N$400,$S47)="","",INDEX('Master Tracker'!$N$6:$N$400,$S47)))</f>
        <v/>
      </c>
      <c r="O47" s="53">
        <f>IF($S47="","",IF(INDEX('Master Tracker'!$T$6:$T$400,$S47)="","",INDEX('Master Tracker'!$T$6:$T$400,$S47)))</f>
        <v/>
      </c>
      <c r="P47" s="53">
        <f>IF($S47="","",IF(INDEX('Master Tracker'!$AC$6:$AC$400,$S47)="","",INDEX('Master Tracker'!$AC$6:$AC$400,$S47)))</f>
        <v/>
      </c>
      <c r="S47">
        <f>IFERROR(MATCH("Phase 1|"&amp;A47,'Master Tracker'!$Z$6:$Z$400,0),"")</f>
        <v/>
      </c>
    </row>
    <row r="48" ht="48" customHeight="1">
      <c r="A48" s="53" t="n">
        <v>8</v>
      </c>
      <c r="B48" s="113">
        <f>IF($S48="","",IF(INDEX('Master Tracker'!$A$6:$A$400,$S48)="","",INDEX('Master Tracker'!$A$6:$A$400,$S48)))</f>
        <v/>
      </c>
      <c r="C48" s="114">
        <f>IF($S48="","",IF(INDEX('Master Tracker'!$C$6:$C$400,$S48)="","",INDEX('Master Tracker'!$C$6:$C$400,$S48)))</f>
        <v/>
      </c>
      <c r="D48" s="114">
        <f>IF($S48="","",IF(INDEX('Master Tracker'!$D$6:$D$400,$S48)="","",INDEX('Master Tracker'!$D$6:$D$400,$S48)))</f>
        <v/>
      </c>
      <c r="E48" s="53">
        <f>IF($S48="","",IF(INDEX('Master Tracker'!$F$6:$F$400,$S48)="","",INDEX('Master Tracker'!$F$6:$F$400,$S48)))</f>
        <v/>
      </c>
      <c r="F48" s="53">
        <f>IF($S48="","",IF(INDEX('Master Tracker'!$G$6:$G$400,$S48)="","",INDEX('Master Tracker'!$G$6:$G$400,$S48)))</f>
        <v/>
      </c>
      <c r="G48" s="70">
        <f>IF($S48="","",IF(INDEX('Master Tracker'!$H$6:$H$400,$S48)="","",INDEX('Master Tracker'!$H$6:$H$400,$S48)))</f>
        <v/>
      </c>
      <c r="H48" s="70">
        <f>IF($S48="","",IF(INDEX('Master Tracker'!$I$6:$I$400,$S48)="","",INDEX('Master Tracker'!$I$6:$I$400,$S48)))</f>
        <v/>
      </c>
      <c r="I48" s="115">
        <f>IF($S48="","",IF(INDEX('Master Tracker'!$U$6:$U$400,$S48)="","",INDEX('Master Tracker'!$U$6:$U$400,$S48)))</f>
        <v/>
      </c>
      <c r="J48" s="114">
        <f>IF($S48="","",IF(INDEX('Master Tracker'!$K$6:$K$400,$S48)="","",INDEX('Master Tracker'!$K$6:$K$400,$S48)))</f>
        <v/>
      </c>
      <c r="K48" s="114">
        <f>IF($S48="","",IF(INDEX('Master Tracker'!$Y$6:$Y$400,$S48)="","",INDEX('Master Tracker'!$Y$6:$Y$400,$S48)))</f>
        <v/>
      </c>
      <c r="L48" s="114">
        <f>IF($S48="","",IF(INDEX('Master Tracker'!$M$6:$M$400,$S48)="","",INDEX('Master Tracker'!$M$6:$M$400,$S48)))</f>
        <v/>
      </c>
      <c r="M48" s="114">
        <f>IF($S48="","",IF(INDEX('Master Tracker'!$O$6:$O$400,$S48)="","",INDEX('Master Tracker'!$O$6:$O$400,$S48)))</f>
        <v/>
      </c>
      <c r="N48" s="114">
        <f>IF($S48="","",IF(INDEX('Master Tracker'!$N$6:$N$400,$S48)="","",INDEX('Master Tracker'!$N$6:$N$400,$S48)))</f>
        <v/>
      </c>
      <c r="O48" s="53">
        <f>IF($S48="","",IF(INDEX('Master Tracker'!$T$6:$T$400,$S48)="","",INDEX('Master Tracker'!$T$6:$T$400,$S48)))</f>
        <v/>
      </c>
      <c r="P48" s="53">
        <f>IF($S48="","",IF(INDEX('Master Tracker'!$AC$6:$AC$400,$S48)="","",INDEX('Master Tracker'!$AC$6:$AC$400,$S48)))</f>
        <v/>
      </c>
      <c r="S48">
        <f>IFERROR(MATCH("Phase 1|"&amp;A48,'Master Tracker'!$Z$6:$Z$400,0),"")</f>
        <v/>
      </c>
    </row>
    <row r="49" ht="48" customHeight="1">
      <c r="A49" s="53" t="n">
        <v>9</v>
      </c>
      <c r="B49" s="113">
        <f>IF($S49="","",IF(INDEX('Master Tracker'!$A$6:$A$400,$S49)="","",INDEX('Master Tracker'!$A$6:$A$400,$S49)))</f>
        <v/>
      </c>
      <c r="C49" s="114">
        <f>IF($S49="","",IF(INDEX('Master Tracker'!$C$6:$C$400,$S49)="","",INDEX('Master Tracker'!$C$6:$C$400,$S49)))</f>
        <v/>
      </c>
      <c r="D49" s="114">
        <f>IF($S49="","",IF(INDEX('Master Tracker'!$D$6:$D$400,$S49)="","",INDEX('Master Tracker'!$D$6:$D$400,$S49)))</f>
        <v/>
      </c>
      <c r="E49" s="53">
        <f>IF($S49="","",IF(INDEX('Master Tracker'!$F$6:$F$400,$S49)="","",INDEX('Master Tracker'!$F$6:$F$400,$S49)))</f>
        <v/>
      </c>
      <c r="F49" s="53">
        <f>IF($S49="","",IF(INDEX('Master Tracker'!$G$6:$G$400,$S49)="","",INDEX('Master Tracker'!$G$6:$G$400,$S49)))</f>
        <v/>
      </c>
      <c r="G49" s="70">
        <f>IF($S49="","",IF(INDEX('Master Tracker'!$H$6:$H$400,$S49)="","",INDEX('Master Tracker'!$H$6:$H$400,$S49)))</f>
        <v/>
      </c>
      <c r="H49" s="70">
        <f>IF($S49="","",IF(INDEX('Master Tracker'!$I$6:$I$400,$S49)="","",INDEX('Master Tracker'!$I$6:$I$400,$S49)))</f>
        <v/>
      </c>
      <c r="I49" s="115">
        <f>IF($S49="","",IF(INDEX('Master Tracker'!$U$6:$U$400,$S49)="","",INDEX('Master Tracker'!$U$6:$U$400,$S49)))</f>
        <v/>
      </c>
      <c r="J49" s="114">
        <f>IF($S49="","",IF(INDEX('Master Tracker'!$K$6:$K$400,$S49)="","",INDEX('Master Tracker'!$K$6:$K$400,$S49)))</f>
        <v/>
      </c>
      <c r="K49" s="114">
        <f>IF($S49="","",IF(INDEX('Master Tracker'!$Y$6:$Y$400,$S49)="","",INDEX('Master Tracker'!$Y$6:$Y$400,$S49)))</f>
        <v/>
      </c>
      <c r="L49" s="114">
        <f>IF($S49="","",IF(INDEX('Master Tracker'!$M$6:$M$400,$S49)="","",INDEX('Master Tracker'!$M$6:$M$400,$S49)))</f>
        <v/>
      </c>
      <c r="M49" s="114">
        <f>IF($S49="","",IF(INDEX('Master Tracker'!$O$6:$O$400,$S49)="","",INDEX('Master Tracker'!$O$6:$O$400,$S49)))</f>
        <v/>
      </c>
      <c r="N49" s="114">
        <f>IF($S49="","",IF(INDEX('Master Tracker'!$N$6:$N$400,$S49)="","",INDEX('Master Tracker'!$N$6:$N$400,$S49)))</f>
        <v/>
      </c>
      <c r="O49" s="53">
        <f>IF($S49="","",IF(INDEX('Master Tracker'!$T$6:$T$400,$S49)="","",INDEX('Master Tracker'!$T$6:$T$400,$S49)))</f>
        <v/>
      </c>
      <c r="P49" s="53">
        <f>IF($S49="","",IF(INDEX('Master Tracker'!$AC$6:$AC$400,$S49)="","",INDEX('Master Tracker'!$AC$6:$AC$400,$S49)))</f>
        <v/>
      </c>
      <c r="S49">
        <f>IFERROR(MATCH("Phase 1|"&amp;A49,'Master Tracker'!$Z$6:$Z$400,0),"")</f>
        <v/>
      </c>
    </row>
    <row r="50" ht="48" customHeight="1">
      <c r="A50" s="53" t="n">
        <v>10</v>
      </c>
      <c r="B50" s="113">
        <f>IF($S50="","",IF(INDEX('Master Tracker'!$A$6:$A$400,$S50)="","",INDEX('Master Tracker'!$A$6:$A$400,$S50)))</f>
        <v/>
      </c>
      <c r="C50" s="114">
        <f>IF($S50="","",IF(INDEX('Master Tracker'!$C$6:$C$400,$S50)="","",INDEX('Master Tracker'!$C$6:$C$400,$S50)))</f>
        <v/>
      </c>
      <c r="D50" s="114">
        <f>IF($S50="","",IF(INDEX('Master Tracker'!$D$6:$D$400,$S50)="","",INDEX('Master Tracker'!$D$6:$D$400,$S50)))</f>
        <v/>
      </c>
      <c r="E50" s="53">
        <f>IF($S50="","",IF(INDEX('Master Tracker'!$F$6:$F$400,$S50)="","",INDEX('Master Tracker'!$F$6:$F$400,$S50)))</f>
        <v/>
      </c>
      <c r="F50" s="53">
        <f>IF($S50="","",IF(INDEX('Master Tracker'!$G$6:$G$400,$S50)="","",INDEX('Master Tracker'!$G$6:$G$400,$S50)))</f>
        <v/>
      </c>
      <c r="G50" s="70">
        <f>IF($S50="","",IF(INDEX('Master Tracker'!$H$6:$H$400,$S50)="","",INDEX('Master Tracker'!$H$6:$H$400,$S50)))</f>
        <v/>
      </c>
      <c r="H50" s="70">
        <f>IF($S50="","",IF(INDEX('Master Tracker'!$I$6:$I$400,$S50)="","",INDEX('Master Tracker'!$I$6:$I$400,$S50)))</f>
        <v/>
      </c>
      <c r="I50" s="115">
        <f>IF($S50="","",IF(INDEX('Master Tracker'!$U$6:$U$400,$S50)="","",INDEX('Master Tracker'!$U$6:$U$400,$S50)))</f>
        <v/>
      </c>
      <c r="J50" s="114">
        <f>IF($S50="","",IF(INDEX('Master Tracker'!$K$6:$K$400,$S50)="","",INDEX('Master Tracker'!$K$6:$K$400,$S50)))</f>
        <v/>
      </c>
      <c r="K50" s="114">
        <f>IF($S50="","",IF(INDEX('Master Tracker'!$Y$6:$Y$400,$S50)="","",INDEX('Master Tracker'!$Y$6:$Y$400,$S50)))</f>
        <v/>
      </c>
      <c r="L50" s="114">
        <f>IF($S50="","",IF(INDEX('Master Tracker'!$M$6:$M$400,$S50)="","",INDEX('Master Tracker'!$M$6:$M$400,$S50)))</f>
        <v/>
      </c>
      <c r="M50" s="114">
        <f>IF($S50="","",IF(INDEX('Master Tracker'!$O$6:$O$400,$S50)="","",INDEX('Master Tracker'!$O$6:$O$400,$S50)))</f>
        <v/>
      </c>
      <c r="N50" s="114">
        <f>IF($S50="","",IF(INDEX('Master Tracker'!$N$6:$N$400,$S50)="","",INDEX('Master Tracker'!$N$6:$N$400,$S50)))</f>
        <v/>
      </c>
      <c r="O50" s="53">
        <f>IF($S50="","",IF(INDEX('Master Tracker'!$T$6:$T$400,$S50)="","",INDEX('Master Tracker'!$T$6:$T$400,$S50)))</f>
        <v/>
      </c>
      <c r="P50" s="53">
        <f>IF($S50="","",IF(INDEX('Master Tracker'!$AC$6:$AC$400,$S50)="","",INDEX('Master Tracker'!$AC$6:$AC$400,$S50)))</f>
        <v/>
      </c>
      <c r="S50">
        <f>IFERROR(MATCH("Phase 1|"&amp;A50,'Master Tracker'!$Z$6:$Z$400,0),"")</f>
        <v/>
      </c>
    </row>
    <row r="51" ht="48" customHeight="1">
      <c r="A51" s="53" t="n">
        <v>11</v>
      </c>
      <c r="B51" s="113">
        <f>IF($S51="","",IF(INDEX('Master Tracker'!$A$6:$A$400,$S51)="","",INDEX('Master Tracker'!$A$6:$A$400,$S51)))</f>
        <v/>
      </c>
      <c r="C51" s="114">
        <f>IF($S51="","",IF(INDEX('Master Tracker'!$C$6:$C$400,$S51)="","",INDEX('Master Tracker'!$C$6:$C$400,$S51)))</f>
        <v/>
      </c>
      <c r="D51" s="114">
        <f>IF($S51="","",IF(INDEX('Master Tracker'!$D$6:$D$400,$S51)="","",INDEX('Master Tracker'!$D$6:$D$400,$S51)))</f>
        <v/>
      </c>
      <c r="E51" s="53">
        <f>IF($S51="","",IF(INDEX('Master Tracker'!$F$6:$F$400,$S51)="","",INDEX('Master Tracker'!$F$6:$F$400,$S51)))</f>
        <v/>
      </c>
      <c r="F51" s="53">
        <f>IF($S51="","",IF(INDEX('Master Tracker'!$G$6:$G$400,$S51)="","",INDEX('Master Tracker'!$G$6:$G$400,$S51)))</f>
        <v/>
      </c>
      <c r="G51" s="70">
        <f>IF($S51="","",IF(INDEX('Master Tracker'!$H$6:$H$400,$S51)="","",INDEX('Master Tracker'!$H$6:$H$400,$S51)))</f>
        <v/>
      </c>
      <c r="H51" s="70">
        <f>IF($S51="","",IF(INDEX('Master Tracker'!$I$6:$I$400,$S51)="","",INDEX('Master Tracker'!$I$6:$I$400,$S51)))</f>
        <v/>
      </c>
      <c r="I51" s="115">
        <f>IF($S51="","",IF(INDEX('Master Tracker'!$U$6:$U$400,$S51)="","",INDEX('Master Tracker'!$U$6:$U$400,$S51)))</f>
        <v/>
      </c>
      <c r="J51" s="114">
        <f>IF($S51="","",IF(INDEX('Master Tracker'!$K$6:$K$400,$S51)="","",INDEX('Master Tracker'!$K$6:$K$400,$S51)))</f>
        <v/>
      </c>
      <c r="K51" s="114">
        <f>IF($S51="","",IF(INDEX('Master Tracker'!$Y$6:$Y$400,$S51)="","",INDEX('Master Tracker'!$Y$6:$Y$400,$S51)))</f>
        <v/>
      </c>
      <c r="L51" s="114">
        <f>IF($S51="","",IF(INDEX('Master Tracker'!$M$6:$M$400,$S51)="","",INDEX('Master Tracker'!$M$6:$M$400,$S51)))</f>
        <v/>
      </c>
      <c r="M51" s="114">
        <f>IF($S51="","",IF(INDEX('Master Tracker'!$O$6:$O$400,$S51)="","",INDEX('Master Tracker'!$O$6:$O$400,$S51)))</f>
        <v/>
      </c>
      <c r="N51" s="114">
        <f>IF($S51="","",IF(INDEX('Master Tracker'!$N$6:$N$400,$S51)="","",INDEX('Master Tracker'!$N$6:$N$400,$S51)))</f>
        <v/>
      </c>
      <c r="O51" s="53">
        <f>IF($S51="","",IF(INDEX('Master Tracker'!$T$6:$T$400,$S51)="","",INDEX('Master Tracker'!$T$6:$T$400,$S51)))</f>
        <v/>
      </c>
      <c r="P51" s="53">
        <f>IF($S51="","",IF(INDEX('Master Tracker'!$AC$6:$AC$400,$S51)="","",INDEX('Master Tracker'!$AC$6:$AC$400,$S51)))</f>
        <v/>
      </c>
      <c r="S51">
        <f>IFERROR(MATCH("Phase 1|"&amp;A51,'Master Tracker'!$Z$6:$Z$400,0),"")</f>
        <v/>
      </c>
    </row>
    <row r="52" ht="48" customHeight="1">
      <c r="A52" s="53" t="n">
        <v>12</v>
      </c>
      <c r="B52" s="113">
        <f>IF($S52="","",IF(INDEX('Master Tracker'!$A$6:$A$400,$S52)="","",INDEX('Master Tracker'!$A$6:$A$400,$S52)))</f>
        <v/>
      </c>
      <c r="C52" s="114">
        <f>IF($S52="","",IF(INDEX('Master Tracker'!$C$6:$C$400,$S52)="","",INDEX('Master Tracker'!$C$6:$C$400,$S52)))</f>
        <v/>
      </c>
      <c r="D52" s="114">
        <f>IF($S52="","",IF(INDEX('Master Tracker'!$D$6:$D$400,$S52)="","",INDEX('Master Tracker'!$D$6:$D$400,$S52)))</f>
        <v/>
      </c>
      <c r="E52" s="53">
        <f>IF($S52="","",IF(INDEX('Master Tracker'!$F$6:$F$400,$S52)="","",INDEX('Master Tracker'!$F$6:$F$400,$S52)))</f>
        <v/>
      </c>
      <c r="F52" s="53">
        <f>IF($S52="","",IF(INDEX('Master Tracker'!$G$6:$G$400,$S52)="","",INDEX('Master Tracker'!$G$6:$G$400,$S52)))</f>
        <v/>
      </c>
      <c r="G52" s="70">
        <f>IF($S52="","",IF(INDEX('Master Tracker'!$H$6:$H$400,$S52)="","",INDEX('Master Tracker'!$H$6:$H$400,$S52)))</f>
        <v/>
      </c>
      <c r="H52" s="70">
        <f>IF($S52="","",IF(INDEX('Master Tracker'!$I$6:$I$400,$S52)="","",INDEX('Master Tracker'!$I$6:$I$400,$S52)))</f>
        <v/>
      </c>
      <c r="I52" s="115">
        <f>IF($S52="","",IF(INDEX('Master Tracker'!$U$6:$U$400,$S52)="","",INDEX('Master Tracker'!$U$6:$U$400,$S52)))</f>
        <v/>
      </c>
      <c r="J52" s="114">
        <f>IF($S52="","",IF(INDEX('Master Tracker'!$K$6:$K$400,$S52)="","",INDEX('Master Tracker'!$K$6:$K$400,$S52)))</f>
        <v/>
      </c>
      <c r="K52" s="114">
        <f>IF($S52="","",IF(INDEX('Master Tracker'!$Y$6:$Y$400,$S52)="","",INDEX('Master Tracker'!$Y$6:$Y$400,$S52)))</f>
        <v/>
      </c>
      <c r="L52" s="114">
        <f>IF($S52="","",IF(INDEX('Master Tracker'!$M$6:$M$400,$S52)="","",INDEX('Master Tracker'!$M$6:$M$400,$S52)))</f>
        <v/>
      </c>
      <c r="M52" s="114">
        <f>IF($S52="","",IF(INDEX('Master Tracker'!$O$6:$O$400,$S52)="","",INDEX('Master Tracker'!$O$6:$O$400,$S52)))</f>
        <v/>
      </c>
      <c r="N52" s="114">
        <f>IF($S52="","",IF(INDEX('Master Tracker'!$N$6:$N$400,$S52)="","",INDEX('Master Tracker'!$N$6:$N$400,$S52)))</f>
        <v/>
      </c>
      <c r="O52" s="53">
        <f>IF($S52="","",IF(INDEX('Master Tracker'!$T$6:$T$400,$S52)="","",INDEX('Master Tracker'!$T$6:$T$400,$S52)))</f>
        <v/>
      </c>
      <c r="P52" s="53">
        <f>IF($S52="","",IF(INDEX('Master Tracker'!$AC$6:$AC$400,$S52)="","",INDEX('Master Tracker'!$AC$6:$AC$400,$S52)))</f>
        <v/>
      </c>
      <c r="S52">
        <f>IFERROR(MATCH("Phase 1|"&amp;A52,'Master Tracker'!$Z$6:$Z$400,0),"")</f>
        <v/>
      </c>
    </row>
    <row r="53" ht="48" customHeight="1">
      <c r="A53" s="53" t="n">
        <v>13</v>
      </c>
      <c r="B53" s="113">
        <f>IF($S53="","",IF(INDEX('Master Tracker'!$A$6:$A$400,$S53)="","",INDEX('Master Tracker'!$A$6:$A$400,$S53)))</f>
        <v/>
      </c>
      <c r="C53" s="114">
        <f>IF($S53="","",IF(INDEX('Master Tracker'!$C$6:$C$400,$S53)="","",INDEX('Master Tracker'!$C$6:$C$400,$S53)))</f>
        <v/>
      </c>
      <c r="D53" s="114">
        <f>IF($S53="","",IF(INDEX('Master Tracker'!$D$6:$D$400,$S53)="","",INDEX('Master Tracker'!$D$6:$D$400,$S53)))</f>
        <v/>
      </c>
      <c r="E53" s="53">
        <f>IF($S53="","",IF(INDEX('Master Tracker'!$F$6:$F$400,$S53)="","",INDEX('Master Tracker'!$F$6:$F$400,$S53)))</f>
        <v/>
      </c>
      <c r="F53" s="53">
        <f>IF($S53="","",IF(INDEX('Master Tracker'!$G$6:$G$400,$S53)="","",INDEX('Master Tracker'!$G$6:$G$400,$S53)))</f>
        <v/>
      </c>
      <c r="G53" s="70">
        <f>IF($S53="","",IF(INDEX('Master Tracker'!$H$6:$H$400,$S53)="","",INDEX('Master Tracker'!$H$6:$H$400,$S53)))</f>
        <v/>
      </c>
      <c r="H53" s="70">
        <f>IF($S53="","",IF(INDEX('Master Tracker'!$I$6:$I$400,$S53)="","",INDEX('Master Tracker'!$I$6:$I$400,$S53)))</f>
        <v/>
      </c>
      <c r="I53" s="115">
        <f>IF($S53="","",IF(INDEX('Master Tracker'!$U$6:$U$400,$S53)="","",INDEX('Master Tracker'!$U$6:$U$400,$S53)))</f>
        <v/>
      </c>
      <c r="J53" s="114">
        <f>IF($S53="","",IF(INDEX('Master Tracker'!$K$6:$K$400,$S53)="","",INDEX('Master Tracker'!$K$6:$K$400,$S53)))</f>
        <v/>
      </c>
      <c r="K53" s="114">
        <f>IF($S53="","",IF(INDEX('Master Tracker'!$Y$6:$Y$400,$S53)="","",INDEX('Master Tracker'!$Y$6:$Y$400,$S53)))</f>
        <v/>
      </c>
      <c r="L53" s="114">
        <f>IF($S53="","",IF(INDEX('Master Tracker'!$M$6:$M$400,$S53)="","",INDEX('Master Tracker'!$M$6:$M$400,$S53)))</f>
        <v/>
      </c>
      <c r="M53" s="114">
        <f>IF($S53="","",IF(INDEX('Master Tracker'!$O$6:$O$400,$S53)="","",INDEX('Master Tracker'!$O$6:$O$400,$S53)))</f>
        <v/>
      </c>
      <c r="N53" s="114">
        <f>IF($S53="","",IF(INDEX('Master Tracker'!$N$6:$N$400,$S53)="","",INDEX('Master Tracker'!$N$6:$N$400,$S53)))</f>
        <v/>
      </c>
      <c r="O53" s="53">
        <f>IF($S53="","",IF(INDEX('Master Tracker'!$T$6:$T$400,$S53)="","",INDEX('Master Tracker'!$T$6:$T$400,$S53)))</f>
        <v/>
      </c>
      <c r="P53" s="53">
        <f>IF($S53="","",IF(INDEX('Master Tracker'!$AC$6:$AC$400,$S53)="","",INDEX('Master Tracker'!$AC$6:$AC$400,$S53)))</f>
        <v/>
      </c>
      <c r="S53">
        <f>IFERROR(MATCH("Phase 1|"&amp;A53,'Master Tracker'!$Z$6:$Z$400,0),"")</f>
        <v/>
      </c>
    </row>
    <row r="54" ht="48" customHeight="1">
      <c r="A54" s="53" t="n">
        <v>14</v>
      </c>
      <c r="B54" s="113">
        <f>IF($S54="","",IF(INDEX('Master Tracker'!$A$6:$A$400,$S54)="","",INDEX('Master Tracker'!$A$6:$A$400,$S54)))</f>
        <v/>
      </c>
      <c r="C54" s="114">
        <f>IF($S54="","",IF(INDEX('Master Tracker'!$C$6:$C$400,$S54)="","",INDEX('Master Tracker'!$C$6:$C$400,$S54)))</f>
        <v/>
      </c>
      <c r="D54" s="114">
        <f>IF($S54="","",IF(INDEX('Master Tracker'!$D$6:$D$400,$S54)="","",INDEX('Master Tracker'!$D$6:$D$400,$S54)))</f>
        <v/>
      </c>
      <c r="E54" s="53">
        <f>IF($S54="","",IF(INDEX('Master Tracker'!$F$6:$F$400,$S54)="","",INDEX('Master Tracker'!$F$6:$F$400,$S54)))</f>
        <v/>
      </c>
      <c r="F54" s="53">
        <f>IF($S54="","",IF(INDEX('Master Tracker'!$G$6:$G$400,$S54)="","",INDEX('Master Tracker'!$G$6:$G$400,$S54)))</f>
        <v/>
      </c>
      <c r="G54" s="70">
        <f>IF($S54="","",IF(INDEX('Master Tracker'!$H$6:$H$400,$S54)="","",INDEX('Master Tracker'!$H$6:$H$400,$S54)))</f>
        <v/>
      </c>
      <c r="H54" s="70">
        <f>IF($S54="","",IF(INDEX('Master Tracker'!$I$6:$I$400,$S54)="","",INDEX('Master Tracker'!$I$6:$I$400,$S54)))</f>
        <v/>
      </c>
      <c r="I54" s="115">
        <f>IF($S54="","",IF(INDEX('Master Tracker'!$U$6:$U$400,$S54)="","",INDEX('Master Tracker'!$U$6:$U$400,$S54)))</f>
        <v/>
      </c>
      <c r="J54" s="114">
        <f>IF($S54="","",IF(INDEX('Master Tracker'!$K$6:$K$400,$S54)="","",INDEX('Master Tracker'!$K$6:$K$400,$S54)))</f>
        <v/>
      </c>
      <c r="K54" s="114">
        <f>IF($S54="","",IF(INDEX('Master Tracker'!$Y$6:$Y$400,$S54)="","",INDEX('Master Tracker'!$Y$6:$Y$400,$S54)))</f>
        <v/>
      </c>
      <c r="L54" s="114">
        <f>IF($S54="","",IF(INDEX('Master Tracker'!$M$6:$M$400,$S54)="","",INDEX('Master Tracker'!$M$6:$M$400,$S54)))</f>
        <v/>
      </c>
      <c r="M54" s="114">
        <f>IF($S54="","",IF(INDEX('Master Tracker'!$O$6:$O$400,$S54)="","",INDEX('Master Tracker'!$O$6:$O$400,$S54)))</f>
        <v/>
      </c>
      <c r="N54" s="114">
        <f>IF($S54="","",IF(INDEX('Master Tracker'!$N$6:$N$400,$S54)="","",INDEX('Master Tracker'!$N$6:$N$400,$S54)))</f>
        <v/>
      </c>
      <c r="O54" s="53">
        <f>IF($S54="","",IF(INDEX('Master Tracker'!$T$6:$T$400,$S54)="","",INDEX('Master Tracker'!$T$6:$T$400,$S54)))</f>
        <v/>
      </c>
      <c r="P54" s="53">
        <f>IF($S54="","",IF(INDEX('Master Tracker'!$AC$6:$AC$400,$S54)="","",INDEX('Master Tracker'!$AC$6:$AC$400,$S54)))</f>
        <v/>
      </c>
      <c r="S54">
        <f>IFERROR(MATCH("Phase 1|"&amp;A54,'Master Tracker'!$Z$6:$Z$400,0),"")</f>
        <v/>
      </c>
    </row>
    <row r="55" ht="48" customHeight="1">
      <c r="A55" s="53" t="n">
        <v>15</v>
      </c>
      <c r="B55" s="113">
        <f>IF($S55="","",IF(INDEX('Master Tracker'!$A$6:$A$400,$S55)="","",INDEX('Master Tracker'!$A$6:$A$400,$S55)))</f>
        <v/>
      </c>
      <c r="C55" s="114">
        <f>IF($S55="","",IF(INDEX('Master Tracker'!$C$6:$C$400,$S55)="","",INDEX('Master Tracker'!$C$6:$C$400,$S55)))</f>
        <v/>
      </c>
      <c r="D55" s="114">
        <f>IF($S55="","",IF(INDEX('Master Tracker'!$D$6:$D$400,$S55)="","",INDEX('Master Tracker'!$D$6:$D$400,$S55)))</f>
        <v/>
      </c>
      <c r="E55" s="53">
        <f>IF($S55="","",IF(INDEX('Master Tracker'!$F$6:$F$400,$S55)="","",INDEX('Master Tracker'!$F$6:$F$400,$S55)))</f>
        <v/>
      </c>
      <c r="F55" s="53">
        <f>IF($S55="","",IF(INDEX('Master Tracker'!$G$6:$G$400,$S55)="","",INDEX('Master Tracker'!$G$6:$G$400,$S55)))</f>
        <v/>
      </c>
      <c r="G55" s="70">
        <f>IF($S55="","",IF(INDEX('Master Tracker'!$H$6:$H$400,$S55)="","",INDEX('Master Tracker'!$H$6:$H$400,$S55)))</f>
        <v/>
      </c>
      <c r="H55" s="70">
        <f>IF($S55="","",IF(INDEX('Master Tracker'!$I$6:$I$400,$S55)="","",INDEX('Master Tracker'!$I$6:$I$400,$S55)))</f>
        <v/>
      </c>
      <c r="I55" s="115">
        <f>IF($S55="","",IF(INDEX('Master Tracker'!$U$6:$U$400,$S55)="","",INDEX('Master Tracker'!$U$6:$U$400,$S55)))</f>
        <v/>
      </c>
      <c r="J55" s="114">
        <f>IF($S55="","",IF(INDEX('Master Tracker'!$K$6:$K$400,$S55)="","",INDEX('Master Tracker'!$K$6:$K$400,$S55)))</f>
        <v/>
      </c>
      <c r="K55" s="114">
        <f>IF($S55="","",IF(INDEX('Master Tracker'!$Y$6:$Y$400,$S55)="","",INDEX('Master Tracker'!$Y$6:$Y$400,$S55)))</f>
        <v/>
      </c>
      <c r="L55" s="114">
        <f>IF($S55="","",IF(INDEX('Master Tracker'!$M$6:$M$400,$S55)="","",INDEX('Master Tracker'!$M$6:$M$400,$S55)))</f>
        <v/>
      </c>
      <c r="M55" s="114">
        <f>IF($S55="","",IF(INDEX('Master Tracker'!$O$6:$O$400,$S55)="","",INDEX('Master Tracker'!$O$6:$O$400,$S55)))</f>
        <v/>
      </c>
      <c r="N55" s="114">
        <f>IF($S55="","",IF(INDEX('Master Tracker'!$N$6:$N$400,$S55)="","",INDEX('Master Tracker'!$N$6:$N$400,$S55)))</f>
        <v/>
      </c>
      <c r="O55" s="53">
        <f>IF($S55="","",IF(INDEX('Master Tracker'!$T$6:$T$400,$S55)="","",INDEX('Master Tracker'!$T$6:$T$400,$S55)))</f>
        <v/>
      </c>
      <c r="P55" s="53">
        <f>IF($S55="","",IF(INDEX('Master Tracker'!$AC$6:$AC$400,$S55)="","",INDEX('Master Tracker'!$AC$6:$AC$400,$S55)))</f>
        <v/>
      </c>
      <c r="S55">
        <f>IFERROR(MATCH("Phase 1|"&amp;A55,'Master Tracker'!$Z$6:$Z$400,0),"")</f>
        <v/>
      </c>
    </row>
    <row r="56" ht="48" customHeight="1">
      <c r="A56" s="53" t="n">
        <v>16</v>
      </c>
      <c r="B56" s="113">
        <f>IF($S56="","",IF(INDEX('Master Tracker'!$A$6:$A$400,$S56)="","",INDEX('Master Tracker'!$A$6:$A$400,$S56)))</f>
        <v/>
      </c>
      <c r="C56" s="114">
        <f>IF($S56="","",IF(INDEX('Master Tracker'!$C$6:$C$400,$S56)="","",INDEX('Master Tracker'!$C$6:$C$400,$S56)))</f>
        <v/>
      </c>
      <c r="D56" s="114">
        <f>IF($S56="","",IF(INDEX('Master Tracker'!$D$6:$D$400,$S56)="","",INDEX('Master Tracker'!$D$6:$D$400,$S56)))</f>
        <v/>
      </c>
      <c r="E56" s="53">
        <f>IF($S56="","",IF(INDEX('Master Tracker'!$F$6:$F$400,$S56)="","",INDEX('Master Tracker'!$F$6:$F$400,$S56)))</f>
        <v/>
      </c>
      <c r="F56" s="53">
        <f>IF($S56="","",IF(INDEX('Master Tracker'!$G$6:$G$400,$S56)="","",INDEX('Master Tracker'!$G$6:$G$400,$S56)))</f>
        <v/>
      </c>
      <c r="G56" s="70">
        <f>IF($S56="","",IF(INDEX('Master Tracker'!$H$6:$H$400,$S56)="","",INDEX('Master Tracker'!$H$6:$H$400,$S56)))</f>
        <v/>
      </c>
      <c r="H56" s="70">
        <f>IF($S56="","",IF(INDEX('Master Tracker'!$I$6:$I$400,$S56)="","",INDEX('Master Tracker'!$I$6:$I$400,$S56)))</f>
        <v/>
      </c>
      <c r="I56" s="115">
        <f>IF($S56="","",IF(INDEX('Master Tracker'!$U$6:$U$400,$S56)="","",INDEX('Master Tracker'!$U$6:$U$400,$S56)))</f>
        <v/>
      </c>
      <c r="J56" s="114">
        <f>IF($S56="","",IF(INDEX('Master Tracker'!$K$6:$K$400,$S56)="","",INDEX('Master Tracker'!$K$6:$K$400,$S56)))</f>
        <v/>
      </c>
      <c r="K56" s="114">
        <f>IF($S56="","",IF(INDEX('Master Tracker'!$Y$6:$Y$400,$S56)="","",INDEX('Master Tracker'!$Y$6:$Y$400,$S56)))</f>
        <v/>
      </c>
      <c r="L56" s="114">
        <f>IF($S56="","",IF(INDEX('Master Tracker'!$M$6:$M$400,$S56)="","",INDEX('Master Tracker'!$M$6:$M$400,$S56)))</f>
        <v/>
      </c>
      <c r="M56" s="114">
        <f>IF($S56="","",IF(INDEX('Master Tracker'!$O$6:$O$400,$S56)="","",INDEX('Master Tracker'!$O$6:$O$400,$S56)))</f>
        <v/>
      </c>
      <c r="N56" s="114">
        <f>IF($S56="","",IF(INDEX('Master Tracker'!$N$6:$N$400,$S56)="","",INDEX('Master Tracker'!$N$6:$N$400,$S56)))</f>
        <v/>
      </c>
      <c r="O56" s="53">
        <f>IF($S56="","",IF(INDEX('Master Tracker'!$T$6:$T$400,$S56)="","",INDEX('Master Tracker'!$T$6:$T$400,$S56)))</f>
        <v/>
      </c>
      <c r="P56" s="53">
        <f>IF($S56="","",IF(INDEX('Master Tracker'!$AC$6:$AC$400,$S56)="","",INDEX('Master Tracker'!$AC$6:$AC$400,$S56)))</f>
        <v/>
      </c>
      <c r="S56">
        <f>IFERROR(MATCH("Phase 1|"&amp;A56,'Master Tracker'!$Z$6:$Z$400,0),"")</f>
        <v/>
      </c>
    </row>
    <row r="57" ht="48" customHeight="1">
      <c r="A57" s="53" t="n">
        <v>17</v>
      </c>
      <c r="B57" s="113">
        <f>IF($S57="","",IF(INDEX('Master Tracker'!$A$6:$A$400,$S57)="","",INDEX('Master Tracker'!$A$6:$A$400,$S57)))</f>
        <v/>
      </c>
      <c r="C57" s="114">
        <f>IF($S57="","",IF(INDEX('Master Tracker'!$C$6:$C$400,$S57)="","",INDEX('Master Tracker'!$C$6:$C$400,$S57)))</f>
        <v/>
      </c>
      <c r="D57" s="114">
        <f>IF($S57="","",IF(INDEX('Master Tracker'!$D$6:$D$400,$S57)="","",INDEX('Master Tracker'!$D$6:$D$400,$S57)))</f>
        <v/>
      </c>
      <c r="E57" s="53">
        <f>IF($S57="","",IF(INDEX('Master Tracker'!$F$6:$F$400,$S57)="","",INDEX('Master Tracker'!$F$6:$F$400,$S57)))</f>
        <v/>
      </c>
      <c r="F57" s="53">
        <f>IF($S57="","",IF(INDEX('Master Tracker'!$G$6:$G$400,$S57)="","",INDEX('Master Tracker'!$G$6:$G$400,$S57)))</f>
        <v/>
      </c>
      <c r="G57" s="70">
        <f>IF($S57="","",IF(INDEX('Master Tracker'!$H$6:$H$400,$S57)="","",INDEX('Master Tracker'!$H$6:$H$400,$S57)))</f>
        <v/>
      </c>
      <c r="H57" s="70">
        <f>IF($S57="","",IF(INDEX('Master Tracker'!$I$6:$I$400,$S57)="","",INDEX('Master Tracker'!$I$6:$I$400,$S57)))</f>
        <v/>
      </c>
      <c r="I57" s="115">
        <f>IF($S57="","",IF(INDEX('Master Tracker'!$U$6:$U$400,$S57)="","",INDEX('Master Tracker'!$U$6:$U$400,$S57)))</f>
        <v/>
      </c>
      <c r="J57" s="114">
        <f>IF($S57="","",IF(INDEX('Master Tracker'!$K$6:$K$400,$S57)="","",INDEX('Master Tracker'!$K$6:$K$400,$S57)))</f>
        <v/>
      </c>
      <c r="K57" s="114">
        <f>IF($S57="","",IF(INDEX('Master Tracker'!$Y$6:$Y$400,$S57)="","",INDEX('Master Tracker'!$Y$6:$Y$400,$S57)))</f>
        <v/>
      </c>
      <c r="L57" s="114">
        <f>IF($S57="","",IF(INDEX('Master Tracker'!$M$6:$M$400,$S57)="","",INDEX('Master Tracker'!$M$6:$M$400,$S57)))</f>
        <v/>
      </c>
      <c r="M57" s="114">
        <f>IF($S57="","",IF(INDEX('Master Tracker'!$O$6:$O$400,$S57)="","",INDEX('Master Tracker'!$O$6:$O$400,$S57)))</f>
        <v/>
      </c>
      <c r="N57" s="114">
        <f>IF($S57="","",IF(INDEX('Master Tracker'!$N$6:$N$400,$S57)="","",INDEX('Master Tracker'!$N$6:$N$400,$S57)))</f>
        <v/>
      </c>
      <c r="O57" s="53">
        <f>IF($S57="","",IF(INDEX('Master Tracker'!$T$6:$T$400,$S57)="","",INDEX('Master Tracker'!$T$6:$T$400,$S57)))</f>
        <v/>
      </c>
      <c r="P57" s="53">
        <f>IF($S57="","",IF(INDEX('Master Tracker'!$AC$6:$AC$400,$S57)="","",INDEX('Master Tracker'!$AC$6:$AC$400,$S57)))</f>
        <v/>
      </c>
      <c r="S57">
        <f>IFERROR(MATCH("Phase 1|"&amp;A57,'Master Tracker'!$Z$6:$Z$400,0),"")</f>
        <v/>
      </c>
    </row>
    <row r="58" ht="15" customHeight="1">
      <c r="A58" s="53" t="n">
        <v>18</v>
      </c>
      <c r="B58" s="113">
        <f>IF($S58="","",IF(INDEX('Master Tracker'!$A$6:$A$400,$S58)="","",INDEX('Master Tracker'!$A$6:$A$400,$S58)))</f>
        <v/>
      </c>
      <c r="C58" s="114">
        <f>IF($S58="","",IF(INDEX('Master Tracker'!$C$6:$C$400,$S58)="","",INDEX('Master Tracker'!$C$6:$C$400,$S58)))</f>
        <v/>
      </c>
      <c r="D58" s="114">
        <f>IF($S58="","",IF(INDEX('Master Tracker'!$D$6:$D$400,$S58)="","",INDEX('Master Tracker'!$D$6:$D$400,$S58)))</f>
        <v/>
      </c>
      <c r="E58" s="53">
        <f>IF($S58="","",IF(INDEX('Master Tracker'!$F$6:$F$400,$S58)="","",INDEX('Master Tracker'!$F$6:$F$400,$S58)))</f>
        <v/>
      </c>
      <c r="F58" s="53">
        <f>IF($S58="","",IF(INDEX('Master Tracker'!$G$6:$G$400,$S58)="","",INDEX('Master Tracker'!$G$6:$G$400,$S58)))</f>
        <v/>
      </c>
      <c r="G58" s="70">
        <f>IF($S58="","",IF(INDEX('Master Tracker'!$H$6:$H$400,$S58)="","",INDEX('Master Tracker'!$H$6:$H$400,$S58)))</f>
        <v/>
      </c>
      <c r="H58" s="70">
        <f>IF($S58="","",IF(INDEX('Master Tracker'!$I$6:$I$400,$S58)="","",INDEX('Master Tracker'!$I$6:$I$400,$S58)))</f>
        <v/>
      </c>
      <c r="I58" s="115">
        <f>IF($S58="","",IF(INDEX('Master Tracker'!$U$6:$U$400,$S58)="","",INDEX('Master Tracker'!$U$6:$U$400,$S58)))</f>
        <v/>
      </c>
      <c r="J58" s="114">
        <f>IF($S58="","",IF(INDEX('Master Tracker'!$K$6:$K$400,$S58)="","",INDEX('Master Tracker'!$K$6:$K$400,$S58)))</f>
        <v/>
      </c>
      <c r="K58" s="114">
        <f>IF($S58="","",IF(INDEX('Master Tracker'!$Y$6:$Y$400,$S58)="","",INDEX('Master Tracker'!$Y$6:$Y$400,$S58)))</f>
        <v/>
      </c>
      <c r="L58" s="114">
        <f>IF($S58="","",IF(INDEX('Master Tracker'!$M$6:$M$400,$S58)="","",INDEX('Master Tracker'!$M$6:$M$400,$S58)))</f>
        <v/>
      </c>
      <c r="M58" s="114">
        <f>IF($S58="","",IF(INDEX('Master Tracker'!$O$6:$O$400,$S58)="","",INDEX('Master Tracker'!$O$6:$O$400,$S58)))</f>
        <v/>
      </c>
      <c r="N58" s="114">
        <f>IF($S58="","",IF(INDEX('Master Tracker'!$N$6:$N$400,$S58)="","",INDEX('Master Tracker'!$N$6:$N$400,$S58)))</f>
        <v/>
      </c>
      <c r="O58" s="53">
        <f>IF($S58="","",IF(INDEX('Master Tracker'!$T$6:$T$400,$S58)="","",INDEX('Master Tracker'!$T$6:$T$400,$S58)))</f>
        <v/>
      </c>
      <c r="P58" s="53">
        <f>IF($S58="","",IF(INDEX('Master Tracker'!$AC$6:$AC$400,$S58)="","",INDEX('Master Tracker'!$AC$6:$AC$400,$S58)))</f>
        <v/>
      </c>
      <c r="S58">
        <f>IFERROR(MATCH("Phase 1|"&amp;A58,'Master Tracker'!$Z$6:$Z$400,0),"")</f>
        <v/>
      </c>
    </row>
    <row r="59" ht="15" customHeight="1">
      <c r="A59" s="53" t="n">
        <v>19</v>
      </c>
      <c r="B59" s="113">
        <f>IF($S59="","",IF(INDEX('Master Tracker'!$A$6:$A$400,$S59)="","",INDEX('Master Tracker'!$A$6:$A$400,$S59)))</f>
        <v/>
      </c>
      <c r="C59" s="114">
        <f>IF($S59="","",IF(INDEX('Master Tracker'!$C$6:$C$400,$S59)="","",INDEX('Master Tracker'!$C$6:$C$400,$S59)))</f>
        <v/>
      </c>
      <c r="D59" s="114">
        <f>IF($S59="","",IF(INDEX('Master Tracker'!$D$6:$D$400,$S59)="","",INDEX('Master Tracker'!$D$6:$D$400,$S59)))</f>
        <v/>
      </c>
      <c r="E59" s="53">
        <f>IF($S59="","",IF(INDEX('Master Tracker'!$F$6:$F$400,$S59)="","",INDEX('Master Tracker'!$F$6:$F$400,$S59)))</f>
        <v/>
      </c>
      <c r="F59" s="53">
        <f>IF($S59="","",IF(INDEX('Master Tracker'!$G$6:$G$400,$S59)="","",INDEX('Master Tracker'!$G$6:$G$400,$S59)))</f>
        <v/>
      </c>
      <c r="G59" s="70">
        <f>IF($S59="","",IF(INDEX('Master Tracker'!$H$6:$H$400,$S59)="","",INDEX('Master Tracker'!$H$6:$H$400,$S59)))</f>
        <v/>
      </c>
      <c r="H59" s="70">
        <f>IF($S59="","",IF(INDEX('Master Tracker'!$I$6:$I$400,$S59)="","",INDEX('Master Tracker'!$I$6:$I$400,$S59)))</f>
        <v/>
      </c>
      <c r="I59" s="115">
        <f>IF($S59="","",IF(INDEX('Master Tracker'!$U$6:$U$400,$S59)="","",INDEX('Master Tracker'!$U$6:$U$400,$S59)))</f>
        <v/>
      </c>
      <c r="J59" s="114">
        <f>IF($S59="","",IF(INDEX('Master Tracker'!$K$6:$K$400,$S59)="","",INDEX('Master Tracker'!$K$6:$K$400,$S59)))</f>
        <v/>
      </c>
      <c r="K59" s="114">
        <f>IF($S59="","",IF(INDEX('Master Tracker'!$Y$6:$Y$400,$S59)="","",INDEX('Master Tracker'!$Y$6:$Y$400,$S59)))</f>
        <v/>
      </c>
      <c r="L59" s="114">
        <f>IF($S59="","",IF(INDEX('Master Tracker'!$M$6:$M$400,$S59)="","",INDEX('Master Tracker'!$M$6:$M$400,$S59)))</f>
        <v/>
      </c>
      <c r="M59" s="114">
        <f>IF($S59="","",IF(INDEX('Master Tracker'!$O$6:$O$400,$S59)="","",INDEX('Master Tracker'!$O$6:$O$400,$S59)))</f>
        <v/>
      </c>
      <c r="N59" s="114">
        <f>IF($S59="","",IF(INDEX('Master Tracker'!$N$6:$N$400,$S59)="","",INDEX('Master Tracker'!$N$6:$N$400,$S59)))</f>
        <v/>
      </c>
      <c r="O59" s="53">
        <f>IF($S59="","",IF(INDEX('Master Tracker'!$T$6:$T$400,$S59)="","",INDEX('Master Tracker'!$T$6:$T$400,$S59)))</f>
        <v/>
      </c>
      <c r="P59" s="53">
        <f>IF($S59="","",IF(INDEX('Master Tracker'!$AC$6:$AC$400,$S59)="","",INDEX('Master Tracker'!$AC$6:$AC$400,$S59)))</f>
        <v/>
      </c>
      <c r="S59">
        <f>IFERROR(MATCH("Phase 1|"&amp;A59,'Master Tracker'!$Z$6:$Z$400,0),"")</f>
        <v/>
      </c>
    </row>
    <row r="60" ht="15" customHeight="1">
      <c r="A60" s="53" t="n">
        <v>20</v>
      </c>
      <c r="B60" s="113">
        <f>IF($S60="","",IF(INDEX('Master Tracker'!$A$6:$A$400,$S60)="","",INDEX('Master Tracker'!$A$6:$A$400,$S60)))</f>
        <v/>
      </c>
      <c r="C60" s="114">
        <f>IF($S60="","",IF(INDEX('Master Tracker'!$C$6:$C$400,$S60)="","",INDEX('Master Tracker'!$C$6:$C$400,$S60)))</f>
        <v/>
      </c>
      <c r="D60" s="114">
        <f>IF($S60="","",IF(INDEX('Master Tracker'!$D$6:$D$400,$S60)="","",INDEX('Master Tracker'!$D$6:$D$400,$S60)))</f>
        <v/>
      </c>
      <c r="E60" s="53">
        <f>IF($S60="","",IF(INDEX('Master Tracker'!$F$6:$F$400,$S60)="","",INDEX('Master Tracker'!$F$6:$F$400,$S60)))</f>
        <v/>
      </c>
      <c r="F60" s="53">
        <f>IF($S60="","",IF(INDEX('Master Tracker'!$G$6:$G$400,$S60)="","",INDEX('Master Tracker'!$G$6:$G$400,$S60)))</f>
        <v/>
      </c>
      <c r="G60" s="70">
        <f>IF($S60="","",IF(INDEX('Master Tracker'!$H$6:$H$400,$S60)="","",INDEX('Master Tracker'!$H$6:$H$400,$S60)))</f>
        <v/>
      </c>
      <c r="H60" s="70">
        <f>IF($S60="","",IF(INDEX('Master Tracker'!$I$6:$I$400,$S60)="","",INDEX('Master Tracker'!$I$6:$I$400,$S60)))</f>
        <v/>
      </c>
      <c r="I60" s="115">
        <f>IF($S60="","",IF(INDEX('Master Tracker'!$U$6:$U$400,$S60)="","",INDEX('Master Tracker'!$U$6:$U$400,$S60)))</f>
        <v/>
      </c>
      <c r="J60" s="114">
        <f>IF($S60="","",IF(INDEX('Master Tracker'!$K$6:$K$400,$S60)="","",INDEX('Master Tracker'!$K$6:$K$400,$S60)))</f>
        <v/>
      </c>
      <c r="K60" s="114">
        <f>IF($S60="","",IF(INDEX('Master Tracker'!$Y$6:$Y$400,$S60)="","",INDEX('Master Tracker'!$Y$6:$Y$400,$S60)))</f>
        <v/>
      </c>
      <c r="L60" s="114">
        <f>IF($S60="","",IF(INDEX('Master Tracker'!$M$6:$M$400,$S60)="","",INDEX('Master Tracker'!$M$6:$M$400,$S60)))</f>
        <v/>
      </c>
      <c r="M60" s="114">
        <f>IF($S60="","",IF(INDEX('Master Tracker'!$O$6:$O$400,$S60)="","",INDEX('Master Tracker'!$O$6:$O$400,$S60)))</f>
        <v/>
      </c>
      <c r="N60" s="114">
        <f>IF($S60="","",IF(INDEX('Master Tracker'!$N$6:$N$400,$S60)="","",INDEX('Master Tracker'!$N$6:$N$400,$S60)))</f>
        <v/>
      </c>
      <c r="O60" s="53">
        <f>IF($S60="","",IF(INDEX('Master Tracker'!$T$6:$T$400,$S60)="","",INDEX('Master Tracker'!$T$6:$T$400,$S60)))</f>
        <v/>
      </c>
      <c r="P60" s="53">
        <f>IF($S60="","",IF(INDEX('Master Tracker'!$AC$6:$AC$400,$S60)="","",INDEX('Master Tracker'!$AC$6:$AC$400,$S60)))</f>
        <v/>
      </c>
      <c r="S60">
        <f>IFERROR(MATCH("Phase 1|"&amp;A60,'Master Tracker'!$Z$6:$Z$400,0),"")</f>
        <v/>
      </c>
    </row>
    <row r="61" ht="15" customHeight="1">
      <c r="A61" s="53" t="n">
        <v>21</v>
      </c>
      <c r="B61" s="113">
        <f>IF($S61="","",IF(INDEX('Master Tracker'!$A$6:$A$400,$S61)="","",INDEX('Master Tracker'!$A$6:$A$400,$S61)))</f>
        <v/>
      </c>
      <c r="C61" s="114">
        <f>IF($S61="","",IF(INDEX('Master Tracker'!$C$6:$C$400,$S61)="","",INDEX('Master Tracker'!$C$6:$C$400,$S61)))</f>
        <v/>
      </c>
      <c r="D61" s="114">
        <f>IF($S61="","",IF(INDEX('Master Tracker'!$D$6:$D$400,$S61)="","",INDEX('Master Tracker'!$D$6:$D$400,$S61)))</f>
        <v/>
      </c>
      <c r="E61" s="53">
        <f>IF($S61="","",IF(INDEX('Master Tracker'!$F$6:$F$400,$S61)="","",INDEX('Master Tracker'!$F$6:$F$400,$S61)))</f>
        <v/>
      </c>
      <c r="F61" s="53">
        <f>IF($S61="","",IF(INDEX('Master Tracker'!$G$6:$G$400,$S61)="","",INDEX('Master Tracker'!$G$6:$G$400,$S61)))</f>
        <v/>
      </c>
      <c r="G61" s="70">
        <f>IF($S61="","",IF(INDEX('Master Tracker'!$H$6:$H$400,$S61)="","",INDEX('Master Tracker'!$H$6:$H$400,$S61)))</f>
        <v/>
      </c>
      <c r="H61" s="70">
        <f>IF($S61="","",IF(INDEX('Master Tracker'!$I$6:$I$400,$S61)="","",INDEX('Master Tracker'!$I$6:$I$400,$S61)))</f>
        <v/>
      </c>
      <c r="I61" s="115">
        <f>IF($S61="","",IF(INDEX('Master Tracker'!$U$6:$U$400,$S61)="","",INDEX('Master Tracker'!$U$6:$U$400,$S61)))</f>
        <v/>
      </c>
      <c r="J61" s="114">
        <f>IF($S61="","",IF(INDEX('Master Tracker'!$K$6:$K$400,$S61)="","",INDEX('Master Tracker'!$K$6:$K$400,$S61)))</f>
        <v/>
      </c>
      <c r="K61" s="114">
        <f>IF($S61="","",IF(INDEX('Master Tracker'!$Y$6:$Y$400,$S61)="","",INDEX('Master Tracker'!$Y$6:$Y$400,$S61)))</f>
        <v/>
      </c>
      <c r="L61" s="114">
        <f>IF($S61="","",IF(INDEX('Master Tracker'!$M$6:$M$400,$S61)="","",INDEX('Master Tracker'!$M$6:$M$400,$S61)))</f>
        <v/>
      </c>
      <c r="M61" s="114">
        <f>IF($S61="","",IF(INDEX('Master Tracker'!$O$6:$O$400,$S61)="","",INDEX('Master Tracker'!$O$6:$O$400,$S61)))</f>
        <v/>
      </c>
      <c r="N61" s="114">
        <f>IF($S61="","",IF(INDEX('Master Tracker'!$N$6:$N$400,$S61)="","",INDEX('Master Tracker'!$N$6:$N$400,$S61)))</f>
        <v/>
      </c>
      <c r="O61" s="53">
        <f>IF($S61="","",IF(INDEX('Master Tracker'!$T$6:$T$400,$S61)="","",INDEX('Master Tracker'!$T$6:$T$400,$S61)))</f>
        <v/>
      </c>
      <c r="P61" s="53">
        <f>IF($S61="","",IF(INDEX('Master Tracker'!$AC$6:$AC$400,$S61)="","",INDEX('Master Tracker'!$AC$6:$AC$400,$S61)))</f>
        <v/>
      </c>
      <c r="S61">
        <f>IFERROR(MATCH("Phase 1|"&amp;A61,'Master Tracker'!$Z$6:$Z$400,0),"")</f>
        <v/>
      </c>
    </row>
    <row r="62" ht="15" customHeight="1">
      <c r="A62" s="53" t="n">
        <v>22</v>
      </c>
      <c r="B62" s="113">
        <f>IF($S62="","",IF(INDEX('Master Tracker'!$A$6:$A$400,$S62)="","",INDEX('Master Tracker'!$A$6:$A$400,$S62)))</f>
        <v/>
      </c>
      <c r="C62" s="114">
        <f>IF($S62="","",IF(INDEX('Master Tracker'!$C$6:$C$400,$S62)="","",INDEX('Master Tracker'!$C$6:$C$400,$S62)))</f>
        <v/>
      </c>
      <c r="D62" s="114">
        <f>IF($S62="","",IF(INDEX('Master Tracker'!$D$6:$D$400,$S62)="","",INDEX('Master Tracker'!$D$6:$D$400,$S62)))</f>
        <v/>
      </c>
      <c r="E62" s="53">
        <f>IF($S62="","",IF(INDEX('Master Tracker'!$F$6:$F$400,$S62)="","",INDEX('Master Tracker'!$F$6:$F$400,$S62)))</f>
        <v/>
      </c>
      <c r="F62" s="53">
        <f>IF($S62="","",IF(INDEX('Master Tracker'!$G$6:$G$400,$S62)="","",INDEX('Master Tracker'!$G$6:$G$400,$S62)))</f>
        <v/>
      </c>
      <c r="G62" s="70">
        <f>IF($S62="","",IF(INDEX('Master Tracker'!$H$6:$H$400,$S62)="","",INDEX('Master Tracker'!$H$6:$H$400,$S62)))</f>
        <v/>
      </c>
      <c r="H62" s="70">
        <f>IF($S62="","",IF(INDEX('Master Tracker'!$I$6:$I$400,$S62)="","",INDEX('Master Tracker'!$I$6:$I$400,$S62)))</f>
        <v/>
      </c>
      <c r="I62" s="115">
        <f>IF($S62="","",IF(INDEX('Master Tracker'!$U$6:$U$400,$S62)="","",INDEX('Master Tracker'!$U$6:$U$400,$S62)))</f>
        <v/>
      </c>
      <c r="J62" s="114">
        <f>IF($S62="","",IF(INDEX('Master Tracker'!$K$6:$K$400,$S62)="","",INDEX('Master Tracker'!$K$6:$K$400,$S62)))</f>
        <v/>
      </c>
      <c r="K62" s="114">
        <f>IF($S62="","",IF(INDEX('Master Tracker'!$Y$6:$Y$400,$S62)="","",INDEX('Master Tracker'!$Y$6:$Y$400,$S62)))</f>
        <v/>
      </c>
      <c r="L62" s="114">
        <f>IF($S62="","",IF(INDEX('Master Tracker'!$M$6:$M$400,$S62)="","",INDEX('Master Tracker'!$M$6:$M$400,$S62)))</f>
        <v/>
      </c>
      <c r="M62" s="114">
        <f>IF($S62="","",IF(INDEX('Master Tracker'!$O$6:$O$400,$S62)="","",INDEX('Master Tracker'!$O$6:$O$400,$S62)))</f>
        <v/>
      </c>
      <c r="N62" s="114">
        <f>IF($S62="","",IF(INDEX('Master Tracker'!$N$6:$N$400,$S62)="","",INDEX('Master Tracker'!$N$6:$N$400,$S62)))</f>
        <v/>
      </c>
      <c r="O62" s="53">
        <f>IF($S62="","",IF(INDEX('Master Tracker'!$T$6:$T$400,$S62)="","",INDEX('Master Tracker'!$T$6:$T$400,$S62)))</f>
        <v/>
      </c>
      <c r="P62" s="53">
        <f>IF($S62="","",IF(INDEX('Master Tracker'!$AC$6:$AC$400,$S62)="","",INDEX('Master Tracker'!$AC$6:$AC$400,$S62)))</f>
        <v/>
      </c>
      <c r="S62">
        <f>IFERROR(MATCH("Phase 1|"&amp;A62,'Master Tracker'!$Z$6:$Z$400,0),"")</f>
        <v/>
      </c>
    </row>
    <row r="63" ht="15" customHeight="1">
      <c r="A63" s="53" t="n">
        <v>23</v>
      </c>
      <c r="B63" s="113">
        <f>IF($S63="","",IF(INDEX('Master Tracker'!$A$6:$A$400,$S63)="","",INDEX('Master Tracker'!$A$6:$A$400,$S63)))</f>
        <v/>
      </c>
      <c r="C63" s="114">
        <f>IF($S63="","",IF(INDEX('Master Tracker'!$C$6:$C$400,$S63)="","",INDEX('Master Tracker'!$C$6:$C$400,$S63)))</f>
        <v/>
      </c>
      <c r="D63" s="114">
        <f>IF($S63="","",IF(INDEX('Master Tracker'!$D$6:$D$400,$S63)="","",INDEX('Master Tracker'!$D$6:$D$400,$S63)))</f>
        <v/>
      </c>
      <c r="E63" s="53">
        <f>IF($S63="","",IF(INDEX('Master Tracker'!$F$6:$F$400,$S63)="","",INDEX('Master Tracker'!$F$6:$F$400,$S63)))</f>
        <v/>
      </c>
      <c r="F63" s="53">
        <f>IF($S63="","",IF(INDEX('Master Tracker'!$G$6:$G$400,$S63)="","",INDEX('Master Tracker'!$G$6:$G$400,$S63)))</f>
        <v/>
      </c>
      <c r="G63" s="70">
        <f>IF($S63="","",IF(INDEX('Master Tracker'!$H$6:$H$400,$S63)="","",INDEX('Master Tracker'!$H$6:$H$400,$S63)))</f>
        <v/>
      </c>
      <c r="H63" s="70">
        <f>IF($S63="","",IF(INDEX('Master Tracker'!$I$6:$I$400,$S63)="","",INDEX('Master Tracker'!$I$6:$I$400,$S63)))</f>
        <v/>
      </c>
      <c r="I63" s="115">
        <f>IF($S63="","",IF(INDEX('Master Tracker'!$U$6:$U$400,$S63)="","",INDEX('Master Tracker'!$U$6:$U$400,$S63)))</f>
        <v/>
      </c>
      <c r="J63" s="114">
        <f>IF($S63="","",IF(INDEX('Master Tracker'!$K$6:$K$400,$S63)="","",INDEX('Master Tracker'!$K$6:$K$400,$S63)))</f>
        <v/>
      </c>
      <c r="K63" s="114">
        <f>IF($S63="","",IF(INDEX('Master Tracker'!$Y$6:$Y$400,$S63)="","",INDEX('Master Tracker'!$Y$6:$Y$400,$S63)))</f>
        <v/>
      </c>
      <c r="L63" s="114">
        <f>IF($S63="","",IF(INDEX('Master Tracker'!$M$6:$M$400,$S63)="","",INDEX('Master Tracker'!$M$6:$M$400,$S63)))</f>
        <v/>
      </c>
      <c r="M63" s="114">
        <f>IF($S63="","",IF(INDEX('Master Tracker'!$O$6:$O$400,$S63)="","",INDEX('Master Tracker'!$O$6:$O$400,$S63)))</f>
        <v/>
      </c>
      <c r="N63" s="114">
        <f>IF($S63="","",IF(INDEX('Master Tracker'!$N$6:$N$400,$S63)="","",INDEX('Master Tracker'!$N$6:$N$400,$S63)))</f>
        <v/>
      </c>
      <c r="O63" s="53">
        <f>IF($S63="","",IF(INDEX('Master Tracker'!$T$6:$T$400,$S63)="","",INDEX('Master Tracker'!$T$6:$T$400,$S63)))</f>
        <v/>
      </c>
      <c r="P63" s="53">
        <f>IF($S63="","",IF(INDEX('Master Tracker'!$AC$6:$AC$400,$S63)="","",INDEX('Master Tracker'!$AC$6:$AC$400,$S63)))</f>
        <v/>
      </c>
      <c r="S63">
        <f>IFERROR(MATCH("Phase 1|"&amp;A63,'Master Tracker'!$Z$6:$Z$400,0),"")</f>
        <v/>
      </c>
    </row>
    <row r="64" ht="15" customHeight="1">
      <c r="A64" s="53" t="n">
        <v>24</v>
      </c>
      <c r="B64" s="113">
        <f>IF($S64="","",IF(INDEX('Master Tracker'!$A$6:$A$400,$S64)="","",INDEX('Master Tracker'!$A$6:$A$400,$S64)))</f>
        <v/>
      </c>
      <c r="C64" s="114">
        <f>IF($S64="","",IF(INDEX('Master Tracker'!$C$6:$C$400,$S64)="","",INDEX('Master Tracker'!$C$6:$C$400,$S64)))</f>
        <v/>
      </c>
      <c r="D64" s="114">
        <f>IF($S64="","",IF(INDEX('Master Tracker'!$D$6:$D$400,$S64)="","",INDEX('Master Tracker'!$D$6:$D$400,$S64)))</f>
        <v/>
      </c>
      <c r="E64" s="53">
        <f>IF($S64="","",IF(INDEX('Master Tracker'!$F$6:$F$400,$S64)="","",INDEX('Master Tracker'!$F$6:$F$400,$S64)))</f>
        <v/>
      </c>
      <c r="F64" s="53">
        <f>IF($S64="","",IF(INDEX('Master Tracker'!$G$6:$G$400,$S64)="","",INDEX('Master Tracker'!$G$6:$G$400,$S64)))</f>
        <v/>
      </c>
      <c r="G64" s="70">
        <f>IF($S64="","",IF(INDEX('Master Tracker'!$H$6:$H$400,$S64)="","",INDEX('Master Tracker'!$H$6:$H$400,$S64)))</f>
        <v/>
      </c>
      <c r="H64" s="70">
        <f>IF($S64="","",IF(INDEX('Master Tracker'!$I$6:$I$400,$S64)="","",INDEX('Master Tracker'!$I$6:$I$400,$S64)))</f>
        <v/>
      </c>
      <c r="I64" s="115">
        <f>IF($S64="","",IF(INDEX('Master Tracker'!$U$6:$U$400,$S64)="","",INDEX('Master Tracker'!$U$6:$U$400,$S64)))</f>
        <v/>
      </c>
      <c r="J64" s="114">
        <f>IF($S64="","",IF(INDEX('Master Tracker'!$K$6:$K$400,$S64)="","",INDEX('Master Tracker'!$K$6:$K$400,$S64)))</f>
        <v/>
      </c>
      <c r="K64" s="114">
        <f>IF($S64="","",IF(INDEX('Master Tracker'!$Y$6:$Y$400,$S64)="","",INDEX('Master Tracker'!$Y$6:$Y$400,$S64)))</f>
        <v/>
      </c>
      <c r="L64" s="114">
        <f>IF($S64="","",IF(INDEX('Master Tracker'!$M$6:$M$400,$S64)="","",INDEX('Master Tracker'!$M$6:$M$400,$S64)))</f>
        <v/>
      </c>
      <c r="M64" s="114">
        <f>IF($S64="","",IF(INDEX('Master Tracker'!$O$6:$O$400,$S64)="","",INDEX('Master Tracker'!$O$6:$O$400,$S64)))</f>
        <v/>
      </c>
      <c r="N64" s="114">
        <f>IF($S64="","",IF(INDEX('Master Tracker'!$N$6:$N$400,$S64)="","",INDEX('Master Tracker'!$N$6:$N$400,$S64)))</f>
        <v/>
      </c>
      <c r="O64" s="53">
        <f>IF($S64="","",IF(INDEX('Master Tracker'!$T$6:$T$400,$S64)="","",INDEX('Master Tracker'!$T$6:$T$400,$S64)))</f>
        <v/>
      </c>
      <c r="P64" s="53">
        <f>IF($S64="","",IF(INDEX('Master Tracker'!$AC$6:$AC$400,$S64)="","",INDEX('Master Tracker'!$AC$6:$AC$400,$S64)))</f>
        <v/>
      </c>
      <c r="S64">
        <f>IFERROR(MATCH("Phase 1|"&amp;A64,'Master Tracker'!$Z$6:$Z$400,0),"")</f>
        <v/>
      </c>
    </row>
    <row r="65" ht="15" customHeight="1">
      <c r="A65" s="53" t="n">
        <v>25</v>
      </c>
      <c r="B65" s="113">
        <f>IF($S65="","",IF(INDEX('Master Tracker'!$A$6:$A$400,$S65)="","",INDEX('Master Tracker'!$A$6:$A$400,$S65)))</f>
        <v/>
      </c>
      <c r="C65" s="114">
        <f>IF($S65="","",IF(INDEX('Master Tracker'!$C$6:$C$400,$S65)="","",INDEX('Master Tracker'!$C$6:$C$400,$S65)))</f>
        <v/>
      </c>
      <c r="D65" s="114">
        <f>IF($S65="","",IF(INDEX('Master Tracker'!$D$6:$D$400,$S65)="","",INDEX('Master Tracker'!$D$6:$D$400,$S65)))</f>
        <v/>
      </c>
      <c r="E65" s="53">
        <f>IF($S65="","",IF(INDEX('Master Tracker'!$F$6:$F$400,$S65)="","",INDEX('Master Tracker'!$F$6:$F$400,$S65)))</f>
        <v/>
      </c>
      <c r="F65" s="53">
        <f>IF($S65="","",IF(INDEX('Master Tracker'!$G$6:$G$400,$S65)="","",INDEX('Master Tracker'!$G$6:$G$400,$S65)))</f>
        <v/>
      </c>
      <c r="G65" s="70">
        <f>IF($S65="","",IF(INDEX('Master Tracker'!$H$6:$H$400,$S65)="","",INDEX('Master Tracker'!$H$6:$H$400,$S65)))</f>
        <v/>
      </c>
      <c r="H65" s="70">
        <f>IF($S65="","",IF(INDEX('Master Tracker'!$I$6:$I$400,$S65)="","",INDEX('Master Tracker'!$I$6:$I$400,$S65)))</f>
        <v/>
      </c>
      <c r="I65" s="115">
        <f>IF($S65="","",IF(INDEX('Master Tracker'!$U$6:$U$400,$S65)="","",INDEX('Master Tracker'!$U$6:$U$400,$S65)))</f>
        <v/>
      </c>
      <c r="J65" s="114">
        <f>IF($S65="","",IF(INDEX('Master Tracker'!$K$6:$K$400,$S65)="","",INDEX('Master Tracker'!$K$6:$K$400,$S65)))</f>
        <v/>
      </c>
      <c r="K65" s="114">
        <f>IF($S65="","",IF(INDEX('Master Tracker'!$Y$6:$Y$400,$S65)="","",INDEX('Master Tracker'!$Y$6:$Y$400,$S65)))</f>
        <v/>
      </c>
      <c r="L65" s="114">
        <f>IF($S65="","",IF(INDEX('Master Tracker'!$M$6:$M$400,$S65)="","",INDEX('Master Tracker'!$M$6:$M$400,$S65)))</f>
        <v/>
      </c>
      <c r="M65" s="114">
        <f>IF($S65="","",IF(INDEX('Master Tracker'!$O$6:$O$400,$S65)="","",INDEX('Master Tracker'!$O$6:$O$400,$S65)))</f>
        <v/>
      </c>
      <c r="N65" s="114">
        <f>IF($S65="","",IF(INDEX('Master Tracker'!$N$6:$N$400,$S65)="","",INDEX('Master Tracker'!$N$6:$N$400,$S65)))</f>
        <v/>
      </c>
      <c r="O65" s="53">
        <f>IF($S65="","",IF(INDEX('Master Tracker'!$T$6:$T$400,$S65)="","",INDEX('Master Tracker'!$T$6:$T$400,$S65)))</f>
        <v/>
      </c>
      <c r="P65" s="53">
        <f>IF($S65="","",IF(INDEX('Master Tracker'!$AC$6:$AC$400,$S65)="","",INDEX('Master Tracker'!$AC$6:$AC$400,$S65)))</f>
        <v/>
      </c>
      <c r="S65">
        <f>IFERROR(MATCH("Phase 1|"&amp;A65,'Master Tracker'!$Z$6:$Z$400,0),"")</f>
        <v/>
      </c>
    </row>
  </sheetData>
  <mergeCells count="56">
    <mergeCell ref="B32:R32"/>
    <mergeCell ref="J24:R24"/>
    <mergeCell ref="A7:R7"/>
    <mergeCell ref="A15:H15"/>
    <mergeCell ref="J5:K5"/>
    <mergeCell ref="J15:R15"/>
    <mergeCell ref="B35:R35"/>
    <mergeCell ref="A24:H24"/>
    <mergeCell ref="E5:F5"/>
    <mergeCell ref="A3:C3"/>
    <mergeCell ref="A27:R27"/>
    <mergeCell ref="B31:R31"/>
    <mergeCell ref="J20:R20"/>
    <mergeCell ref="J16:R16"/>
    <mergeCell ref="H6:I6"/>
    <mergeCell ref="A5:C5"/>
    <mergeCell ref="J6:K6"/>
    <mergeCell ref="A2:R2"/>
    <mergeCell ref="A25:H25"/>
    <mergeCell ref="A16:H16"/>
    <mergeCell ref="J25:R25"/>
    <mergeCell ref="J22:R22"/>
    <mergeCell ref="J21:R21"/>
    <mergeCell ref="A12:H12"/>
    <mergeCell ref="J12:R12"/>
    <mergeCell ref="A18:H18"/>
    <mergeCell ref="E6:F6"/>
    <mergeCell ref="A21:H21"/>
    <mergeCell ref="P5:R5"/>
    <mergeCell ref="J18:R18"/>
    <mergeCell ref="B29:R29"/>
    <mergeCell ref="A10:R10"/>
    <mergeCell ref="J23:R23"/>
    <mergeCell ref="B34:R34"/>
    <mergeCell ref="A14:H14"/>
    <mergeCell ref="B28:R28"/>
    <mergeCell ref="A9:R9"/>
    <mergeCell ref="J17:R17"/>
    <mergeCell ref="A23:H23"/>
    <mergeCell ref="B37:R37"/>
    <mergeCell ref="A22:H22"/>
    <mergeCell ref="A17:H17"/>
    <mergeCell ref="A39:R39"/>
    <mergeCell ref="J14:R14"/>
    <mergeCell ref="B30:R30"/>
    <mergeCell ref="A20:H20"/>
    <mergeCell ref="J19:R19"/>
    <mergeCell ref="A6:C6"/>
    <mergeCell ref="H5:I5"/>
    <mergeCell ref="A13:H13"/>
    <mergeCell ref="A1:R1"/>
    <mergeCell ref="J13:R13"/>
    <mergeCell ref="A19:H19"/>
    <mergeCell ref="B33:R33"/>
    <mergeCell ref="P6:R6"/>
    <mergeCell ref="B36:R36"/>
  </mergeCells>
  <conditionalFormatting sqref="P6">
    <cfRule type="expression" priority="1" dxfId="20">
      <formula>$P$6="Complete"</formula>
    </cfRule>
    <cfRule type="expression" priority="2" dxfId="21">
      <formula>$P$6="On Track"</formula>
    </cfRule>
    <cfRule type="expression" priority="3" dxfId="22">
      <formula>$P$6="Behind"</formula>
    </cfRule>
    <cfRule type="expression" priority="4" dxfId="22">
      <formula>$P$6="Blocked"</formula>
    </cfRule>
  </conditionalFormatting>
  <conditionalFormatting sqref="F41:F65">
    <cfRule type="expression" priority="5" dxfId="4">
      <formula>$F41="Completed"</formula>
    </cfRule>
    <cfRule type="expression" priority="6" dxfId="5">
      <formula>$F41="In Progress"</formula>
    </cfRule>
    <cfRule type="expression" priority="7" dxfId="11">
      <formula>$F41="Testing"</formula>
    </cfRule>
    <cfRule type="expression" priority="8" dxfId="11">
      <formula>$F41="In Review"</formula>
    </cfRule>
    <cfRule type="expression" priority="9" dxfId="6">
      <formula>$F41="Blocked"</formula>
    </cfRule>
    <cfRule type="expression" priority="10" dxfId="7">
      <formula>$F41="Not Started"</formula>
    </cfRule>
  </conditionalFormatting>
  <conditionalFormatting sqref="I41:I65">
    <cfRule type="dataBar" priority="11">
      <dataBar>
        <cfvo type="num" val="0"/>
        <cfvo type="num" val="1"/>
        <color rgb="0010B981"/>
      </dataBar>
    </cfRule>
  </conditionalFormatting>
  <conditionalFormatting sqref="P41:P65">
    <cfRule type="expression" priority="12" dxfId="16">
      <formula>$P41="Overdue"</formula>
    </cfRule>
    <cfRule type="expression" priority="13" dxfId="16">
      <formula>$P41="Blocked"</formula>
    </cfRule>
    <cfRule type="expression" priority="14" dxfId="19">
      <formula>$P41="Due soon"</formula>
    </cfRule>
    <cfRule type="expression" priority="15" dxfId="4">
      <formula>$P41="Done"</formula>
    </cfRule>
    <cfRule type="expression" priority="16" dxfId="11">
      <formula>$P41="Dependency open"</formula>
    </cfRule>
    <cfRule type="expression" priority="17" dxfId="11">
      <formula>$P41="External req."</formula>
    </cfRule>
    <cfRule type="expression" priority="18" dxfId="5">
      <formula>$P41="On track"</formula>
    </cfRule>
  </conditionalFormatting>
  <conditionalFormatting sqref="O41:O65">
    <cfRule type="expression" priority="19" dxfId="4">
      <formula>$O41="Pass"</formula>
    </cfRule>
    <cfRule type="expression" priority="20" dxfId="6">
      <formula>$O41="Fail"</formula>
    </cfRule>
    <cfRule type="expression" priority="21" dxfId="11">
      <formula>$O41="Partial"</formula>
    </cfRule>
  </conditionalFormatting>
  <hyperlinks>
    <hyperlink xmlns:r="http://schemas.openxmlformats.org/officeDocument/2006/relationships" ref="A3" r:id="rId1"/>
    <hyperlink xmlns:r="http://schemas.openxmlformats.org/officeDocument/2006/relationships" ref="D3" r:id="rId2"/>
    <hyperlink xmlns:r="http://schemas.openxmlformats.org/officeDocument/2006/relationships" ref="F3" r:id="rId3"/>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334155"/>
    <outlinePr summaryBelow="1" summaryRight="1"/>
    <pageSetUpPr fitToPage="1"/>
  </sheetPr>
  <dimension ref="A1:S70"/>
  <sheetViews>
    <sheetView showGridLines="0" zoomScale="90" workbookViewId="0">
      <pane ySplit="3" topLeftCell="A4" activePane="bottomLeft" state="frozen"/>
      <selection pane="bottomLeft" activeCell="A1" sqref="A1"/>
    </sheetView>
  </sheetViews>
  <sheetFormatPr baseColWidth="8" defaultRowHeight="15"/>
  <cols>
    <col width="5" customWidth="1" min="1" max="1"/>
    <col width="9" customWidth="1" min="2" max="2"/>
    <col width="15" customWidth="1" min="3" max="3"/>
    <col width="32" customWidth="1" min="4" max="4"/>
    <col width="8" customWidth="1" min="5" max="5"/>
    <col width="12" customWidth="1" min="6" max="6"/>
    <col width="10" customWidth="1" min="7" max="7"/>
    <col width="10" customWidth="1" min="8" max="8"/>
    <col width="10" customWidth="1" min="9" max="9"/>
    <col width="16" customWidth="1" min="10" max="10"/>
    <col width="12" customWidth="1" min="11" max="11"/>
    <col width="30" customWidth="1" min="12" max="12"/>
    <col width="38" customWidth="1" min="13" max="13"/>
    <col width="38" customWidth="1" min="14" max="14"/>
    <col width="10" customWidth="1" min="15" max="15"/>
    <col width="13" customWidth="1" min="16" max="16"/>
    <col width="12" customWidth="1" min="17" max="17"/>
    <col width="12" customWidth="1" min="18" max="18"/>
    <col hidden="1" width="4" customWidth="1" min="19" max="19"/>
  </cols>
  <sheetData>
    <row r="1" ht="34" customHeight="1">
      <c r="A1" s="1" t="inlineStr">
        <is>
          <t xml:space="preserve">  PHASE 2 — HOMEPAGE &amp; DYNAMIC SECTION MANAGER</t>
        </is>
      </c>
      <c r="B1" s="2" t="n"/>
      <c r="C1" s="2" t="n"/>
      <c r="D1" s="2" t="n"/>
      <c r="E1" s="2" t="n"/>
      <c r="F1" s="2" t="n"/>
      <c r="G1" s="2" t="n"/>
      <c r="H1" s="2" t="n"/>
      <c r="I1" s="2" t="n"/>
      <c r="J1" s="2" t="n"/>
      <c r="K1" s="2" t="n"/>
      <c r="L1" s="2" t="n"/>
      <c r="M1" s="2" t="n"/>
      <c r="N1" s="2" t="n"/>
      <c r="O1" s="2" t="n"/>
      <c r="P1" s="2" t="n"/>
      <c r="Q1" s="2" t="n"/>
      <c r="R1" s="2" t="n"/>
    </row>
    <row r="2" ht="20" customHeight="1">
      <c r="A2" s="3" t="inlineStr">
        <is>
          <t xml:space="preserve">  Window 15 Oct – 17 Oct 2026   ·   Status is read live from the Master Tracker (edit there)</t>
        </is>
      </c>
      <c r="B2" s="4" t="n"/>
      <c r="C2" s="4" t="n"/>
      <c r="D2" s="4" t="n"/>
      <c r="E2" s="4" t="n"/>
      <c r="F2" s="4" t="n"/>
      <c r="G2" s="4" t="n"/>
      <c r="H2" s="4" t="n"/>
      <c r="I2" s="4" t="n"/>
      <c r="J2" s="4" t="n"/>
      <c r="K2" s="4" t="n"/>
      <c r="L2" s="4" t="n"/>
      <c r="M2" s="4" t="n"/>
      <c r="N2" s="4" t="n"/>
      <c r="O2" s="4" t="n"/>
      <c r="P2" s="4" t="n"/>
      <c r="Q2" s="4" t="n"/>
      <c r="R2" s="4" t="n"/>
    </row>
    <row r="3">
      <c r="A3" s="87" t="inlineStr">
        <is>
          <t>← Dashboard</t>
        </is>
      </c>
      <c r="D3" s="87" t="inlineStr">
        <is>
          <t>Open Master Tracker →</t>
        </is>
      </c>
      <c r="F3" s="7" t="inlineStr">
        <is>
          <t>Staging ↗</t>
        </is>
      </c>
    </row>
    <row r="5">
      <c r="A5" s="100" t="inlineStr">
        <is>
          <t>COMPLETION</t>
        </is>
      </c>
      <c r="B5" s="101" t="n"/>
      <c r="C5" s="101" t="n"/>
      <c r="D5" s="100" t="inlineStr">
        <is>
          <t>PLANNED</t>
        </is>
      </c>
      <c r="E5" s="100" t="inlineStr">
        <is>
          <t>TASKS</t>
        </is>
      </c>
      <c r="F5" s="101" t="n"/>
      <c r="G5" s="100" t="inlineStr">
        <is>
          <t>DONE</t>
        </is>
      </c>
      <c r="H5" s="100" t="inlineStr">
        <is>
          <t>IN PROGRESS</t>
        </is>
      </c>
      <c r="I5" s="101" t="n"/>
      <c r="J5" s="100" t="inlineStr">
        <is>
          <t>BLOCKED</t>
        </is>
      </c>
      <c r="K5" s="101" t="n"/>
      <c r="L5" s="100" t="inlineStr">
        <is>
          <t>OVERDUE</t>
        </is>
      </c>
      <c r="M5" s="100" t="inlineStr">
        <is>
          <t>IN REVIEW / TEST</t>
        </is>
      </c>
      <c r="N5" s="100" t="inlineStr">
        <is>
          <t>OPEN P0</t>
        </is>
      </c>
      <c r="O5" s="100" t="inlineStr">
        <is>
          <t>DEADLINE</t>
        </is>
      </c>
      <c r="P5" s="102" t="inlineStr">
        <is>
          <t>PHASE STATUS</t>
        </is>
      </c>
    </row>
    <row r="6" ht="32" customHeight="1">
      <c r="A6" s="103">
        <f>IFERROR(SUMPRODUCT(('Master Tracker'!$B$6:$B$400="Phase 2")*'Master Tracker'!$U$6:$U$400)/COUNTIFS('Master Tracker'!$B$6:$B$400,"Phase 2",'Master Tracker'!$A$6:$A$400,"?*"),0)</f>
        <v/>
      </c>
      <c r="B6" s="104" t="n"/>
      <c r="C6" s="104" t="n"/>
      <c r="D6" s="103">
        <f>IFERROR(SUMPRODUCT(('Master Tracker'!$B$6:$B$400="Phase 2")*'Master Tracker'!$V$6:$V$400)/COUNTIFS('Master Tracker'!$B$6:$B$400,"Phase 2",'Master Tracker'!$A$6:$A$400,"?*"),0)</f>
        <v/>
      </c>
      <c r="E6" s="105">
        <f>COUNTIFS('Master Tracker'!$B$6:$B$400,"Phase 2",'Master Tracker'!$A$6:$A$400,"?*")</f>
        <v/>
      </c>
      <c r="F6" s="104" t="n"/>
      <c r="G6" s="105">
        <f>COUNTIFS('Master Tracker'!$B$6:$B$400,"Phase 2",'Master Tracker'!$G$6:$G$400,"Completed")</f>
        <v/>
      </c>
      <c r="H6" s="105">
        <f>COUNTIFS('Master Tracker'!$B$6:$B$400,"Phase 2",'Master Tracker'!$G$6:$G$400,"In Progress")</f>
        <v/>
      </c>
      <c r="I6" s="104" t="n"/>
      <c r="J6" s="105">
        <f>COUNTIFS('Master Tracker'!$B$6:$B$400,"Phase 2",'Master Tracker'!$G$6:$G$400,"Blocked")</f>
        <v/>
      </c>
      <c r="K6" s="104" t="n"/>
      <c r="L6" s="105">
        <f>COUNTIFS('Master Tracker'!$B$6:$B$400,"Phase 2",'Master Tracker'!$X$6:$X$400,"OVERDUE")</f>
        <v/>
      </c>
      <c r="M6" s="105">
        <f>COUNTIFS('Master Tracker'!$B$6:$B$400,"Phase 2",'Master Tracker'!$G$6:$G$400,"In Review")+COUNTIFS('Master Tracker'!$B$6:$B$400,"Phase 2",'Master Tracker'!$G$6:$G$400,"Testing")</f>
        <v/>
      </c>
      <c r="N6" s="105">
        <f>COUNTIFS('Master Tracker'!$B$6:$B$400,"Phase 2",'Master Tracker'!$F$6:$F$400,"P0",'Master Tracker'!$G$6:$G$400,"&lt;&gt;Completed",'Master Tracker'!$A$6:$A$400,"?*")</f>
        <v/>
      </c>
      <c r="O6" s="106">
        <f>_xlfn.MAXIFS('Master Tracker'!$I$6:$I$400,'Master Tracker'!$B$6:$B$400,"Phase 2")</f>
        <v/>
      </c>
      <c r="P6" s="107">
        <f>IF(E6=0,"—",IF(G6=E6,"Complete",IF(J6&gt;0,"Blocked",IF(L6&gt;0,"Behind",IF(A6+0.1&lt;D6,"Behind",IF(A6&gt;0,"On Track","Not Started"))))))</f>
        <v/>
      </c>
    </row>
    <row r="7" ht="22" customHeight="1">
      <c r="A7" s="108">
        <f>"Progress  "&amp;REPT("█",ROUND(A6*50,0))&amp;REPT("░",50-ROUND(A6*50,0))&amp;"  "&amp;TEXT(A6,"0%")&amp;"  (planned "&amp;TEXT(D6,"0%")&amp;")"</f>
        <v/>
      </c>
    </row>
    <row r="9" ht="22" customHeight="1">
      <c r="A9" s="9" t="inlineStr">
        <is>
          <t xml:space="preserve">  PHASE GOAL</t>
        </is>
      </c>
      <c r="B9" s="10" t="n"/>
      <c r="C9" s="10" t="n"/>
      <c r="D9" s="10" t="n"/>
      <c r="E9" s="10" t="n"/>
      <c r="F9" s="10" t="n"/>
      <c r="G9" s="10" t="n"/>
      <c r="H9" s="10" t="n"/>
      <c r="I9" s="10" t="n"/>
      <c r="J9" s="10" t="n"/>
      <c r="K9" s="10" t="n"/>
      <c r="L9" s="10" t="n"/>
      <c r="M9" s="10" t="n"/>
      <c r="N9" s="10" t="n"/>
      <c r="O9" s="10" t="n"/>
      <c r="P9" s="10" t="n"/>
      <c r="Q9" s="10" t="n"/>
      <c r="R9" s="10" t="n"/>
    </row>
    <row r="10" ht="46" customHeight="1">
      <c r="A10" s="109" t="inlineStr">
        <is>
          <t>Deliver a fully dynamic magazine homepage whose every section (source, count, order, offset, layout, visibility, cache) is controlled by editors through the WordPress Customizer Section Manager — no code changes needed to re-arrange the homepage.</t>
        </is>
      </c>
    </row>
    <row r="12" ht="22" customHeight="1">
      <c r="A12" s="9" t="inlineStr">
        <is>
          <t xml:space="preserve">  DELIVERABLES</t>
        </is>
      </c>
      <c r="B12" s="10" t="n"/>
      <c r="C12" s="10" t="n"/>
      <c r="D12" s="10" t="n"/>
      <c r="E12" s="10" t="n"/>
      <c r="F12" s="10" t="n"/>
      <c r="G12" s="10" t="n"/>
      <c r="H12" s="10" t="n"/>
      <c r="J12" s="9" t="inlineStr">
        <is>
          <t xml:space="preserve">  REQUIRED WORDPRESS FILES</t>
        </is>
      </c>
      <c r="K12" s="10" t="n"/>
      <c r="L12" s="10" t="n"/>
      <c r="M12" s="10" t="n"/>
      <c r="N12" s="10" t="n"/>
      <c r="O12" s="10" t="n"/>
      <c r="P12" s="10" t="n"/>
      <c r="Q12" s="10" t="n"/>
      <c r="R12" s="10" t="n"/>
    </row>
    <row r="13">
      <c r="A13" s="110" t="inlineStr">
        <is>
          <t>▸ Section Manager engine with per-section schema</t>
        </is>
      </c>
      <c r="J13" s="110" t="inlineStr">
        <is>
          <t>▸ front-page.php</t>
        </is>
      </c>
    </row>
    <row r="14">
      <c r="A14" s="111" t="inlineStr">
        <is>
          <t>▸ Customizer 'Homepage Sections' panel with sanitized controls</t>
        </is>
      </c>
      <c r="J14" s="111" t="inlineStr">
        <is>
          <t>▸ inc/section-manager/registry.php</t>
        </is>
      </c>
    </row>
    <row r="15">
      <c r="A15" s="110" t="inlineStr">
        <is>
          <t>▸ Category/tag selectors, manual post picker, count/sort/offset controls</t>
        </is>
      </c>
      <c r="J15" s="110" t="inlineStr">
        <is>
          <t>▸ inc/section-manager/query-builder.php</t>
        </is>
      </c>
    </row>
    <row r="16">
      <c r="A16" s="111" t="inlineStr">
        <is>
          <t>▸ Layout switching, visibility toggles, ordering, de-duplication</t>
        </is>
      </c>
      <c r="J16" s="111" t="inlineStr">
        <is>
          <t>▸ inc/section-manager/render.php</t>
        </is>
      </c>
    </row>
    <row r="17">
      <c r="A17" s="110" t="inlineStr">
        <is>
          <t>▸ Section cache controls + LiteSpeed purge</t>
        </is>
      </c>
      <c r="J17" s="110" t="inlineStr">
        <is>
          <t>▸ inc/customizer/panel-homepage.php</t>
        </is>
      </c>
    </row>
    <row r="18">
      <c r="A18" s="111" t="inlineStr">
        <is>
          <t>▸ Hero, breaking ticker, cover slider, chamber, opinion, reports, article grids</t>
        </is>
      </c>
      <c r="J18" s="111" t="inlineStr">
        <is>
          <t>▸ inc/customizer/controls/*.php</t>
        </is>
      </c>
    </row>
    <row r="19">
      <c r="A19" s="110" t="inlineStr">
        <is>
          <t>▸ Business, Real Estate, Automotive, Technology, Healthcare, Tourism sections</t>
        </is>
      </c>
      <c r="J19" s="110" t="inlineStr">
        <is>
          <t>▸ assets/js/customizer-controls.js</t>
        </is>
      </c>
    </row>
    <row r="20">
      <c r="A20" s="111" t="inlineStr">
        <is>
          <t>▸ Most-read widget and homepage ad slots</t>
        </is>
      </c>
      <c r="J20" s="111" t="inlineStr">
        <is>
          <t>▸ assets/js/modules/ticker.js, slider.js</t>
        </is>
      </c>
    </row>
    <row r="21">
      <c r="A21" s="110" t="n"/>
      <c r="J21" s="110" t="inlineStr">
        <is>
          <t>▸ template-parts/sections/*.php</t>
        </is>
      </c>
    </row>
    <row r="22">
      <c r="A22" s="111" t="n"/>
      <c r="J22" s="111" t="inlineStr">
        <is>
          <t>▸ inc/most-read.php</t>
        </is>
      </c>
    </row>
    <row r="23">
      <c r="A23" s="110" t="n"/>
      <c r="J23" s="110" t="inlineStr">
        <is>
          <t>▸ inc/widgets/most-read-widget.php</t>
        </is>
      </c>
    </row>
    <row r="25" ht="22" customHeight="1">
      <c r="A25" s="9" t="inlineStr">
        <is>
          <t xml:space="preserve">  TECHNICAL IMPLEMENTATION STEPS</t>
        </is>
      </c>
      <c r="B25" s="10" t="n"/>
      <c r="C25" s="10" t="n"/>
      <c r="D25" s="10" t="n"/>
      <c r="E25" s="10" t="n"/>
      <c r="F25" s="10" t="n"/>
      <c r="G25" s="10" t="n"/>
      <c r="H25" s="10" t="n"/>
      <c r="I25" s="10" t="n"/>
      <c r="J25" s="10" t="n"/>
      <c r="K25" s="10" t="n"/>
      <c r="L25" s="10" t="n"/>
      <c r="M25" s="10" t="n"/>
      <c r="N25" s="10" t="n"/>
      <c r="O25" s="10" t="n"/>
      <c r="P25" s="10" t="n"/>
      <c r="Q25" s="10" t="n"/>
      <c r="R25" s="10" t="n"/>
    </row>
    <row r="26">
      <c r="A26" s="112" t="n">
        <v>1</v>
      </c>
      <c r="B26" s="111" t="inlineStr">
        <is>
          <t>Define section schema &amp; registry in inc/section-manager/</t>
        </is>
      </c>
    </row>
    <row r="27">
      <c r="A27" s="112" t="n">
        <v>2</v>
      </c>
      <c r="B27" s="110" t="inlineStr">
        <is>
          <t>Build WP_Query args builder (source, count, orderby, offset, exclusions)</t>
        </is>
      </c>
    </row>
    <row r="28">
      <c r="A28" s="112" t="n">
        <v>3</v>
      </c>
      <c r="B28" s="111" t="inlineStr">
        <is>
          <t>Register Customizer panel/sections/settings with sanitize callbacks</t>
        </is>
      </c>
    </row>
    <row r="29">
      <c r="A29" s="112" t="n">
        <v>4</v>
      </c>
      <c r="B29" s="110" t="inlineStr">
        <is>
          <t>Create custom controls: term multi-select, post picker (REST), sortable order</t>
        </is>
      </c>
    </row>
    <row r="30">
      <c r="A30" s="112" t="n">
        <v>5</v>
      </c>
      <c r="B30" s="111" t="inlineStr">
        <is>
          <t>Map layouts to template-parts components</t>
        </is>
      </c>
    </row>
    <row r="31">
      <c r="A31" s="112" t="n">
        <v>6</v>
      </c>
      <c r="B31" s="110" t="inlineStr">
        <is>
          <t>Wrap every section query in altijara_cached_query with TTL</t>
        </is>
      </c>
    </row>
    <row r="32">
      <c r="A32" s="112" t="n">
        <v>7</v>
      </c>
      <c r="B32" s="111" t="inlineStr">
        <is>
          <t>Add purge button + auto-purge on publish + LiteSpeed purge action</t>
        </is>
      </c>
    </row>
    <row r="33">
      <c r="A33" s="112" t="n">
        <v>8</v>
      </c>
      <c r="B33" s="110" t="inlineStr">
        <is>
          <t>Build hero, ticker (Vanilla JS), cover slider (CPT-driven)</t>
        </is>
      </c>
    </row>
    <row r="34">
      <c r="A34" s="112" t="n">
        <v>9</v>
      </c>
      <c r="B34" s="111" t="inlineStr">
        <is>
          <t>Configure each sector section via Section Manager</t>
        </is>
      </c>
    </row>
    <row r="35">
      <c r="A35" s="112" t="n">
        <v>10</v>
      </c>
      <c r="B35" s="110" t="inlineStr">
        <is>
          <t>Implement view counter + most-read widget; measure queries with Query Monitor</t>
        </is>
      </c>
    </row>
    <row r="37" ht="22" customHeight="1">
      <c r="A37" s="9" t="inlineStr">
        <is>
          <t xml:space="preserve">  DETAILED TASK CHECKLIST   (live from Master Tracker — change Status / % there)</t>
        </is>
      </c>
      <c r="B37" s="10" t="n"/>
      <c r="C37" s="10" t="n"/>
      <c r="D37" s="10" t="n"/>
      <c r="E37" s="10" t="n"/>
      <c r="F37" s="10" t="n"/>
      <c r="G37" s="10" t="n"/>
      <c r="H37" s="10" t="n"/>
      <c r="I37" s="10" t="n"/>
      <c r="J37" s="10" t="n"/>
      <c r="K37" s="10" t="n"/>
      <c r="L37" s="10" t="n"/>
      <c r="M37" s="10" t="n"/>
      <c r="N37" s="10" t="n"/>
      <c r="O37" s="10" t="n"/>
      <c r="P37" s="10" t="n"/>
      <c r="Q37" s="10" t="n"/>
      <c r="R37" s="10" t="n"/>
    </row>
    <row r="38">
      <c r="A38" s="61" t="inlineStr">
        <is>
          <t>#</t>
        </is>
      </c>
      <c r="B38" s="61" t="inlineStr">
        <is>
          <t>Task ID</t>
        </is>
      </c>
      <c r="C38" s="61" t="inlineStr">
        <is>
          <t>Module</t>
        </is>
      </c>
      <c r="D38" s="61" t="inlineStr">
        <is>
          <t>Task</t>
        </is>
      </c>
      <c r="E38" s="61" t="inlineStr">
        <is>
          <t>Priority</t>
        </is>
      </c>
      <c r="F38" s="61" t="inlineStr">
        <is>
          <t>Status</t>
        </is>
      </c>
      <c r="G38" s="61" t="inlineStr">
        <is>
          <t>Start</t>
        </is>
      </c>
      <c r="H38" s="61" t="inlineStr">
        <is>
          <t>Due</t>
        </is>
      </c>
      <c r="I38" s="61" t="inlineStr">
        <is>
          <t>Complete</t>
        </is>
      </c>
      <c r="J38" s="61" t="inlineStr">
        <is>
          <t>Dependencies</t>
        </is>
      </c>
      <c r="K38" s="61" t="inlineStr">
        <is>
          <t>Dep. check</t>
        </is>
      </c>
      <c r="L38" s="61" t="inlineStr">
        <is>
          <t>WordPress files</t>
        </is>
      </c>
      <c r="M38" s="61" t="inlineStr">
        <is>
          <t>Acceptance criteria</t>
        </is>
      </c>
      <c r="N38" s="61" t="inlineStr">
        <is>
          <t>Testing checklist</t>
        </is>
      </c>
      <c r="O38" s="61" t="inlineStr">
        <is>
          <t>Test result</t>
        </is>
      </c>
      <c r="P38" s="61" t="inlineStr">
        <is>
          <t>Alert</t>
        </is>
      </c>
    </row>
    <row r="39" ht="48" customHeight="1">
      <c r="A39" s="53" t="n">
        <v>1</v>
      </c>
      <c r="B39" s="113">
        <f>IF($S39="","",IF(INDEX('Master Tracker'!$A$6:$A$400,$S39)="","",INDEX('Master Tracker'!$A$6:$A$400,$S39)))</f>
        <v/>
      </c>
      <c r="C39" s="114">
        <f>IF($S39="","",IF(INDEX('Master Tracker'!$C$6:$C$400,$S39)="","",INDEX('Master Tracker'!$C$6:$C$400,$S39)))</f>
        <v/>
      </c>
      <c r="D39" s="114">
        <f>IF($S39="","",IF(INDEX('Master Tracker'!$D$6:$D$400,$S39)="","",INDEX('Master Tracker'!$D$6:$D$400,$S39)))</f>
        <v/>
      </c>
      <c r="E39" s="53">
        <f>IF($S39="","",IF(INDEX('Master Tracker'!$F$6:$F$400,$S39)="","",INDEX('Master Tracker'!$F$6:$F$400,$S39)))</f>
        <v/>
      </c>
      <c r="F39" s="53">
        <f>IF($S39="","",IF(INDEX('Master Tracker'!$G$6:$G$400,$S39)="","",INDEX('Master Tracker'!$G$6:$G$400,$S39)))</f>
        <v/>
      </c>
      <c r="G39" s="70">
        <f>IF($S39="","",IF(INDEX('Master Tracker'!$H$6:$H$400,$S39)="","",INDEX('Master Tracker'!$H$6:$H$400,$S39)))</f>
        <v/>
      </c>
      <c r="H39" s="70">
        <f>IF($S39="","",IF(INDEX('Master Tracker'!$I$6:$I$400,$S39)="","",INDEX('Master Tracker'!$I$6:$I$400,$S39)))</f>
        <v/>
      </c>
      <c r="I39" s="115">
        <f>IF($S39="","",IF(INDEX('Master Tracker'!$U$6:$U$400,$S39)="","",INDEX('Master Tracker'!$U$6:$U$400,$S39)))</f>
        <v/>
      </c>
      <c r="J39" s="114">
        <f>IF($S39="","",IF(INDEX('Master Tracker'!$K$6:$K$400,$S39)="","",INDEX('Master Tracker'!$K$6:$K$400,$S39)))</f>
        <v/>
      </c>
      <c r="K39" s="114">
        <f>IF($S39="","",IF(INDEX('Master Tracker'!$Y$6:$Y$400,$S39)="","",INDEX('Master Tracker'!$Y$6:$Y$400,$S39)))</f>
        <v/>
      </c>
      <c r="L39" s="114">
        <f>IF($S39="","",IF(INDEX('Master Tracker'!$M$6:$M$400,$S39)="","",INDEX('Master Tracker'!$M$6:$M$400,$S39)))</f>
        <v/>
      </c>
      <c r="M39" s="114">
        <f>IF($S39="","",IF(INDEX('Master Tracker'!$O$6:$O$400,$S39)="","",INDEX('Master Tracker'!$O$6:$O$400,$S39)))</f>
        <v/>
      </c>
      <c r="N39" s="114">
        <f>IF($S39="","",IF(INDEX('Master Tracker'!$N$6:$N$400,$S39)="","",INDEX('Master Tracker'!$N$6:$N$400,$S39)))</f>
        <v/>
      </c>
      <c r="O39" s="53">
        <f>IF($S39="","",IF(INDEX('Master Tracker'!$T$6:$T$400,$S39)="","",INDEX('Master Tracker'!$T$6:$T$400,$S39)))</f>
        <v/>
      </c>
      <c r="P39" s="53">
        <f>IF($S39="","",IF(INDEX('Master Tracker'!$AC$6:$AC$400,$S39)="","",INDEX('Master Tracker'!$AC$6:$AC$400,$S39)))</f>
        <v/>
      </c>
      <c r="S39">
        <f>IFERROR(MATCH("Phase 2|"&amp;A39,'Master Tracker'!$Z$6:$Z$400,0),"")</f>
        <v/>
      </c>
    </row>
    <row r="40" ht="48" customHeight="1">
      <c r="A40" s="53" t="n">
        <v>2</v>
      </c>
      <c r="B40" s="113">
        <f>IF($S40="","",IF(INDEX('Master Tracker'!$A$6:$A$400,$S40)="","",INDEX('Master Tracker'!$A$6:$A$400,$S40)))</f>
        <v/>
      </c>
      <c r="C40" s="114">
        <f>IF($S40="","",IF(INDEX('Master Tracker'!$C$6:$C$400,$S40)="","",INDEX('Master Tracker'!$C$6:$C$400,$S40)))</f>
        <v/>
      </c>
      <c r="D40" s="114">
        <f>IF($S40="","",IF(INDEX('Master Tracker'!$D$6:$D$400,$S40)="","",INDEX('Master Tracker'!$D$6:$D$400,$S40)))</f>
        <v/>
      </c>
      <c r="E40" s="53">
        <f>IF($S40="","",IF(INDEX('Master Tracker'!$F$6:$F$400,$S40)="","",INDEX('Master Tracker'!$F$6:$F$400,$S40)))</f>
        <v/>
      </c>
      <c r="F40" s="53">
        <f>IF($S40="","",IF(INDEX('Master Tracker'!$G$6:$G$400,$S40)="","",INDEX('Master Tracker'!$G$6:$G$400,$S40)))</f>
        <v/>
      </c>
      <c r="G40" s="70">
        <f>IF($S40="","",IF(INDEX('Master Tracker'!$H$6:$H$400,$S40)="","",INDEX('Master Tracker'!$H$6:$H$400,$S40)))</f>
        <v/>
      </c>
      <c r="H40" s="70">
        <f>IF($S40="","",IF(INDEX('Master Tracker'!$I$6:$I$400,$S40)="","",INDEX('Master Tracker'!$I$6:$I$400,$S40)))</f>
        <v/>
      </c>
      <c r="I40" s="115">
        <f>IF($S40="","",IF(INDEX('Master Tracker'!$U$6:$U$400,$S40)="","",INDEX('Master Tracker'!$U$6:$U$400,$S40)))</f>
        <v/>
      </c>
      <c r="J40" s="114">
        <f>IF($S40="","",IF(INDEX('Master Tracker'!$K$6:$K$400,$S40)="","",INDEX('Master Tracker'!$K$6:$K$400,$S40)))</f>
        <v/>
      </c>
      <c r="K40" s="114">
        <f>IF($S40="","",IF(INDEX('Master Tracker'!$Y$6:$Y$400,$S40)="","",INDEX('Master Tracker'!$Y$6:$Y$400,$S40)))</f>
        <v/>
      </c>
      <c r="L40" s="114">
        <f>IF($S40="","",IF(INDEX('Master Tracker'!$M$6:$M$400,$S40)="","",INDEX('Master Tracker'!$M$6:$M$400,$S40)))</f>
        <v/>
      </c>
      <c r="M40" s="114">
        <f>IF($S40="","",IF(INDEX('Master Tracker'!$O$6:$O$400,$S40)="","",INDEX('Master Tracker'!$O$6:$O$400,$S40)))</f>
        <v/>
      </c>
      <c r="N40" s="114">
        <f>IF($S40="","",IF(INDEX('Master Tracker'!$N$6:$N$400,$S40)="","",INDEX('Master Tracker'!$N$6:$N$400,$S40)))</f>
        <v/>
      </c>
      <c r="O40" s="53">
        <f>IF($S40="","",IF(INDEX('Master Tracker'!$T$6:$T$400,$S40)="","",INDEX('Master Tracker'!$T$6:$T$400,$S40)))</f>
        <v/>
      </c>
      <c r="P40" s="53">
        <f>IF($S40="","",IF(INDEX('Master Tracker'!$AC$6:$AC$400,$S40)="","",INDEX('Master Tracker'!$AC$6:$AC$400,$S40)))</f>
        <v/>
      </c>
      <c r="S40">
        <f>IFERROR(MATCH("Phase 2|"&amp;A40,'Master Tracker'!$Z$6:$Z$400,0),"")</f>
        <v/>
      </c>
    </row>
    <row r="41" ht="48" customHeight="1">
      <c r="A41" s="53" t="n">
        <v>3</v>
      </c>
      <c r="B41" s="113">
        <f>IF($S41="","",IF(INDEX('Master Tracker'!$A$6:$A$400,$S41)="","",INDEX('Master Tracker'!$A$6:$A$400,$S41)))</f>
        <v/>
      </c>
      <c r="C41" s="114">
        <f>IF($S41="","",IF(INDEX('Master Tracker'!$C$6:$C$400,$S41)="","",INDEX('Master Tracker'!$C$6:$C$400,$S41)))</f>
        <v/>
      </c>
      <c r="D41" s="114">
        <f>IF($S41="","",IF(INDEX('Master Tracker'!$D$6:$D$400,$S41)="","",INDEX('Master Tracker'!$D$6:$D$400,$S41)))</f>
        <v/>
      </c>
      <c r="E41" s="53">
        <f>IF($S41="","",IF(INDEX('Master Tracker'!$F$6:$F$400,$S41)="","",INDEX('Master Tracker'!$F$6:$F$400,$S41)))</f>
        <v/>
      </c>
      <c r="F41" s="53">
        <f>IF($S41="","",IF(INDEX('Master Tracker'!$G$6:$G$400,$S41)="","",INDEX('Master Tracker'!$G$6:$G$400,$S41)))</f>
        <v/>
      </c>
      <c r="G41" s="70">
        <f>IF($S41="","",IF(INDEX('Master Tracker'!$H$6:$H$400,$S41)="","",INDEX('Master Tracker'!$H$6:$H$400,$S41)))</f>
        <v/>
      </c>
      <c r="H41" s="70">
        <f>IF($S41="","",IF(INDEX('Master Tracker'!$I$6:$I$400,$S41)="","",INDEX('Master Tracker'!$I$6:$I$400,$S41)))</f>
        <v/>
      </c>
      <c r="I41" s="115">
        <f>IF($S41="","",IF(INDEX('Master Tracker'!$U$6:$U$400,$S41)="","",INDEX('Master Tracker'!$U$6:$U$400,$S41)))</f>
        <v/>
      </c>
      <c r="J41" s="114">
        <f>IF($S41="","",IF(INDEX('Master Tracker'!$K$6:$K$400,$S41)="","",INDEX('Master Tracker'!$K$6:$K$400,$S41)))</f>
        <v/>
      </c>
      <c r="K41" s="114">
        <f>IF($S41="","",IF(INDEX('Master Tracker'!$Y$6:$Y$400,$S41)="","",INDEX('Master Tracker'!$Y$6:$Y$400,$S41)))</f>
        <v/>
      </c>
      <c r="L41" s="114">
        <f>IF($S41="","",IF(INDEX('Master Tracker'!$M$6:$M$400,$S41)="","",INDEX('Master Tracker'!$M$6:$M$400,$S41)))</f>
        <v/>
      </c>
      <c r="M41" s="114">
        <f>IF($S41="","",IF(INDEX('Master Tracker'!$O$6:$O$400,$S41)="","",INDEX('Master Tracker'!$O$6:$O$400,$S41)))</f>
        <v/>
      </c>
      <c r="N41" s="114">
        <f>IF($S41="","",IF(INDEX('Master Tracker'!$N$6:$N$400,$S41)="","",INDEX('Master Tracker'!$N$6:$N$400,$S41)))</f>
        <v/>
      </c>
      <c r="O41" s="53">
        <f>IF($S41="","",IF(INDEX('Master Tracker'!$T$6:$T$400,$S41)="","",INDEX('Master Tracker'!$T$6:$T$400,$S41)))</f>
        <v/>
      </c>
      <c r="P41" s="53">
        <f>IF($S41="","",IF(INDEX('Master Tracker'!$AC$6:$AC$400,$S41)="","",INDEX('Master Tracker'!$AC$6:$AC$400,$S41)))</f>
        <v/>
      </c>
      <c r="S41">
        <f>IFERROR(MATCH("Phase 2|"&amp;A41,'Master Tracker'!$Z$6:$Z$400,0),"")</f>
        <v/>
      </c>
    </row>
    <row r="42" ht="48" customHeight="1">
      <c r="A42" s="53" t="n">
        <v>4</v>
      </c>
      <c r="B42" s="113">
        <f>IF($S42="","",IF(INDEX('Master Tracker'!$A$6:$A$400,$S42)="","",INDEX('Master Tracker'!$A$6:$A$400,$S42)))</f>
        <v/>
      </c>
      <c r="C42" s="114">
        <f>IF($S42="","",IF(INDEX('Master Tracker'!$C$6:$C$400,$S42)="","",INDEX('Master Tracker'!$C$6:$C$400,$S42)))</f>
        <v/>
      </c>
      <c r="D42" s="114">
        <f>IF($S42="","",IF(INDEX('Master Tracker'!$D$6:$D$400,$S42)="","",INDEX('Master Tracker'!$D$6:$D$400,$S42)))</f>
        <v/>
      </c>
      <c r="E42" s="53">
        <f>IF($S42="","",IF(INDEX('Master Tracker'!$F$6:$F$400,$S42)="","",INDEX('Master Tracker'!$F$6:$F$400,$S42)))</f>
        <v/>
      </c>
      <c r="F42" s="53">
        <f>IF($S42="","",IF(INDEX('Master Tracker'!$G$6:$G$400,$S42)="","",INDEX('Master Tracker'!$G$6:$G$400,$S42)))</f>
        <v/>
      </c>
      <c r="G42" s="70">
        <f>IF($S42="","",IF(INDEX('Master Tracker'!$H$6:$H$400,$S42)="","",INDEX('Master Tracker'!$H$6:$H$400,$S42)))</f>
        <v/>
      </c>
      <c r="H42" s="70">
        <f>IF($S42="","",IF(INDEX('Master Tracker'!$I$6:$I$400,$S42)="","",INDEX('Master Tracker'!$I$6:$I$400,$S42)))</f>
        <v/>
      </c>
      <c r="I42" s="115">
        <f>IF($S42="","",IF(INDEX('Master Tracker'!$U$6:$U$400,$S42)="","",INDEX('Master Tracker'!$U$6:$U$400,$S42)))</f>
        <v/>
      </c>
      <c r="J42" s="114">
        <f>IF($S42="","",IF(INDEX('Master Tracker'!$K$6:$K$400,$S42)="","",INDEX('Master Tracker'!$K$6:$K$400,$S42)))</f>
        <v/>
      </c>
      <c r="K42" s="114">
        <f>IF($S42="","",IF(INDEX('Master Tracker'!$Y$6:$Y$400,$S42)="","",INDEX('Master Tracker'!$Y$6:$Y$400,$S42)))</f>
        <v/>
      </c>
      <c r="L42" s="114">
        <f>IF($S42="","",IF(INDEX('Master Tracker'!$M$6:$M$400,$S42)="","",INDEX('Master Tracker'!$M$6:$M$400,$S42)))</f>
        <v/>
      </c>
      <c r="M42" s="114">
        <f>IF($S42="","",IF(INDEX('Master Tracker'!$O$6:$O$400,$S42)="","",INDEX('Master Tracker'!$O$6:$O$400,$S42)))</f>
        <v/>
      </c>
      <c r="N42" s="114">
        <f>IF($S42="","",IF(INDEX('Master Tracker'!$N$6:$N$400,$S42)="","",INDEX('Master Tracker'!$N$6:$N$400,$S42)))</f>
        <v/>
      </c>
      <c r="O42" s="53">
        <f>IF($S42="","",IF(INDEX('Master Tracker'!$T$6:$T$400,$S42)="","",INDEX('Master Tracker'!$T$6:$T$400,$S42)))</f>
        <v/>
      </c>
      <c r="P42" s="53">
        <f>IF($S42="","",IF(INDEX('Master Tracker'!$AC$6:$AC$400,$S42)="","",INDEX('Master Tracker'!$AC$6:$AC$400,$S42)))</f>
        <v/>
      </c>
      <c r="S42">
        <f>IFERROR(MATCH("Phase 2|"&amp;A42,'Master Tracker'!$Z$6:$Z$400,0),"")</f>
        <v/>
      </c>
    </row>
    <row r="43" ht="48" customHeight="1">
      <c r="A43" s="53" t="n">
        <v>5</v>
      </c>
      <c r="B43" s="113">
        <f>IF($S43="","",IF(INDEX('Master Tracker'!$A$6:$A$400,$S43)="","",INDEX('Master Tracker'!$A$6:$A$400,$S43)))</f>
        <v/>
      </c>
      <c r="C43" s="114">
        <f>IF($S43="","",IF(INDEX('Master Tracker'!$C$6:$C$400,$S43)="","",INDEX('Master Tracker'!$C$6:$C$400,$S43)))</f>
        <v/>
      </c>
      <c r="D43" s="114">
        <f>IF($S43="","",IF(INDEX('Master Tracker'!$D$6:$D$400,$S43)="","",INDEX('Master Tracker'!$D$6:$D$400,$S43)))</f>
        <v/>
      </c>
      <c r="E43" s="53">
        <f>IF($S43="","",IF(INDEX('Master Tracker'!$F$6:$F$400,$S43)="","",INDEX('Master Tracker'!$F$6:$F$400,$S43)))</f>
        <v/>
      </c>
      <c r="F43" s="53">
        <f>IF($S43="","",IF(INDEX('Master Tracker'!$G$6:$G$400,$S43)="","",INDEX('Master Tracker'!$G$6:$G$400,$S43)))</f>
        <v/>
      </c>
      <c r="G43" s="70">
        <f>IF($S43="","",IF(INDEX('Master Tracker'!$H$6:$H$400,$S43)="","",INDEX('Master Tracker'!$H$6:$H$400,$S43)))</f>
        <v/>
      </c>
      <c r="H43" s="70">
        <f>IF($S43="","",IF(INDEX('Master Tracker'!$I$6:$I$400,$S43)="","",INDEX('Master Tracker'!$I$6:$I$400,$S43)))</f>
        <v/>
      </c>
      <c r="I43" s="115">
        <f>IF($S43="","",IF(INDEX('Master Tracker'!$U$6:$U$400,$S43)="","",INDEX('Master Tracker'!$U$6:$U$400,$S43)))</f>
        <v/>
      </c>
      <c r="J43" s="114">
        <f>IF($S43="","",IF(INDEX('Master Tracker'!$K$6:$K$400,$S43)="","",INDEX('Master Tracker'!$K$6:$K$400,$S43)))</f>
        <v/>
      </c>
      <c r="K43" s="114">
        <f>IF($S43="","",IF(INDEX('Master Tracker'!$Y$6:$Y$400,$S43)="","",INDEX('Master Tracker'!$Y$6:$Y$400,$S43)))</f>
        <v/>
      </c>
      <c r="L43" s="114">
        <f>IF($S43="","",IF(INDEX('Master Tracker'!$M$6:$M$400,$S43)="","",INDEX('Master Tracker'!$M$6:$M$400,$S43)))</f>
        <v/>
      </c>
      <c r="M43" s="114">
        <f>IF($S43="","",IF(INDEX('Master Tracker'!$O$6:$O$400,$S43)="","",INDEX('Master Tracker'!$O$6:$O$400,$S43)))</f>
        <v/>
      </c>
      <c r="N43" s="114">
        <f>IF($S43="","",IF(INDEX('Master Tracker'!$N$6:$N$400,$S43)="","",INDEX('Master Tracker'!$N$6:$N$400,$S43)))</f>
        <v/>
      </c>
      <c r="O43" s="53">
        <f>IF($S43="","",IF(INDEX('Master Tracker'!$T$6:$T$400,$S43)="","",INDEX('Master Tracker'!$T$6:$T$400,$S43)))</f>
        <v/>
      </c>
      <c r="P43" s="53">
        <f>IF($S43="","",IF(INDEX('Master Tracker'!$AC$6:$AC$400,$S43)="","",INDEX('Master Tracker'!$AC$6:$AC$400,$S43)))</f>
        <v/>
      </c>
      <c r="S43">
        <f>IFERROR(MATCH("Phase 2|"&amp;A43,'Master Tracker'!$Z$6:$Z$400,0),"")</f>
        <v/>
      </c>
    </row>
    <row r="44" ht="48" customHeight="1">
      <c r="A44" s="53" t="n">
        <v>6</v>
      </c>
      <c r="B44" s="113">
        <f>IF($S44="","",IF(INDEX('Master Tracker'!$A$6:$A$400,$S44)="","",INDEX('Master Tracker'!$A$6:$A$400,$S44)))</f>
        <v/>
      </c>
      <c r="C44" s="114">
        <f>IF($S44="","",IF(INDEX('Master Tracker'!$C$6:$C$400,$S44)="","",INDEX('Master Tracker'!$C$6:$C$400,$S44)))</f>
        <v/>
      </c>
      <c r="D44" s="114">
        <f>IF($S44="","",IF(INDEX('Master Tracker'!$D$6:$D$400,$S44)="","",INDEX('Master Tracker'!$D$6:$D$400,$S44)))</f>
        <v/>
      </c>
      <c r="E44" s="53">
        <f>IF($S44="","",IF(INDEX('Master Tracker'!$F$6:$F$400,$S44)="","",INDEX('Master Tracker'!$F$6:$F$400,$S44)))</f>
        <v/>
      </c>
      <c r="F44" s="53">
        <f>IF($S44="","",IF(INDEX('Master Tracker'!$G$6:$G$400,$S44)="","",INDEX('Master Tracker'!$G$6:$G$400,$S44)))</f>
        <v/>
      </c>
      <c r="G44" s="70">
        <f>IF($S44="","",IF(INDEX('Master Tracker'!$H$6:$H$400,$S44)="","",INDEX('Master Tracker'!$H$6:$H$400,$S44)))</f>
        <v/>
      </c>
      <c r="H44" s="70">
        <f>IF($S44="","",IF(INDEX('Master Tracker'!$I$6:$I$400,$S44)="","",INDEX('Master Tracker'!$I$6:$I$400,$S44)))</f>
        <v/>
      </c>
      <c r="I44" s="115">
        <f>IF($S44="","",IF(INDEX('Master Tracker'!$U$6:$U$400,$S44)="","",INDEX('Master Tracker'!$U$6:$U$400,$S44)))</f>
        <v/>
      </c>
      <c r="J44" s="114">
        <f>IF($S44="","",IF(INDEX('Master Tracker'!$K$6:$K$400,$S44)="","",INDEX('Master Tracker'!$K$6:$K$400,$S44)))</f>
        <v/>
      </c>
      <c r="K44" s="114">
        <f>IF($S44="","",IF(INDEX('Master Tracker'!$Y$6:$Y$400,$S44)="","",INDEX('Master Tracker'!$Y$6:$Y$400,$S44)))</f>
        <v/>
      </c>
      <c r="L44" s="114">
        <f>IF($S44="","",IF(INDEX('Master Tracker'!$M$6:$M$400,$S44)="","",INDEX('Master Tracker'!$M$6:$M$400,$S44)))</f>
        <v/>
      </c>
      <c r="M44" s="114">
        <f>IF($S44="","",IF(INDEX('Master Tracker'!$O$6:$O$400,$S44)="","",INDEX('Master Tracker'!$O$6:$O$400,$S44)))</f>
        <v/>
      </c>
      <c r="N44" s="114">
        <f>IF($S44="","",IF(INDEX('Master Tracker'!$N$6:$N$400,$S44)="","",INDEX('Master Tracker'!$N$6:$N$400,$S44)))</f>
        <v/>
      </c>
      <c r="O44" s="53">
        <f>IF($S44="","",IF(INDEX('Master Tracker'!$T$6:$T$400,$S44)="","",INDEX('Master Tracker'!$T$6:$T$400,$S44)))</f>
        <v/>
      </c>
      <c r="P44" s="53">
        <f>IF($S44="","",IF(INDEX('Master Tracker'!$AC$6:$AC$400,$S44)="","",INDEX('Master Tracker'!$AC$6:$AC$400,$S44)))</f>
        <v/>
      </c>
      <c r="S44">
        <f>IFERROR(MATCH("Phase 2|"&amp;A44,'Master Tracker'!$Z$6:$Z$400,0),"")</f>
        <v/>
      </c>
    </row>
    <row r="45" ht="48" customHeight="1">
      <c r="A45" s="53" t="n">
        <v>7</v>
      </c>
      <c r="B45" s="113">
        <f>IF($S45="","",IF(INDEX('Master Tracker'!$A$6:$A$400,$S45)="","",INDEX('Master Tracker'!$A$6:$A$400,$S45)))</f>
        <v/>
      </c>
      <c r="C45" s="114">
        <f>IF($S45="","",IF(INDEX('Master Tracker'!$C$6:$C$400,$S45)="","",INDEX('Master Tracker'!$C$6:$C$400,$S45)))</f>
        <v/>
      </c>
      <c r="D45" s="114">
        <f>IF($S45="","",IF(INDEX('Master Tracker'!$D$6:$D$400,$S45)="","",INDEX('Master Tracker'!$D$6:$D$400,$S45)))</f>
        <v/>
      </c>
      <c r="E45" s="53">
        <f>IF($S45="","",IF(INDEX('Master Tracker'!$F$6:$F$400,$S45)="","",INDEX('Master Tracker'!$F$6:$F$400,$S45)))</f>
        <v/>
      </c>
      <c r="F45" s="53">
        <f>IF($S45="","",IF(INDEX('Master Tracker'!$G$6:$G$400,$S45)="","",INDEX('Master Tracker'!$G$6:$G$400,$S45)))</f>
        <v/>
      </c>
      <c r="G45" s="70">
        <f>IF($S45="","",IF(INDEX('Master Tracker'!$H$6:$H$400,$S45)="","",INDEX('Master Tracker'!$H$6:$H$400,$S45)))</f>
        <v/>
      </c>
      <c r="H45" s="70">
        <f>IF($S45="","",IF(INDEX('Master Tracker'!$I$6:$I$400,$S45)="","",INDEX('Master Tracker'!$I$6:$I$400,$S45)))</f>
        <v/>
      </c>
      <c r="I45" s="115">
        <f>IF($S45="","",IF(INDEX('Master Tracker'!$U$6:$U$400,$S45)="","",INDEX('Master Tracker'!$U$6:$U$400,$S45)))</f>
        <v/>
      </c>
      <c r="J45" s="114">
        <f>IF($S45="","",IF(INDEX('Master Tracker'!$K$6:$K$400,$S45)="","",INDEX('Master Tracker'!$K$6:$K$400,$S45)))</f>
        <v/>
      </c>
      <c r="K45" s="114">
        <f>IF($S45="","",IF(INDEX('Master Tracker'!$Y$6:$Y$400,$S45)="","",INDEX('Master Tracker'!$Y$6:$Y$400,$S45)))</f>
        <v/>
      </c>
      <c r="L45" s="114">
        <f>IF($S45="","",IF(INDEX('Master Tracker'!$M$6:$M$400,$S45)="","",INDEX('Master Tracker'!$M$6:$M$400,$S45)))</f>
        <v/>
      </c>
      <c r="M45" s="114">
        <f>IF($S45="","",IF(INDEX('Master Tracker'!$O$6:$O$400,$S45)="","",INDEX('Master Tracker'!$O$6:$O$400,$S45)))</f>
        <v/>
      </c>
      <c r="N45" s="114">
        <f>IF($S45="","",IF(INDEX('Master Tracker'!$N$6:$N$400,$S45)="","",INDEX('Master Tracker'!$N$6:$N$400,$S45)))</f>
        <v/>
      </c>
      <c r="O45" s="53">
        <f>IF($S45="","",IF(INDEX('Master Tracker'!$T$6:$T$400,$S45)="","",INDEX('Master Tracker'!$T$6:$T$400,$S45)))</f>
        <v/>
      </c>
      <c r="P45" s="53">
        <f>IF($S45="","",IF(INDEX('Master Tracker'!$AC$6:$AC$400,$S45)="","",INDEX('Master Tracker'!$AC$6:$AC$400,$S45)))</f>
        <v/>
      </c>
      <c r="S45">
        <f>IFERROR(MATCH("Phase 2|"&amp;A45,'Master Tracker'!$Z$6:$Z$400,0),"")</f>
        <v/>
      </c>
    </row>
    <row r="46" ht="48" customHeight="1">
      <c r="A46" s="53" t="n">
        <v>8</v>
      </c>
      <c r="B46" s="113">
        <f>IF($S46="","",IF(INDEX('Master Tracker'!$A$6:$A$400,$S46)="","",INDEX('Master Tracker'!$A$6:$A$400,$S46)))</f>
        <v/>
      </c>
      <c r="C46" s="114">
        <f>IF($S46="","",IF(INDEX('Master Tracker'!$C$6:$C$400,$S46)="","",INDEX('Master Tracker'!$C$6:$C$400,$S46)))</f>
        <v/>
      </c>
      <c r="D46" s="114">
        <f>IF($S46="","",IF(INDEX('Master Tracker'!$D$6:$D$400,$S46)="","",INDEX('Master Tracker'!$D$6:$D$400,$S46)))</f>
        <v/>
      </c>
      <c r="E46" s="53">
        <f>IF($S46="","",IF(INDEX('Master Tracker'!$F$6:$F$400,$S46)="","",INDEX('Master Tracker'!$F$6:$F$400,$S46)))</f>
        <v/>
      </c>
      <c r="F46" s="53">
        <f>IF($S46="","",IF(INDEX('Master Tracker'!$G$6:$G$400,$S46)="","",INDEX('Master Tracker'!$G$6:$G$400,$S46)))</f>
        <v/>
      </c>
      <c r="G46" s="70">
        <f>IF($S46="","",IF(INDEX('Master Tracker'!$H$6:$H$400,$S46)="","",INDEX('Master Tracker'!$H$6:$H$400,$S46)))</f>
        <v/>
      </c>
      <c r="H46" s="70">
        <f>IF($S46="","",IF(INDEX('Master Tracker'!$I$6:$I$400,$S46)="","",INDEX('Master Tracker'!$I$6:$I$400,$S46)))</f>
        <v/>
      </c>
      <c r="I46" s="115">
        <f>IF($S46="","",IF(INDEX('Master Tracker'!$U$6:$U$400,$S46)="","",INDEX('Master Tracker'!$U$6:$U$400,$S46)))</f>
        <v/>
      </c>
      <c r="J46" s="114">
        <f>IF($S46="","",IF(INDEX('Master Tracker'!$K$6:$K$400,$S46)="","",INDEX('Master Tracker'!$K$6:$K$400,$S46)))</f>
        <v/>
      </c>
      <c r="K46" s="114">
        <f>IF($S46="","",IF(INDEX('Master Tracker'!$Y$6:$Y$400,$S46)="","",INDEX('Master Tracker'!$Y$6:$Y$400,$S46)))</f>
        <v/>
      </c>
      <c r="L46" s="114">
        <f>IF($S46="","",IF(INDEX('Master Tracker'!$M$6:$M$400,$S46)="","",INDEX('Master Tracker'!$M$6:$M$400,$S46)))</f>
        <v/>
      </c>
      <c r="M46" s="114">
        <f>IF($S46="","",IF(INDEX('Master Tracker'!$O$6:$O$400,$S46)="","",INDEX('Master Tracker'!$O$6:$O$400,$S46)))</f>
        <v/>
      </c>
      <c r="N46" s="114">
        <f>IF($S46="","",IF(INDEX('Master Tracker'!$N$6:$N$400,$S46)="","",INDEX('Master Tracker'!$N$6:$N$400,$S46)))</f>
        <v/>
      </c>
      <c r="O46" s="53">
        <f>IF($S46="","",IF(INDEX('Master Tracker'!$T$6:$T$400,$S46)="","",INDEX('Master Tracker'!$T$6:$T$400,$S46)))</f>
        <v/>
      </c>
      <c r="P46" s="53">
        <f>IF($S46="","",IF(INDEX('Master Tracker'!$AC$6:$AC$400,$S46)="","",INDEX('Master Tracker'!$AC$6:$AC$400,$S46)))</f>
        <v/>
      </c>
      <c r="S46">
        <f>IFERROR(MATCH("Phase 2|"&amp;A46,'Master Tracker'!$Z$6:$Z$400,0),"")</f>
        <v/>
      </c>
    </row>
    <row r="47" ht="48" customHeight="1">
      <c r="A47" s="53" t="n">
        <v>9</v>
      </c>
      <c r="B47" s="113">
        <f>IF($S47="","",IF(INDEX('Master Tracker'!$A$6:$A$400,$S47)="","",INDEX('Master Tracker'!$A$6:$A$400,$S47)))</f>
        <v/>
      </c>
      <c r="C47" s="114">
        <f>IF($S47="","",IF(INDEX('Master Tracker'!$C$6:$C$400,$S47)="","",INDEX('Master Tracker'!$C$6:$C$400,$S47)))</f>
        <v/>
      </c>
      <c r="D47" s="114">
        <f>IF($S47="","",IF(INDEX('Master Tracker'!$D$6:$D$400,$S47)="","",INDEX('Master Tracker'!$D$6:$D$400,$S47)))</f>
        <v/>
      </c>
      <c r="E47" s="53">
        <f>IF($S47="","",IF(INDEX('Master Tracker'!$F$6:$F$400,$S47)="","",INDEX('Master Tracker'!$F$6:$F$400,$S47)))</f>
        <v/>
      </c>
      <c r="F47" s="53">
        <f>IF($S47="","",IF(INDEX('Master Tracker'!$G$6:$G$400,$S47)="","",INDEX('Master Tracker'!$G$6:$G$400,$S47)))</f>
        <v/>
      </c>
      <c r="G47" s="70">
        <f>IF($S47="","",IF(INDEX('Master Tracker'!$H$6:$H$400,$S47)="","",INDEX('Master Tracker'!$H$6:$H$400,$S47)))</f>
        <v/>
      </c>
      <c r="H47" s="70">
        <f>IF($S47="","",IF(INDEX('Master Tracker'!$I$6:$I$400,$S47)="","",INDEX('Master Tracker'!$I$6:$I$400,$S47)))</f>
        <v/>
      </c>
      <c r="I47" s="115">
        <f>IF($S47="","",IF(INDEX('Master Tracker'!$U$6:$U$400,$S47)="","",INDEX('Master Tracker'!$U$6:$U$400,$S47)))</f>
        <v/>
      </c>
      <c r="J47" s="114">
        <f>IF($S47="","",IF(INDEX('Master Tracker'!$K$6:$K$400,$S47)="","",INDEX('Master Tracker'!$K$6:$K$400,$S47)))</f>
        <v/>
      </c>
      <c r="K47" s="114">
        <f>IF($S47="","",IF(INDEX('Master Tracker'!$Y$6:$Y$400,$S47)="","",INDEX('Master Tracker'!$Y$6:$Y$400,$S47)))</f>
        <v/>
      </c>
      <c r="L47" s="114">
        <f>IF($S47="","",IF(INDEX('Master Tracker'!$M$6:$M$400,$S47)="","",INDEX('Master Tracker'!$M$6:$M$400,$S47)))</f>
        <v/>
      </c>
      <c r="M47" s="114">
        <f>IF($S47="","",IF(INDEX('Master Tracker'!$O$6:$O$400,$S47)="","",INDEX('Master Tracker'!$O$6:$O$400,$S47)))</f>
        <v/>
      </c>
      <c r="N47" s="114">
        <f>IF($S47="","",IF(INDEX('Master Tracker'!$N$6:$N$400,$S47)="","",INDEX('Master Tracker'!$N$6:$N$400,$S47)))</f>
        <v/>
      </c>
      <c r="O47" s="53">
        <f>IF($S47="","",IF(INDEX('Master Tracker'!$T$6:$T$400,$S47)="","",INDEX('Master Tracker'!$T$6:$T$400,$S47)))</f>
        <v/>
      </c>
      <c r="P47" s="53">
        <f>IF($S47="","",IF(INDEX('Master Tracker'!$AC$6:$AC$400,$S47)="","",INDEX('Master Tracker'!$AC$6:$AC$400,$S47)))</f>
        <v/>
      </c>
      <c r="S47">
        <f>IFERROR(MATCH("Phase 2|"&amp;A47,'Master Tracker'!$Z$6:$Z$400,0),"")</f>
        <v/>
      </c>
    </row>
    <row r="48" ht="48" customHeight="1">
      <c r="A48" s="53" t="n">
        <v>10</v>
      </c>
      <c r="B48" s="113">
        <f>IF($S48="","",IF(INDEX('Master Tracker'!$A$6:$A$400,$S48)="","",INDEX('Master Tracker'!$A$6:$A$400,$S48)))</f>
        <v/>
      </c>
      <c r="C48" s="114">
        <f>IF($S48="","",IF(INDEX('Master Tracker'!$C$6:$C$400,$S48)="","",INDEX('Master Tracker'!$C$6:$C$400,$S48)))</f>
        <v/>
      </c>
      <c r="D48" s="114">
        <f>IF($S48="","",IF(INDEX('Master Tracker'!$D$6:$D$400,$S48)="","",INDEX('Master Tracker'!$D$6:$D$400,$S48)))</f>
        <v/>
      </c>
      <c r="E48" s="53">
        <f>IF($S48="","",IF(INDEX('Master Tracker'!$F$6:$F$400,$S48)="","",INDEX('Master Tracker'!$F$6:$F$400,$S48)))</f>
        <v/>
      </c>
      <c r="F48" s="53">
        <f>IF($S48="","",IF(INDEX('Master Tracker'!$G$6:$G$400,$S48)="","",INDEX('Master Tracker'!$G$6:$G$400,$S48)))</f>
        <v/>
      </c>
      <c r="G48" s="70">
        <f>IF($S48="","",IF(INDEX('Master Tracker'!$H$6:$H$400,$S48)="","",INDEX('Master Tracker'!$H$6:$H$400,$S48)))</f>
        <v/>
      </c>
      <c r="H48" s="70">
        <f>IF($S48="","",IF(INDEX('Master Tracker'!$I$6:$I$400,$S48)="","",INDEX('Master Tracker'!$I$6:$I$400,$S48)))</f>
        <v/>
      </c>
      <c r="I48" s="115">
        <f>IF($S48="","",IF(INDEX('Master Tracker'!$U$6:$U$400,$S48)="","",INDEX('Master Tracker'!$U$6:$U$400,$S48)))</f>
        <v/>
      </c>
      <c r="J48" s="114">
        <f>IF($S48="","",IF(INDEX('Master Tracker'!$K$6:$K$400,$S48)="","",INDEX('Master Tracker'!$K$6:$K$400,$S48)))</f>
        <v/>
      </c>
      <c r="K48" s="114">
        <f>IF($S48="","",IF(INDEX('Master Tracker'!$Y$6:$Y$400,$S48)="","",INDEX('Master Tracker'!$Y$6:$Y$400,$S48)))</f>
        <v/>
      </c>
      <c r="L48" s="114">
        <f>IF($S48="","",IF(INDEX('Master Tracker'!$M$6:$M$400,$S48)="","",INDEX('Master Tracker'!$M$6:$M$400,$S48)))</f>
        <v/>
      </c>
      <c r="M48" s="114">
        <f>IF($S48="","",IF(INDEX('Master Tracker'!$O$6:$O$400,$S48)="","",INDEX('Master Tracker'!$O$6:$O$400,$S48)))</f>
        <v/>
      </c>
      <c r="N48" s="114">
        <f>IF($S48="","",IF(INDEX('Master Tracker'!$N$6:$N$400,$S48)="","",INDEX('Master Tracker'!$N$6:$N$400,$S48)))</f>
        <v/>
      </c>
      <c r="O48" s="53">
        <f>IF($S48="","",IF(INDEX('Master Tracker'!$T$6:$T$400,$S48)="","",INDEX('Master Tracker'!$T$6:$T$400,$S48)))</f>
        <v/>
      </c>
      <c r="P48" s="53">
        <f>IF($S48="","",IF(INDEX('Master Tracker'!$AC$6:$AC$400,$S48)="","",INDEX('Master Tracker'!$AC$6:$AC$400,$S48)))</f>
        <v/>
      </c>
      <c r="S48">
        <f>IFERROR(MATCH("Phase 2|"&amp;A48,'Master Tracker'!$Z$6:$Z$400,0),"")</f>
        <v/>
      </c>
    </row>
    <row r="49" ht="48" customHeight="1">
      <c r="A49" s="53" t="n">
        <v>11</v>
      </c>
      <c r="B49" s="113">
        <f>IF($S49="","",IF(INDEX('Master Tracker'!$A$6:$A$400,$S49)="","",INDEX('Master Tracker'!$A$6:$A$400,$S49)))</f>
        <v/>
      </c>
      <c r="C49" s="114">
        <f>IF($S49="","",IF(INDEX('Master Tracker'!$C$6:$C$400,$S49)="","",INDEX('Master Tracker'!$C$6:$C$400,$S49)))</f>
        <v/>
      </c>
      <c r="D49" s="114">
        <f>IF($S49="","",IF(INDEX('Master Tracker'!$D$6:$D$400,$S49)="","",INDEX('Master Tracker'!$D$6:$D$400,$S49)))</f>
        <v/>
      </c>
      <c r="E49" s="53">
        <f>IF($S49="","",IF(INDEX('Master Tracker'!$F$6:$F$400,$S49)="","",INDEX('Master Tracker'!$F$6:$F$400,$S49)))</f>
        <v/>
      </c>
      <c r="F49" s="53">
        <f>IF($S49="","",IF(INDEX('Master Tracker'!$G$6:$G$400,$S49)="","",INDEX('Master Tracker'!$G$6:$G$400,$S49)))</f>
        <v/>
      </c>
      <c r="G49" s="70">
        <f>IF($S49="","",IF(INDEX('Master Tracker'!$H$6:$H$400,$S49)="","",INDEX('Master Tracker'!$H$6:$H$400,$S49)))</f>
        <v/>
      </c>
      <c r="H49" s="70">
        <f>IF($S49="","",IF(INDEX('Master Tracker'!$I$6:$I$400,$S49)="","",INDEX('Master Tracker'!$I$6:$I$400,$S49)))</f>
        <v/>
      </c>
      <c r="I49" s="115">
        <f>IF($S49="","",IF(INDEX('Master Tracker'!$U$6:$U$400,$S49)="","",INDEX('Master Tracker'!$U$6:$U$400,$S49)))</f>
        <v/>
      </c>
      <c r="J49" s="114">
        <f>IF($S49="","",IF(INDEX('Master Tracker'!$K$6:$K$400,$S49)="","",INDEX('Master Tracker'!$K$6:$K$400,$S49)))</f>
        <v/>
      </c>
      <c r="K49" s="114">
        <f>IF($S49="","",IF(INDEX('Master Tracker'!$Y$6:$Y$400,$S49)="","",INDEX('Master Tracker'!$Y$6:$Y$400,$S49)))</f>
        <v/>
      </c>
      <c r="L49" s="114">
        <f>IF($S49="","",IF(INDEX('Master Tracker'!$M$6:$M$400,$S49)="","",INDEX('Master Tracker'!$M$6:$M$400,$S49)))</f>
        <v/>
      </c>
      <c r="M49" s="114">
        <f>IF($S49="","",IF(INDEX('Master Tracker'!$O$6:$O$400,$S49)="","",INDEX('Master Tracker'!$O$6:$O$400,$S49)))</f>
        <v/>
      </c>
      <c r="N49" s="114">
        <f>IF($S49="","",IF(INDEX('Master Tracker'!$N$6:$N$400,$S49)="","",INDEX('Master Tracker'!$N$6:$N$400,$S49)))</f>
        <v/>
      </c>
      <c r="O49" s="53">
        <f>IF($S49="","",IF(INDEX('Master Tracker'!$T$6:$T$400,$S49)="","",INDEX('Master Tracker'!$T$6:$T$400,$S49)))</f>
        <v/>
      </c>
      <c r="P49" s="53">
        <f>IF($S49="","",IF(INDEX('Master Tracker'!$AC$6:$AC$400,$S49)="","",INDEX('Master Tracker'!$AC$6:$AC$400,$S49)))</f>
        <v/>
      </c>
      <c r="S49">
        <f>IFERROR(MATCH("Phase 2|"&amp;A49,'Master Tracker'!$Z$6:$Z$400,0),"")</f>
        <v/>
      </c>
    </row>
    <row r="50" ht="48" customHeight="1">
      <c r="A50" s="53" t="n">
        <v>12</v>
      </c>
      <c r="B50" s="113">
        <f>IF($S50="","",IF(INDEX('Master Tracker'!$A$6:$A$400,$S50)="","",INDEX('Master Tracker'!$A$6:$A$400,$S50)))</f>
        <v/>
      </c>
      <c r="C50" s="114">
        <f>IF($S50="","",IF(INDEX('Master Tracker'!$C$6:$C$400,$S50)="","",INDEX('Master Tracker'!$C$6:$C$400,$S50)))</f>
        <v/>
      </c>
      <c r="D50" s="114">
        <f>IF($S50="","",IF(INDEX('Master Tracker'!$D$6:$D$400,$S50)="","",INDEX('Master Tracker'!$D$6:$D$400,$S50)))</f>
        <v/>
      </c>
      <c r="E50" s="53">
        <f>IF($S50="","",IF(INDEX('Master Tracker'!$F$6:$F$400,$S50)="","",INDEX('Master Tracker'!$F$6:$F$400,$S50)))</f>
        <v/>
      </c>
      <c r="F50" s="53">
        <f>IF($S50="","",IF(INDEX('Master Tracker'!$G$6:$G$400,$S50)="","",INDEX('Master Tracker'!$G$6:$G$400,$S50)))</f>
        <v/>
      </c>
      <c r="G50" s="70">
        <f>IF($S50="","",IF(INDEX('Master Tracker'!$H$6:$H$400,$S50)="","",INDEX('Master Tracker'!$H$6:$H$400,$S50)))</f>
        <v/>
      </c>
      <c r="H50" s="70">
        <f>IF($S50="","",IF(INDEX('Master Tracker'!$I$6:$I$400,$S50)="","",INDEX('Master Tracker'!$I$6:$I$400,$S50)))</f>
        <v/>
      </c>
      <c r="I50" s="115">
        <f>IF($S50="","",IF(INDEX('Master Tracker'!$U$6:$U$400,$S50)="","",INDEX('Master Tracker'!$U$6:$U$400,$S50)))</f>
        <v/>
      </c>
      <c r="J50" s="114">
        <f>IF($S50="","",IF(INDEX('Master Tracker'!$K$6:$K$400,$S50)="","",INDEX('Master Tracker'!$K$6:$K$400,$S50)))</f>
        <v/>
      </c>
      <c r="K50" s="114">
        <f>IF($S50="","",IF(INDEX('Master Tracker'!$Y$6:$Y$400,$S50)="","",INDEX('Master Tracker'!$Y$6:$Y$400,$S50)))</f>
        <v/>
      </c>
      <c r="L50" s="114">
        <f>IF($S50="","",IF(INDEX('Master Tracker'!$M$6:$M$400,$S50)="","",INDEX('Master Tracker'!$M$6:$M$400,$S50)))</f>
        <v/>
      </c>
      <c r="M50" s="114">
        <f>IF($S50="","",IF(INDEX('Master Tracker'!$O$6:$O$400,$S50)="","",INDEX('Master Tracker'!$O$6:$O$400,$S50)))</f>
        <v/>
      </c>
      <c r="N50" s="114">
        <f>IF($S50="","",IF(INDEX('Master Tracker'!$N$6:$N$400,$S50)="","",INDEX('Master Tracker'!$N$6:$N$400,$S50)))</f>
        <v/>
      </c>
      <c r="O50" s="53">
        <f>IF($S50="","",IF(INDEX('Master Tracker'!$T$6:$T$400,$S50)="","",INDEX('Master Tracker'!$T$6:$T$400,$S50)))</f>
        <v/>
      </c>
      <c r="P50" s="53">
        <f>IF($S50="","",IF(INDEX('Master Tracker'!$AC$6:$AC$400,$S50)="","",INDEX('Master Tracker'!$AC$6:$AC$400,$S50)))</f>
        <v/>
      </c>
      <c r="S50">
        <f>IFERROR(MATCH("Phase 2|"&amp;A50,'Master Tracker'!$Z$6:$Z$400,0),"")</f>
        <v/>
      </c>
    </row>
    <row r="51" ht="48" customHeight="1">
      <c r="A51" s="53" t="n">
        <v>13</v>
      </c>
      <c r="B51" s="113">
        <f>IF($S51="","",IF(INDEX('Master Tracker'!$A$6:$A$400,$S51)="","",INDEX('Master Tracker'!$A$6:$A$400,$S51)))</f>
        <v/>
      </c>
      <c r="C51" s="114">
        <f>IF($S51="","",IF(INDEX('Master Tracker'!$C$6:$C$400,$S51)="","",INDEX('Master Tracker'!$C$6:$C$400,$S51)))</f>
        <v/>
      </c>
      <c r="D51" s="114">
        <f>IF($S51="","",IF(INDEX('Master Tracker'!$D$6:$D$400,$S51)="","",INDEX('Master Tracker'!$D$6:$D$400,$S51)))</f>
        <v/>
      </c>
      <c r="E51" s="53">
        <f>IF($S51="","",IF(INDEX('Master Tracker'!$F$6:$F$400,$S51)="","",INDEX('Master Tracker'!$F$6:$F$400,$S51)))</f>
        <v/>
      </c>
      <c r="F51" s="53">
        <f>IF($S51="","",IF(INDEX('Master Tracker'!$G$6:$G$400,$S51)="","",INDEX('Master Tracker'!$G$6:$G$400,$S51)))</f>
        <v/>
      </c>
      <c r="G51" s="70">
        <f>IF($S51="","",IF(INDEX('Master Tracker'!$H$6:$H$400,$S51)="","",INDEX('Master Tracker'!$H$6:$H$400,$S51)))</f>
        <v/>
      </c>
      <c r="H51" s="70">
        <f>IF($S51="","",IF(INDEX('Master Tracker'!$I$6:$I$400,$S51)="","",INDEX('Master Tracker'!$I$6:$I$400,$S51)))</f>
        <v/>
      </c>
      <c r="I51" s="115">
        <f>IF($S51="","",IF(INDEX('Master Tracker'!$U$6:$U$400,$S51)="","",INDEX('Master Tracker'!$U$6:$U$400,$S51)))</f>
        <v/>
      </c>
      <c r="J51" s="114">
        <f>IF($S51="","",IF(INDEX('Master Tracker'!$K$6:$K$400,$S51)="","",INDEX('Master Tracker'!$K$6:$K$400,$S51)))</f>
        <v/>
      </c>
      <c r="K51" s="114">
        <f>IF($S51="","",IF(INDEX('Master Tracker'!$Y$6:$Y$400,$S51)="","",INDEX('Master Tracker'!$Y$6:$Y$400,$S51)))</f>
        <v/>
      </c>
      <c r="L51" s="114">
        <f>IF($S51="","",IF(INDEX('Master Tracker'!$M$6:$M$400,$S51)="","",INDEX('Master Tracker'!$M$6:$M$400,$S51)))</f>
        <v/>
      </c>
      <c r="M51" s="114">
        <f>IF($S51="","",IF(INDEX('Master Tracker'!$O$6:$O$400,$S51)="","",INDEX('Master Tracker'!$O$6:$O$400,$S51)))</f>
        <v/>
      </c>
      <c r="N51" s="114">
        <f>IF($S51="","",IF(INDEX('Master Tracker'!$N$6:$N$400,$S51)="","",INDEX('Master Tracker'!$N$6:$N$400,$S51)))</f>
        <v/>
      </c>
      <c r="O51" s="53">
        <f>IF($S51="","",IF(INDEX('Master Tracker'!$T$6:$T$400,$S51)="","",INDEX('Master Tracker'!$T$6:$T$400,$S51)))</f>
        <v/>
      </c>
      <c r="P51" s="53">
        <f>IF($S51="","",IF(INDEX('Master Tracker'!$AC$6:$AC$400,$S51)="","",INDEX('Master Tracker'!$AC$6:$AC$400,$S51)))</f>
        <v/>
      </c>
      <c r="S51">
        <f>IFERROR(MATCH("Phase 2|"&amp;A51,'Master Tracker'!$Z$6:$Z$400,0),"")</f>
        <v/>
      </c>
    </row>
    <row r="52" ht="48" customHeight="1">
      <c r="A52" s="53" t="n">
        <v>14</v>
      </c>
      <c r="B52" s="113">
        <f>IF($S52="","",IF(INDEX('Master Tracker'!$A$6:$A$400,$S52)="","",INDEX('Master Tracker'!$A$6:$A$400,$S52)))</f>
        <v/>
      </c>
      <c r="C52" s="114">
        <f>IF($S52="","",IF(INDEX('Master Tracker'!$C$6:$C$400,$S52)="","",INDEX('Master Tracker'!$C$6:$C$400,$S52)))</f>
        <v/>
      </c>
      <c r="D52" s="114">
        <f>IF($S52="","",IF(INDEX('Master Tracker'!$D$6:$D$400,$S52)="","",INDEX('Master Tracker'!$D$6:$D$400,$S52)))</f>
        <v/>
      </c>
      <c r="E52" s="53">
        <f>IF($S52="","",IF(INDEX('Master Tracker'!$F$6:$F$400,$S52)="","",INDEX('Master Tracker'!$F$6:$F$400,$S52)))</f>
        <v/>
      </c>
      <c r="F52" s="53">
        <f>IF($S52="","",IF(INDEX('Master Tracker'!$G$6:$G$400,$S52)="","",INDEX('Master Tracker'!$G$6:$G$400,$S52)))</f>
        <v/>
      </c>
      <c r="G52" s="70">
        <f>IF($S52="","",IF(INDEX('Master Tracker'!$H$6:$H$400,$S52)="","",INDEX('Master Tracker'!$H$6:$H$400,$S52)))</f>
        <v/>
      </c>
      <c r="H52" s="70">
        <f>IF($S52="","",IF(INDEX('Master Tracker'!$I$6:$I$400,$S52)="","",INDEX('Master Tracker'!$I$6:$I$400,$S52)))</f>
        <v/>
      </c>
      <c r="I52" s="115">
        <f>IF($S52="","",IF(INDEX('Master Tracker'!$U$6:$U$400,$S52)="","",INDEX('Master Tracker'!$U$6:$U$400,$S52)))</f>
        <v/>
      </c>
      <c r="J52" s="114">
        <f>IF($S52="","",IF(INDEX('Master Tracker'!$K$6:$K$400,$S52)="","",INDEX('Master Tracker'!$K$6:$K$400,$S52)))</f>
        <v/>
      </c>
      <c r="K52" s="114">
        <f>IF($S52="","",IF(INDEX('Master Tracker'!$Y$6:$Y$400,$S52)="","",INDEX('Master Tracker'!$Y$6:$Y$400,$S52)))</f>
        <v/>
      </c>
      <c r="L52" s="114">
        <f>IF($S52="","",IF(INDEX('Master Tracker'!$M$6:$M$400,$S52)="","",INDEX('Master Tracker'!$M$6:$M$400,$S52)))</f>
        <v/>
      </c>
      <c r="M52" s="114">
        <f>IF($S52="","",IF(INDEX('Master Tracker'!$O$6:$O$400,$S52)="","",INDEX('Master Tracker'!$O$6:$O$400,$S52)))</f>
        <v/>
      </c>
      <c r="N52" s="114">
        <f>IF($S52="","",IF(INDEX('Master Tracker'!$N$6:$N$400,$S52)="","",INDEX('Master Tracker'!$N$6:$N$400,$S52)))</f>
        <v/>
      </c>
      <c r="O52" s="53">
        <f>IF($S52="","",IF(INDEX('Master Tracker'!$T$6:$T$400,$S52)="","",INDEX('Master Tracker'!$T$6:$T$400,$S52)))</f>
        <v/>
      </c>
      <c r="P52" s="53">
        <f>IF($S52="","",IF(INDEX('Master Tracker'!$AC$6:$AC$400,$S52)="","",INDEX('Master Tracker'!$AC$6:$AC$400,$S52)))</f>
        <v/>
      </c>
      <c r="S52">
        <f>IFERROR(MATCH("Phase 2|"&amp;A52,'Master Tracker'!$Z$6:$Z$400,0),"")</f>
        <v/>
      </c>
    </row>
    <row r="53" ht="48" customHeight="1">
      <c r="A53" s="53" t="n">
        <v>15</v>
      </c>
      <c r="B53" s="113">
        <f>IF($S53="","",IF(INDEX('Master Tracker'!$A$6:$A$400,$S53)="","",INDEX('Master Tracker'!$A$6:$A$400,$S53)))</f>
        <v/>
      </c>
      <c r="C53" s="114">
        <f>IF($S53="","",IF(INDEX('Master Tracker'!$C$6:$C$400,$S53)="","",INDEX('Master Tracker'!$C$6:$C$400,$S53)))</f>
        <v/>
      </c>
      <c r="D53" s="114">
        <f>IF($S53="","",IF(INDEX('Master Tracker'!$D$6:$D$400,$S53)="","",INDEX('Master Tracker'!$D$6:$D$400,$S53)))</f>
        <v/>
      </c>
      <c r="E53" s="53">
        <f>IF($S53="","",IF(INDEX('Master Tracker'!$F$6:$F$400,$S53)="","",INDEX('Master Tracker'!$F$6:$F$400,$S53)))</f>
        <v/>
      </c>
      <c r="F53" s="53">
        <f>IF($S53="","",IF(INDEX('Master Tracker'!$G$6:$G$400,$S53)="","",INDEX('Master Tracker'!$G$6:$G$400,$S53)))</f>
        <v/>
      </c>
      <c r="G53" s="70">
        <f>IF($S53="","",IF(INDEX('Master Tracker'!$H$6:$H$400,$S53)="","",INDEX('Master Tracker'!$H$6:$H$400,$S53)))</f>
        <v/>
      </c>
      <c r="H53" s="70">
        <f>IF($S53="","",IF(INDEX('Master Tracker'!$I$6:$I$400,$S53)="","",INDEX('Master Tracker'!$I$6:$I$400,$S53)))</f>
        <v/>
      </c>
      <c r="I53" s="115">
        <f>IF($S53="","",IF(INDEX('Master Tracker'!$U$6:$U$400,$S53)="","",INDEX('Master Tracker'!$U$6:$U$400,$S53)))</f>
        <v/>
      </c>
      <c r="J53" s="114">
        <f>IF($S53="","",IF(INDEX('Master Tracker'!$K$6:$K$400,$S53)="","",INDEX('Master Tracker'!$K$6:$K$400,$S53)))</f>
        <v/>
      </c>
      <c r="K53" s="114">
        <f>IF($S53="","",IF(INDEX('Master Tracker'!$Y$6:$Y$400,$S53)="","",INDEX('Master Tracker'!$Y$6:$Y$400,$S53)))</f>
        <v/>
      </c>
      <c r="L53" s="114">
        <f>IF($S53="","",IF(INDEX('Master Tracker'!$M$6:$M$400,$S53)="","",INDEX('Master Tracker'!$M$6:$M$400,$S53)))</f>
        <v/>
      </c>
      <c r="M53" s="114">
        <f>IF($S53="","",IF(INDEX('Master Tracker'!$O$6:$O$400,$S53)="","",INDEX('Master Tracker'!$O$6:$O$400,$S53)))</f>
        <v/>
      </c>
      <c r="N53" s="114">
        <f>IF($S53="","",IF(INDEX('Master Tracker'!$N$6:$N$400,$S53)="","",INDEX('Master Tracker'!$N$6:$N$400,$S53)))</f>
        <v/>
      </c>
      <c r="O53" s="53">
        <f>IF($S53="","",IF(INDEX('Master Tracker'!$T$6:$T$400,$S53)="","",INDEX('Master Tracker'!$T$6:$T$400,$S53)))</f>
        <v/>
      </c>
      <c r="P53" s="53">
        <f>IF($S53="","",IF(INDEX('Master Tracker'!$AC$6:$AC$400,$S53)="","",INDEX('Master Tracker'!$AC$6:$AC$400,$S53)))</f>
        <v/>
      </c>
      <c r="S53">
        <f>IFERROR(MATCH("Phase 2|"&amp;A53,'Master Tracker'!$Z$6:$Z$400,0),"")</f>
        <v/>
      </c>
    </row>
    <row r="54" ht="48" customHeight="1">
      <c r="A54" s="53" t="n">
        <v>16</v>
      </c>
      <c r="B54" s="113">
        <f>IF($S54="","",IF(INDEX('Master Tracker'!$A$6:$A$400,$S54)="","",INDEX('Master Tracker'!$A$6:$A$400,$S54)))</f>
        <v/>
      </c>
      <c r="C54" s="114">
        <f>IF($S54="","",IF(INDEX('Master Tracker'!$C$6:$C$400,$S54)="","",INDEX('Master Tracker'!$C$6:$C$400,$S54)))</f>
        <v/>
      </c>
      <c r="D54" s="114">
        <f>IF($S54="","",IF(INDEX('Master Tracker'!$D$6:$D$400,$S54)="","",INDEX('Master Tracker'!$D$6:$D$400,$S54)))</f>
        <v/>
      </c>
      <c r="E54" s="53">
        <f>IF($S54="","",IF(INDEX('Master Tracker'!$F$6:$F$400,$S54)="","",INDEX('Master Tracker'!$F$6:$F$400,$S54)))</f>
        <v/>
      </c>
      <c r="F54" s="53">
        <f>IF($S54="","",IF(INDEX('Master Tracker'!$G$6:$G$400,$S54)="","",INDEX('Master Tracker'!$G$6:$G$400,$S54)))</f>
        <v/>
      </c>
      <c r="G54" s="70">
        <f>IF($S54="","",IF(INDEX('Master Tracker'!$H$6:$H$400,$S54)="","",INDEX('Master Tracker'!$H$6:$H$400,$S54)))</f>
        <v/>
      </c>
      <c r="H54" s="70">
        <f>IF($S54="","",IF(INDEX('Master Tracker'!$I$6:$I$400,$S54)="","",INDEX('Master Tracker'!$I$6:$I$400,$S54)))</f>
        <v/>
      </c>
      <c r="I54" s="115">
        <f>IF($S54="","",IF(INDEX('Master Tracker'!$U$6:$U$400,$S54)="","",INDEX('Master Tracker'!$U$6:$U$400,$S54)))</f>
        <v/>
      </c>
      <c r="J54" s="114">
        <f>IF($S54="","",IF(INDEX('Master Tracker'!$K$6:$K$400,$S54)="","",INDEX('Master Tracker'!$K$6:$K$400,$S54)))</f>
        <v/>
      </c>
      <c r="K54" s="114">
        <f>IF($S54="","",IF(INDEX('Master Tracker'!$Y$6:$Y$400,$S54)="","",INDEX('Master Tracker'!$Y$6:$Y$400,$S54)))</f>
        <v/>
      </c>
      <c r="L54" s="114">
        <f>IF($S54="","",IF(INDEX('Master Tracker'!$M$6:$M$400,$S54)="","",INDEX('Master Tracker'!$M$6:$M$400,$S54)))</f>
        <v/>
      </c>
      <c r="M54" s="114">
        <f>IF($S54="","",IF(INDEX('Master Tracker'!$O$6:$O$400,$S54)="","",INDEX('Master Tracker'!$O$6:$O$400,$S54)))</f>
        <v/>
      </c>
      <c r="N54" s="114">
        <f>IF($S54="","",IF(INDEX('Master Tracker'!$N$6:$N$400,$S54)="","",INDEX('Master Tracker'!$N$6:$N$400,$S54)))</f>
        <v/>
      </c>
      <c r="O54" s="53">
        <f>IF($S54="","",IF(INDEX('Master Tracker'!$T$6:$T$400,$S54)="","",INDEX('Master Tracker'!$T$6:$T$400,$S54)))</f>
        <v/>
      </c>
      <c r="P54" s="53">
        <f>IF($S54="","",IF(INDEX('Master Tracker'!$AC$6:$AC$400,$S54)="","",INDEX('Master Tracker'!$AC$6:$AC$400,$S54)))</f>
        <v/>
      </c>
      <c r="S54">
        <f>IFERROR(MATCH("Phase 2|"&amp;A54,'Master Tracker'!$Z$6:$Z$400,0),"")</f>
        <v/>
      </c>
    </row>
    <row r="55" ht="48" customHeight="1">
      <c r="A55" s="53" t="n">
        <v>17</v>
      </c>
      <c r="B55" s="113">
        <f>IF($S55="","",IF(INDEX('Master Tracker'!$A$6:$A$400,$S55)="","",INDEX('Master Tracker'!$A$6:$A$400,$S55)))</f>
        <v/>
      </c>
      <c r="C55" s="114">
        <f>IF($S55="","",IF(INDEX('Master Tracker'!$C$6:$C$400,$S55)="","",INDEX('Master Tracker'!$C$6:$C$400,$S55)))</f>
        <v/>
      </c>
      <c r="D55" s="114">
        <f>IF($S55="","",IF(INDEX('Master Tracker'!$D$6:$D$400,$S55)="","",INDEX('Master Tracker'!$D$6:$D$400,$S55)))</f>
        <v/>
      </c>
      <c r="E55" s="53">
        <f>IF($S55="","",IF(INDEX('Master Tracker'!$F$6:$F$400,$S55)="","",INDEX('Master Tracker'!$F$6:$F$400,$S55)))</f>
        <v/>
      </c>
      <c r="F55" s="53">
        <f>IF($S55="","",IF(INDEX('Master Tracker'!$G$6:$G$400,$S55)="","",INDEX('Master Tracker'!$G$6:$G$400,$S55)))</f>
        <v/>
      </c>
      <c r="G55" s="70">
        <f>IF($S55="","",IF(INDEX('Master Tracker'!$H$6:$H$400,$S55)="","",INDEX('Master Tracker'!$H$6:$H$400,$S55)))</f>
        <v/>
      </c>
      <c r="H55" s="70">
        <f>IF($S55="","",IF(INDEX('Master Tracker'!$I$6:$I$400,$S55)="","",INDEX('Master Tracker'!$I$6:$I$400,$S55)))</f>
        <v/>
      </c>
      <c r="I55" s="115">
        <f>IF($S55="","",IF(INDEX('Master Tracker'!$U$6:$U$400,$S55)="","",INDEX('Master Tracker'!$U$6:$U$400,$S55)))</f>
        <v/>
      </c>
      <c r="J55" s="114">
        <f>IF($S55="","",IF(INDEX('Master Tracker'!$K$6:$K$400,$S55)="","",INDEX('Master Tracker'!$K$6:$K$400,$S55)))</f>
        <v/>
      </c>
      <c r="K55" s="114">
        <f>IF($S55="","",IF(INDEX('Master Tracker'!$Y$6:$Y$400,$S55)="","",INDEX('Master Tracker'!$Y$6:$Y$400,$S55)))</f>
        <v/>
      </c>
      <c r="L55" s="114">
        <f>IF($S55="","",IF(INDEX('Master Tracker'!$M$6:$M$400,$S55)="","",INDEX('Master Tracker'!$M$6:$M$400,$S55)))</f>
        <v/>
      </c>
      <c r="M55" s="114">
        <f>IF($S55="","",IF(INDEX('Master Tracker'!$O$6:$O$400,$S55)="","",INDEX('Master Tracker'!$O$6:$O$400,$S55)))</f>
        <v/>
      </c>
      <c r="N55" s="114">
        <f>IF($S55="","",IF(INDEX('Master Tracker'!$N$6:$N$400,$S55)="","",INDEX('Master Tracker'!$N$6:$N$400,$S55)))</f>
        <v/>
      </c>
      <c r="O55" s="53">
        <f>IF($S55="","",IF(INDEX('Master Tracker'!$T$6:$T$400,$S55)="","",INDEX('Master Tracker'!$T$6:$T$400,$S55)))</f>
        <v/>
      </c>
      <c r="P55" s="53">
        <f>IF($S55="","",IF(INDEX('Master Tracker'!$AC$6:$AC$400,$S55)="","",INDEX('Master Tracker'!$AC$6:$AC$400,$S55)))</f>
        <v/>
      </c>
      <c r="S55">
        <f>IFERROR(MATCH("Phase 2|"&amp;A55,'Master Tracker'!$Z$6:$Z$400,0),"")</f>
        <v/>
      </c>
    </row>
    <row r="56" ht="48" customHeight="1">
      <c r="A56" s="53" t="n">
        <v>18</v>
      </c>
      <c r="B56" s="113">
        <f>IF($S56="","",IF(INDEX('Master Tracker'!$A$6:$A$400,$S56)="","",INDEX('Master Tracker'!$A$6:$A$400,$S56)))</f>
        <v/>
      </c>
      <c r="C56" s="114">
        <f>IF($S56="","",IF(INDEX('Master Tracker'!$C$6:$C$400,$S56)="","",INDEX('Master Tracker'!$C$6:$C$400,$S56)))</f>
        <v/>
      </c>
      <c r="D56" s="114">
        <f>IF($S56="","",IF(INDEX('Master Tracker'!$D$6:$D$400,$S56)="","",INDEX('Master Tracker'!$D$6:$D$400,$S56)))</f>
        <v/>
      </c>
      <c r="E56" s="53">
        <f>IF($S56="","",IF(INDEX('Master Tracker'!$F$6:$F$400,$S56)="","",INDEX('Master Tracker'!$F$6:$F$400,$S56)))</f>
        <v/>
      </c>
      <c r="F56" s="53">
        <f>IF($S56="","",IF(INDEX('Master Tracker'!$G$6:$G$400,$S56)="","",INDEX('Master Tracker'!$G$6:$G$400,$S56)))</f>
        <v/>
      </c>
      <c r="G56" s="70">
        <f>IF($S56="","",IF(INDEX('Master Tracker'!$H$6:$H$400,$S56)="","",INDEX('Master Tracker'!$H$6:$H$400,$S56)))</f>
        <v/>
      </c>
      <c r="H56" s="70">
        <f>IF($S56="","",IF(INDEX('Master Tracker'!$I$6:$I$400,$S56)="","",INDEX('Master Tracker'!$I$6:$I$400,$S56)))</f>
        <v/>
      </c>
      <c r="I56" s="115">
        <f>IF($S56="","",IF(INDEX('Master Tracker'!$U$6:$U$400,$S56)="","",INDEX('Master Tracker'!$U$6:$U$400,$S56)))</f>
        <v/>
      </c>
      <c r="J56" s="114">
        <f>IF($S56="","",IF(INDEX('Master Tracker'!$K$6:$K$400,$S56)="","",INDEX('Master Tracker'!$K$6:$K$400,$S56)))</f>
        <v/>
      </c>
      <c r="K56" s="114">
        <f>IF($S56="","",IF(INDEX('Master Tracker'!$Y$6:$Y$400,$S56)="","",INDEX('Master Tracker'!$Y$6:$Y$400,$S56)))</f>
        <v/>
      </c>
      <c r="L56" s="114">
        <f>IF($S56="","",IF(INDEX('Master Tracker'!$M$6:$M$400,$S56)="","",INDEX('Master Tracker'!$M$6:$M$400,$S56)))</f>
        <v/>
      </c>
      <c r="M56" s="114">
        <f>IF($S56="","",IF(INDEX('Master Tracker'!$O$6:$O$400,$S56)="","",INDEX('Master Tracker'!$O$6:$O$400,$S56)))</f>
        <v/>
      </c>
      <c r="N56" s="114">
        <f>IF($S56="","",IF(INDEX('Master Tracker'!$N$6:$N$400,$S56)="","",INDEX('Master Tracker'!$N$6:$N$400,$S56)))</f>
        <v/>
      </c>
      <c r="O56" s="53">
        <f>IF($S56="","",IF(INDEX('Master Tracker'!$T$6:$T$400,$S56)="","",INDEX('Master Tracker'!$T$6:$T$400,$S56)))</f>
        <v/>
      </c>
      <c r="P56" s="53">
        <f>IF($S56="","",IF(INDEX('Master Tracker'!$AC$6:$AC$400,$S56)="","",INDEX('Master Tracker'!$AC$6:$AC$400,$S56)))</f>
        <v/>
      </c>
      <c r="S56">
        <f>IFERROR(MATCH("Phase 2|"&amp;A56,'Master Tracker'!$Z$6:$Z$400,0),"")</f>
        <v/>
      </c>
    </row>
    <row r="57" ht="48" customHeight="1">
      <c r="A57" s="53" t="n">
        <v>19</v>
      </c>
      <c r="B57" s="113">
        <f>IF($S57="","",IF(INDEX('Master Tracker'!$A$6:$A$400,$S57)="","",INDEX('Master Tracker'!$A$6:$A$400,$S57)))</f>
        <v/>
      </c>
      <c r="C57" s="114">
        <f>IF($S57="","",IF(INDEX('Master Tracker'!$C$6:$C$400,$S57)="","",INDEX('Master Tracker'!$C$6:$C$400,$S57)))</f>
        <v/>
      </c>
      <c r="D57" s="114">
        <f>IF($S57="","",IF(INDEX('Master Tracker'!$D$6:$D$400,$S57)="","",INDEX('Master Tracker'!$D$6:$D$400,$S57)))</f>
        <v/>
      </c>
      <c r="E57" s="53">
        <f>IF($S57="","",IF(INDEX('Master Tracker'!$F$6:$F$400,$S57)="","",INDEX('Master Tracker'!$F$6:$F$400,$S57)))</f>
        <v/>
      </c>
      <c r="F57" s="53">
        <f>IF($S57="","",IF(INDEX('Master Tracker'!$G$6:$G$400,$S57)="","",INDEX('Master Tracker'!$G$6:$G$400,$S57)))</f>
        <v/>
      </c>
      <c r="G57" s="70">
        <f>IF($S57="","",IF(INDEX('Master Tracker'!$H$6:$H$400,$S57)="","",INDEX('Master Tracker'!$H$6:$H$400,$S57)))</f>
        <v/>
      </c>
      <c r="H57" s="70">
        <f>IF($S57="","",IF(INDEX('Master Tracker'!$I$6:$I$400,$S57)="","",INDEX('Master Tracker'!$I$6:$I$400,$S57)))</f>
        <v/>
      </c>
      <c r="I57" s="115">
        <f>IF($S57="","",IF(INDEX('Master Tracker'!$U$6:$U$400,$S57)="","",INDEX('Master Tracker'!$U$6:$U$400,$S57)))</f>
        <v/>
      </c>
      <c r="J57" s="114">
        <f>IF($S57="","",IF(INDEX('Master Tracker'!$K$6:$K$400,$S57)="","",INDEX('Master Tracker'!$K$6:$K$400,$S57)))</f>
        <v/>
      </c>
      <c r="K57" s="114">
        <f>IF($S57="","",IF(INDEX('Master Tracker'!$Y$6:$Y$400,$S57)="","",INDEX('Master Tracker'!$Y$6:$Y$400,$S57)))</f>
        <v/>
      </c>
      <c r="L57" s="114">
        <f>IF($S57="","",IF(INDEX('Master Tracker'!$M$6:$M$400,$S57)="","",INDEX('Master Tracker'!$M$6:$M$400,$S57)))</f>
        <v/>
      </c>
      <c r="M57" s="114">
        <f>IF($S57="","",IF(INDEX('Master Tracker'!$O$6:$O$400,$S57)="","",INDEX('Master Tracker'!$O$6:$O$400,$S57)))</f>
        <v/>
      </c>
      <c r="N57" s="114">
        <f>IF($S57="","",IF(INDEX('Master Tracker'!$N$6:$N$400,$S57)="","",INDEX('Master Tracker'!$N$6:$N$400,$S57)))</f>
        <v/>
      </c>
      <c r="O57" s="53">
        <f>IF($S57="","",IF(INDEX('Master Tracker'!$T$6:$T$400,$S57)="","",INDEX('Master Tracker'!$T$6:$T$400,$S57)))</f>
        <v/>
      </c>
      <c r="P57" s="53">
        <f>IF($S57="","",IF(INDEX('Master Tracker'!$AC$6:$AC$400,$S57)="","",INDEX('Master Tracker'!$AC$6:$AC$400,$S57)))</f>
        <v/>
      </c>
      <c r="S57">
        <f>IFERROR(MATCH("Phase 2|"&amp;A57,'Master Tracker'!$Z$6:$Z$400,0),"")</f>
        <v/>
      </c>
    </row>
    <row r="58" ht="48" customHeight="1">
      <c r="A58" s="53" t="n">
        <v>20</v>
      </c>
      <c r="B58" s="113">
        <f>IF($S58="","",IF(INDEX('Master Tracker'!$A$6:$A$400,$S58)="","",INDEX('Master Tracker'!$A$6:$A$400,$S58)))</f>
        <v/>
      </c>
      <c r="C58" s="114">
        <f>IF($S58="","",IF(INDEX('Master Tracker'!$C$6:$C$400,$S58)="","",INDEX('Master Tracker'!$C$6:$C$400,$S58)))</f>
        <v/>
      </c>
      <c r="D58" s="114">
        <f>IF($S58="","",IF(INDEX('Master Tracker'!$D$6:$D$400,$S58)="","",INDEX('Master Tracker'!$D$6:$D$400,$S58)))</f>
        <v/>
      </c>
      <c r="E58" s="53">
        <f>IF($S58="","",IF(INDEX('Master Tracker'!$F$6:$F$400,$S58)="","",INDEX('Master Tracker'!$F$6:$F$400,$S58)))</f>
        <v/>
      </c>
      <c r="F58" s="53">
        <f>IF($S58="","",IF(INDEX('Master Tracker'!$G$6:$G$400,$S58)="","",INDEX('Master Tracker'!$G$6:$G$400,$S58)))</f>
        <v/>
      </c>
      <c r="G58" s="70">
        <f>IF($S58="","",IF(INDEX('Master Tracker'!$H$6:$H$400,$S58)="","",INDEX('Master Tracker'!$H$6:$H$400,$S58)))</f>
        <v/>
      </c>
      <c r="H58" s="70">
        <f>IF($S58="","",IF(INDEX('Master Tracker'!$I$6:$I$400,$S58)="","",INDEX('Master Tracker'!$I$6:$I$400,$S58)))</f>
        <v/>
      </c>
      <c r="I58" s="115">
        <f>IF($S58="","",IF(INDEX('Master Tracker'!$U$6:$U$400,$S58)="","",INDEX('Master Tracker'!$U$6:$U$400,$S58)))</f>
        <v/>
      </c>
      <c r="J58" s="114">
        <f>IF($S58="","",IF(INDEX('Master Tracker'!$K$6:$K$400,$S58)="","",INDEX('Master Tracker'!$K$6:$K$400,$S58)))</f>
        <v/>
      </c>
      <c r="K58" s="114">
        <f>IF($S58="","",IF(INDEX('Master Tracker'!$Y$6:$Y$400,$S58)="","",INDEX('Master Tracker'!$Y$6:$Y$400,$S58)))</f>
        <v/>
      </c>
      <c r="L58" s="114">
        <f>IF($S58="","",IF(INDEX('Master Tracker'!$M$6:$M$400,$S58)="","",INDEX('Master Tracker'!$M$6:$M$400,$S58)))</f>
        <v/>
      </c>
      <c r="M58" s="114">
        <f>IF($S58="","",IF(INDEX('Master Tracker'!$O$6:$O$400,$S58)="","",INDEX('Master Tracker'!$O$6:$O$400,$S58)))</f>
        <v/>
      </c>
      <c r="N58" s="114">
        <f>IF($S58="","",IF(INDEX('Master Tracker'!$N$6:$N$400,$S58)="","",INDEX('Master Tracker'!$N$6:$N$400,$S58)))</f>
        <v/>
      </c>
      <c r="O58" s="53">
        <f>IF($S58="","",IF(INDEX('Master Tracker'!$T$6:$T$400,$S58)="","",INDEX('Master Tracker'!$T$6:$T$400,$S58)))</f>
        <v/>
      </c>
      <c r="P58" s="53">
        <f>IF($S58="","",IF(INDEX('Master Tracker'!$AC$6:$AC$400,$S58)="","",INDEX('Master Tracker'!$AC$6:$AC$400,$S58)))</f>
        <v/>
      </c>
      <c r="S58">
        <f>IFERROR(MATCH("Phase 2|"&amp;A58,'Master Tracker'!$Z$6:$Z$400,0),"")</f>
        <v/>
      </c>
    </row>
    <row r="59" ht="48" customHeight="1">
      <c r="A59" s="53" t="n">
        <v>21</v>
      </c>
      <c r="B59" s="113">
        <f>IF($S59="","",IF(INDEX('Master Tracker'!$A$6:$A$400,$S59)="","",INDEX('Master Tracker'!$A$6:$A$400,$S59)))</f>
        <v/>
      </c>
      <c r="C59" s="114">
        <f>IF($S59="","",IF(INDEX('Master Tracker'!$C$6:$C$400,$S59)="","",INDEX('Master Tracker'!$C$6:$C$400,$S59)))</f>
        <v/>
      </c>
      <c r="D59" s="114">
        <f>IF($S59="","",IF(INDEX('Master Tracker'!$D$6:$D$400,$S59)="","",INDEX('Master Tracker'!$D$6:$D$400,$S59)))</f>
        <v/>
      </c>
      <c r="E59" s="53">
        <f>IF($S59="","",IF(INDEX('Master Tracker'!$F$6:$F$400,$S59)="","",INDEX('Master Tracker'!$F$6:$F$400,$S59)))</f>
        <v/>
      </c>
      <c r="F59" s="53">
        <f>IF($S59="","",IF(INDEX('Master Tracker'!$G$6:$G$400,$S59)="","",INDEX('Master Tracker'!$G$6:$G$400,$S59)))</f>
        <v/>
      </c>
      <c r="G59" s="70">
        <f>IF($S59="","",IF(INDEX('Master Tracker'!$H$6:$H$400,$S59)="","",INDEX('Master Tracker'!$H$6:$H$400,$S59)))</f>
        <v/>
      </c>
      <c r="H59" s="70">
        <f>IF($S59="","",IF(INDEX('Master Tracker'!$I$6:$I$400,$S59)="","",INDEX('Master Tracker'!$I$6:$I$400,$S59)))</f>
        <v/>
      </c>
      <c r="I59" s="115">
        <f>IF($S59="","",IF(INDEX('Master Tracker'!$U$6:$U$400,$S59)="","",INDEX('Master Tracker'!$U$6:$U$400,$S59)))</f>
        <v/>
      </c>
      <c r="J59" s="114">
        <f>IF($S59="","",IF(INDEX('Master Tracker'!$K$6:$K$400,$S59)="","",INDEX('Master Tracker'!$K$6:$K$400,$S59)))</f>
        <v/>
      </c>
      <c r="K59" s="114">
        <f>IF($S59="","",IF(INDEX('Master Tracker'!$Y$6:$Y$400,$S59)="","",INDEX('Master Tracker'!$Y$6:$Y$400,$S59)))</f>
        <v/>
      </c>
      <c r="L59" s="114">
        <f>IF($S59="","",IF(INDEX('Master Tracker'!$M$6:$M$400,$S59)="","",INDEX('Master Tracker'!$M$6:$M$400,$S59)))</f>
        <v/>
      </c>
      <c r="M59" s="114">
        <f>IF($S59="","",IF(INDEX('Master Tracker'!$O$6:$O$400,$S59)="","",INDEX('Master Tracker'!$O$6:$O$400,$S59)))</f>
        <v/>
      </c>
      <c r="N59" s="114">
        <f>IF($S59="","",IF(INDEX('Master Tracker'!$N$6:$N$400,$S59)="","",INDEX('Master Tracker'!$N$6:$N$400,$S59)))</f>
        <v/>
      </c>
      <c r="O59" s="53">
        <f>IF($S59="","",IF(INDEX('Master Tracker'!$T$6:$T$400,$S59)="","",INDEX('Master Tracker'!$T$6:$T$400,$S59)))</f>
        <v/>
      </c>
      <c r="P59" s="53">
        <f>IF($S59="","",IF(INDEX('Master Tracker'!$AC$6:$AC$400,$S59)="","",INDEX('Master Tracker'!$AC$6:$AC$400,$S59)))</f>
        <v/>
      </c>
      <c r="S59">
        <f>IFERROR(MATCH("Phase 2|"&amp;A59,'Master Tracker'!$Z$6:$Z$400,0),"")</f>
        <v/>
      </c>
    </row>
    <row r="60" ht="48" customHeight="1">
      <c r="A60" s="53" t="n">
        <v>22</v>
      </c>
      <c r="B60" s="113">
        <f>IF($S60="","",IF(INDEX('Master Tracker'!$A$6:$A$400,$S60)="","",INDEX('Master Tracker'!$A$6:$A$400,$S60)))</f>
        <v/>
      </c>
      <c r="C60" s="114">
        <f>IF($S60="","",IF(INDEX('Master Tracker'!$C$6:$C$400,$S60)="","",INDEX('Master Tracker'!$C$6:$C$400,$S60)))</f>
        <v/>
      </c>
      <c r="D60" s="114">
        <f>IF($S60="","",IF(INDEX('Master Tracker'!$D$6:$D$400,$S60)="","",INDEX('Master Tracker'!$D$6:$D$400,$S60)))</f>
        <v/>
      </c>
      <c r="E60" s="53">
        <f>IF($S60="","",IF(INDEX('Master Tracker'!$F$6:$F$400,$S60)="","",INDEX('Master Tracker'!$F$6:$F$400,$S60)))</f>
        <v/>
      </c>
      <c r="F60" s="53">
        <f>IF($S60="","",IF(INDEX('Master Tracker'!$G$6:$G$400,$S60)="","",INDEX('Master Tracker'!$G$6:$G$400,$S60)))</f>
        <v/>
      </c>
      <c r="G60" s="70">
        <f>IF($S60="","",IF(INDEX('Master Tracker'!$H$6:$H$400,$S60)="","",INDEX('Master Tracker'!$H$6:$H$400,$S60)))</f>
        <v/>
      </c>
      <c r="H60" s="70">
        <f>IF($S60="","",IF(INDEX('Master Tracker'!$I$6:$I$400,$S60)="","",INDEX('Master Tracker'!$I$6:$I$400,$S60)))</f>
        <v/>
      </c>
      <c r="I60" s="115">
        <f>IF($S60="","",IF(INDEX('Master Tracker'!$U$6:$U$400,$S60)="","",INDEX('Master Tracker'!$U$6:$U$400,$S60)))</f>
        <v/>
      </c>
      <c r="J60" s="114">
        <f>IF($S60="","",IF(INDEX('Master Tracker'!$K$6:$K$400,$S60)="","",INDEX('Master Tracker'!$K$6:$K$400,$S60)))</f>
        <v/>
      </c>
      <c r="K60" s="114">
        <f>IF($S60="","",IF(INDEX('Master Tracker'!$Y$6:$Y$400,$S60)="","",INDEX('Master Tracker'!$Y$6:$Y$400,$S60)))</f>
        <v/>
      </c>
      <c r="L60" s="114">
        <f>IF($S60="","",IF(INDEX('Master Tracker'!$M$6:$M$400,$S60)="","",INDEX('Master Tracker'!$M$6:$M$400,$S60)))</f>
        <v/>
      </c>
      <c r="M60" s="114">
        <f>IF($S60="","",IF(INDEX('Master Tracker'!$O$6:$O$400,$S60)="","",INDEX('Master Tracker'!$O$6:$O$400,$S60)))</f>
        <v/>
      </c>
      <c r="N60" s="114">
        <f>IF($S60="","",IF(INDEX('Master Tracker'!$N$6:$N$400,$S60)="","",INDEX('Master Tracker'!$N$6:$N$400,$S60)))</f>
        <v/>
      </c>
      <c r="O60" s="53">
        <f>IF($S60="","",IF(INDEX('Master Tracker'!$T$6:$T$400,$S60)="","",INDEX('Master Tracker'!$T$6:$T$400,$S60)))</f>
        <v/>
      </c>
      <c r="P60" s="53">
        <f>IF($S60="","",IF(INDEX('Master Tracker'!$AC$6:$AC$400,$S60)="","",INDEX('Master Tracker'!$AC$6:$AC$400,$S60)))</f>
        <v/>
      </c>
      <c r="S60">
        <f>IFERROR(MATCH("Phase 2|"&amp;A60,'Master Tracker'!$Z$6:$Z$400,0),"")</f>
        <v/>
      </c>
    </row>
    <row r="61" ht="48" customHeight="1">
      <c r="A61" s="53" t="n">
        <v>23</v>
      </c>
      <c r="B61" s="113">
        <f>IF($S61="","",IF(INDEX('Master Tracker'!$A$6:$A$400,$S61)="","",INDEX('Master Tracker'!$A$6:$A$400,$S61)))</f>
        <v/>
      </c>
      <c r="C61" s="114">
        <f>IF($S61="","",IF(INDEX('Master Tracker'!$C$6:$C$400,$S61)="","",INDEX('Master Tracker'!$C$6:$C$400,$S61)))</f>
        <v/>
      </c>
      <c r="D61" s="114">
        <f>IF($S61="","",IF(INDEX('Master Tracker'!$D$6:$D$400,$S61)="","",INDEX('Master Tracker'!$D$6:$D$400,$S61)))</f>
        <v/>
      </c>
      <c r="E61" s="53">
        <f>IF($S61="","",IF(INDEX('Master Tracker'!$F$6:$F$400,$S61)="","",INDEX('Master Tracker'!$F$6:$F$400,$S61)))</f>
        <v/>
      </c>
      <c r="F61" s="53">
        <f>IF($S61="","",IF(INDEX('Master Tracker'!$G$6:$G$400,$S61)="","",INDEX('Master Tracker'!$G$6:$G$400,$S61)))</f>
        <v/>
      </c>
      <c r="G61" s="70">
        <f>IF($S61="","",IF(INDEX('Master Tracker'!$H$6:$H$400,$S61)="","",INDEX('Master Tracker'!$H$6:$H$400,$S61)))</f>
        <v/>
      </c>
      <c r="H61" s="70">
        <f>IF($S61="","",IF(INDEX('Master Tracker'!$I$6:$I$400,$S61)="","",INDEX('Master Tracker'!$I$6:$I$400,$S61)))</f>
        <v/>
      </c>
      <c r="I61" s="115">
        <f>IF($S61="","",IF(INDEX('Master Tracker'!$U$6:$U$400,$S61)="","",INDEX('Master Tracker'!$U$6:$U$400,$S61)))</f>
        <v/>
      </c>
      <c r="J61" s="114">
        <f>IF($S61="","",IF(INDEX('Master Tracker'!$K$6:$K$400,$S61)="","",INDEX('Master Tracker'!$K$6:$K$400,$S61)))</f>
        <v/>
      </c>
      <c r="K61" s="114">
        <f>IF($S61="","",IF(INDEX('Master Tracker'!$Y$6:$Y$400,$S61)="","",INDEX('Master Tracker'!$Y$6:$Y$400,$S61)))</f>
        <v/>
      </c>
      <c r="L61" s="114">
        <f>IF($S61="","",IF(INDEX('Master Tracker'!$M$6:$M$400,$S61)="","",INDEX('Master Tracker'!$M$6:$M$400,$S61)))</f>
        <v/>
      </c>
      <c r="M61" s="114">
        <f>IF($S61="","",IF(INDEX('Master Tracker'!$O$6:$O$400,$S61)="","",INDEX('Master Tracker'!$O$6:$O$400,$S61)))</f>
        <v/>
      </c>
      <c r="N61" s="114">
        <f>IF($S61="","",IF(INDEX('Master Tracker'!$N$6:$N$400,$S61)="","",INDEX('Master Tracker'!$N$6:$N$400,$S61)))</f>
        <v/>
      </c>
      <c r="O61" s="53">
        <f>IF($S61="","",IF(INDEX('Master Tracker'!$T$6:$T$400,$S61)="","",INDEX('Master Tracker'!$T$6:$T$400,$S61)))</f>
        <v/>
      </c>
      <c r="P61" s="53">
        <f>IF($S61="","",IF(INDEX('Master Tracker'!$AC$6:$AC$400,$S61)="","",INDEX('Master Tracker'!$AC$6:$AC$400,$S61)))</f>
        <v/>
      </c>
      <c r="S61">
        <f>IFERROR(MATCH("Phase 2|"&amp;A61,'Master Tracker'!$Z$6:$Z$400,0),"")</f>
        <v/>
      </c>
    </row>
    <row r="62" ht="48" customHeight="1">
      <c r="A62" s="53" t="n">
        <v>24</v>
      </c>
      <c r="B62" s="113">
        <f>IF($S62="","",IF(INDEX('Master Tracker'!$A$6:$A$400,$S62)="","",INDEX('Master Tracker'!$A$6:$A$400,$S62)))</f>
        <v/>
      </c>
      <c r="C62" s="114">
        <f>IF($S62="","",IF(INDEX('Master Tracker'!$C$6:$C$400,$S62)="","",INDEX('Master Tracker'!$C$6:$C$400,$S62)))</f>
        <v/>
      </c>
      <c r="D62" s="114">
        <f>IF($S62="","",IF(INDEX('Master Tracker'!$D$6:$D$400,$S62)="","",INDEX('Master Tracker'!$D$6:$D$400,$S62)))</f>
        <v/>
      </c>
      <c r="E62" s="53">
        <f>IF($S62="","",IF(INDEX('Master Tracker'!$F$6:$F$400,$S62)="","",INDEX('Master Tracker'!$F$6:$F$400,$S62)))</f>
        <v/>
      </c>
      <c r="F62" s="53">
        <f>IF($S62="","",IF(INDEX('Master Tracker'!$G$6:$G$400,$S62)="","",INDEX('Master Tracker'!$G$6:$G$400,$S62)))</f>
        <v/>
      </c>
      <c r="G62" s="70">
        <f>IF($S62="","",IF(INDEX('Master Tracker'!$H$6:$H$400,$S62)="","",INDEX('Master Tracker'!$H$6:$H$400,$S62)))</f>
        <v/>
      </c>
      <c r="H62" s="70">
        <f>IF($S62="","",IF(INDEX('Master Tracker'!$I$6:$I$400,$S62)="","",INDEX('Master Tracker'!$I$6:$I$400,$S62)))</f>
        <v/>
      </c>
      <c r="I62" s="115">
        <f>IF($S62="","",IF(INDEX('Master Tracker'!$U$6:$U$400,$S62)="","",INDEX('Master Tracker'!$U$6:$U$400,$S62)))</f>
        <v/>
      </c>
      <c r="J62" s="114">
        <f>IF($S62="","",IF(INDEX('Master Tracker'!$K$6:$K$400,$S62)="","",INDEX('Master Tracker'!$K$6:$K$400,$S62)))</f>
        <v/>
      </c>
      <c r="K62" s="114">
        <f>IF($S62="","",IF(INDEX('Master Tracker'!$Y$6:$Y$400,$S62)="","",INDEX('Master Tracker'!$Y$6:$Y$400,$S62)))</f>
        <v/>
      </c>
      <c r="L62" s="114">
        <f>IF($S62="","",IF(INDEX('Master Tracker'!$M$6:$M$400,$S62)="","",INDEX('Master Tracker'!$M$6:$M$400,$S62)))</f>
        <v/>
      </c>
      <c r="M62" s="114">
        <f>IF($S62="","",IF(INDEX('Master Tracker'!$O$6:$O$400,$S62)="","",INDEX('Master Tracker'!$O$6:$O$400,$S62)))</f>
        <v/>
      </c>
      <c r="N62" s="114">
        <f>IF($S62="","",IF(INDEX('Master Tracker'!$N$6:$N$400,$S62)="","",INDEX('Master Tracker'!$N$6:$N$400,$S62)))</f>
        <v/>
      </c>
      <c r="O62" s="53">
        <f>IF($S62="","",IF(INDEX('Master Tracker'!$T$6:$T$400,$S62)="","",INDEX('Master Tracker'!$T$6:$T$400,$S62)))</f>
        <v/>
      </c>
      <c r="P62" s="53">
        <f>IF($S62="","",IF(INDEX('Master Tracker'!$AC$6:$AC$400,$S62)="","",INDEX('Master Tracker'!$AC$6:$AC$400,$S62)))</f>
        <v/>
      </c>
      <c r="S62">
        <f>IFERROR(MATCH("Phase 2|"&amp;A62,'Master Tracker'!$Z$6:$Z$400,0),"")</f>
        <v/>
      </c>
    </row>
    <row r="63" ht="15" customHeight="1">
      <c r="A63" s="53" t="n">
        <v>25</v>
      </c>
      <c r="B63" s="113">
        <f>IF($S63="","",IF(INDEX('Master Tracker'!$A$6:$A$400,$S63)="","",INDEX('Master Tracker'!$A$6:$A$400,$S63)))</f>
        <v/>
      </c>
      <c r="C63" s="114">
        <f>IF($S63="","",IF(INDEX('Master Tracker'!$C$6:$C$400,$S63)="","",INDEX('Master Tracker'!$C$6:$C$400,$S63)))</f>
        <v/>
      </c>
      <c r="D63" s="114">
        <f>IF($S63="","",IF(INDEX('Master Tracker'!$D$6:$D$400,$S63)="","",INDEX('Master Tracker'!$D$6:$D$400,$S63)))</f>
        <v/>
      </c>
      <c r="E63" s="53">
        <f>IF($S63="","",IF(INDEX('Master Tracker'!$F$6:$F$400,$S63)="","",INDEX('Master Tracker'!$F$6:$F$400,$S63)))</f>
        <v/>
      </c>
      <c r="F63" s="53">
        <f>IF($S63="","",IF(INDEX('Master Tracker'!$G$6:$G$400,$S63)="","",INDEX('Master Tracker'!$G$6:$G$400,$S63)))</f>
        <v/>
      </c>
      <c r="G63" s="70">
        <f>IF($S63="","",IF(INDEX('Master Tracker'!$H$6:$H$400,$S63)="","",INDEX('Master Tracker'!$H$6:$H$400,$S63)))</f>
        <v/>
      </c>
      <c r="H63" s="70">
        <f>IF($S63="","",IF(INDEX('Master Tracker'!$I$6:$I$400,$S63)="","",INDEX('Master Tracker'!$I$6:$I$400,$S63)))</f>
        <v/>
      </c>
      <c r="I63" s="115">
        <f>IF($S63="","",IF(INDEX('Master Tracker'!$U$6:$U$400,$S63)="","",INDEX('Master Tracker'!$U$6:$U$400,$S63)))</f>
        <v/>
      </c>
      <c r="J63" s="114">
        <f>IF($S63="","",IF(INDEX('Master Tracker'!$K$6:$K$400,$S63)="","",INDEX('Master Tracker'!$K$6:$K$400,$S63)))</f>
        <v/>
      </c>
      <c r="K63" s="114">
        <f>IF($S63="","",IF(INDEX('Master Tracker'!$Y$6:$Y$400,$S63)="","",INDEX('Master Tracker'!$Y$6:$Y$400,$S63)))</f>
        <v/>
      </c>
      <c r="L63" s="114">
        <f>IF($S63="","",IF(INDEX('Master Tracker'!$M$6:$M$400,$S63)="","",INDEX('Master Tracker'!$M$6:$M$400,$S63)))</f>
        <v/>
      </c>
      <c r="M63" s="114">
        <f>IF($S63="","",IF(INDEX('Master Tracker'!$O$6:$O$400,$S63)="","",INDEX('Master Tracker'!$O$6:$O$400,$S63)))</f>
        <v/>
      </c>
      <c r="N63" s="114">
        <f>IF($S63="","",IF(INDEX('Master Tracker'!$N$6:$N$400,$S63)="","",INDEX('Master Tracker'!$N$6:$N$400,$S63)))</f>
        <v/>
      </c>
      <c r="O63" s="53">
        <f>IF($S63="","",IF(INDEX('Master Tracker'!$T$6:$T$400,$S63)="","",INDEX('Master Tracker'!$T$6:$T$400,$S63)))</f>
        <v/>
      </c>
      <c r="P63" s="53">
        <f>IF($S63="","",IF(INDEX('Master Tracker'!$AC$6:$AC$400,$S63)="","",INDEX('Master Tracker'!$AC$6:$AC$400,$S63)))</f>
        <v/>
      </c>
      <c r="S63">
        <f>IFERROR(MATCH("Phase 2|"&amp;A63,'Master Tracker'!$Z$6:$Z$400,0),"")</f>
        <v/>
      </c>
    </row>
    <row r="64" ht="15" customHeight="1">
      <c r="A64" s="53" t="n">
        <v>26</v>
      </c>
      <c r="B64" s="113">
        <f>IF($S64="","",IF(INDEX('Master Tracker'!$A$6:$A$400,$S64)="","",INDEX('Master Tracker'!$A$6:$A$400,$S64)))</f>
        <v/>
      </c>
      <c r="C64" s="114">
        <f>IF($S64="","",IF(INDEX('Master Tracker'!$C$6:$C$400,$S64)="","",INDEX('Master Tracker'!$C$6:$C$400,$S64)))</f>
        <v/>
      </c>
      <c r="D64" s="114">
        <f>IF($S64="","",IF(INDEX('Master Tracker'!$D$6:$D$400,$S64)="","",INDEX('Master Tracker'!$D$6:$D$400,$S64)))</f>
        <v/>
      </c>
      <c r="E64" s="53">
        <f>IF($S64="","",IF(INDEX('Master Tracker'!$F$6:$F$400,$S64)="","",INDEX('Master Tracker'!$F$6:$F$400,$S64)))</f>
        <v/>
      </c>
      <c r="F64" s="53">
        <f>IF($S64="","",IF(INDEX('Master Tracker'!$G$6:$G$400,$S64)="","",INDEX('Master Tracker'!$G$6:$G$400,$S64)))</f>
        <v/>
      </c>
      <c r="G64" s="70">
        <f>IF($S64="","",IF(INDEX('Master Tracker'!$H$6:$H$400,$S64)="","",INDEX('Master Tracker'!$H$6:$H$400,$S64)))</f>
        <v/>
      </c>
      <c r="H64" s="70">
        <f>IF($S64="","",IF(INDEX('Master Tracker'!$I$6:$I$400,$S64)="","",INDEX('Master Tracker'!$I$6:$I$400,$S64)))</f>
        <v/>
      </c>
      <c r="I64" s="115">
        <f>IF($S64="","",IF(INDEX('Master Tracker'!$U$6:$U$400,$S64)="","",INDEX('Master Tracker'!$U$6:$U$400,$S64)))</f>
        <v/>
      </c>
      <c r="J64" s="114">
        <f>IF($S64="","",IF(INDEX('Master Tracker'!$K$6:$K$400,$S64)="","",INDEX('Master Tracker'!$K$6:$K$400,$S64)))</f>
        <v/>
      </c>
      <c r="K64" s="114">
        <f>IF($S64="","",IF(INDEX('Master Tracker'!$Y$6:$Y$400,$S64)="","",INDEX('Master Tracker'!$Y$6:$Y$400,$S64)))</f>
        <v/>
      </c>
      <c r="L64" s="114">
        <f>IF($S64="","",IF(INDEX('Master Tracker'!$M$6:$M$400,$S64)="","",INDEX('Master Tracker'!$M$6:$M$400,$S64)))</f>
        <v/>
      </c>
      <c r="M64" s="114">
        <f>IF($S64="","",IF(INDEX('Master Tracker'!$O$6:$O$400,$S64)="","",INDEX('Master Tracker'!$O$6:$O$400,$S64)))</f>
        <v/>
      </c>
      <c r="N64" s="114">
        <f>IF($S64="","",IF(INDEX('Master Tracker'!$N$6:$N$400,$S64)="","",INDEX('Master Tracker'!$N$6:$N$400,$S64)))</f>
        <v/>
      </c>
      <c r="O64" s="53">
        <f>IF($S64="","",IF(INDEX('Master Tracker'!$T$6:$T$400,$S64)="","",INDEX('Master Tracker'!$T$6:$T$400,$S64)))</f>
        <v/>
      </c>
      <c r="P64" s="53">
        <f>IF($S64="","",IF(INDEX('Master Tracker'!$AC$6:$AC$400,$S64)="","",INDEX('Master Tracker'!$AC$6:$AC$400,$S64)))</f>
        <v/>
      </c>
      <c r="S64">
        <f>IFERROR(MATCH("Phase 2|"&amp;A64,'Master Tracker'!$Z$6:$Z$400,0),"")</f>
        <v/>
      </c>
    </row>
    <row r="65" ht="15" customHeight="1">
      <c r="A65" s="53" t="n">
        <v>27</v>
      </c>
      <c r="B65" s="113">
        <f>IF($S65="","",IF(INDEX('Master Tracker'!$A$6:$A$400,$S65)="","",INDEX('Master Tracker'!$A$6:$A$400,$S65)))</f>
        <v/>
      </c>
      <c r="C65" s="114">
        <f>IF($S65="","",IF(INDEX('Master Tracker'!$C$6:$C$400,$S65)="","",INDEX('Master Tracker'!$C$6:$C$400,$S65)))</f>
        <v/>
      </c>
      <c r="D65" s="114">
        <f>IF($S65="","",IF(INDEX('Master Tracker'!$D$6:$D$400,$S65)="","",INDEX('Master Tracker'!$D$6:$D$400,$S65)))</f>
        <v/>
      </c>
      <c r="E65" s="53">
        <f>IF($S65="","",IF(INDEX('Master Tracker'!$F$6:$F$400,$S65)="","",INDEX('Master Tracker'!$F$6:$F$400,$S65)))</f>
        <v/>
      </c>
      <c r="F65" s="53">
        <f>IF($S65="","",IF(INDEX('Master Tracker'!$G$6:$G$400,$S65)="","",INDEX('Master Tracker'!$G$6:$G$400,$S65)))</f>
        <v/>
      </c>
      <c r="G65" s="70">
        <f>IF($S65="","",IF(INDEX('Master Tracker'!$H$6:$H$400,$S65)="","",INDEX('Master Tracker'!$H$6:$H$400,$S65)))</f>
        <v/>
      </c>
      <c r="H65" s="70">
        <f>IF($S65="","",IF(INDEX('Master Tracker'!$I$6:$I$400,$S65)="","",INDEX('Master Tracker'!$I$6:$I$400,$S65)))</f>
        <v/>
      </c>
      <c r="I65" s="115">
        <f>IF($S65="","",IF(INDEX('Master Tracker'!$U$6:$U$400,$S65)="","",INDEX('Master Tracker'!$U$6:$U$400,$S65)))</f>
        <v/>
      </c>
      <c r="J65" s="114">
        <f>IF($S65="","",IF(INDEX('Master Tracker'!$K$6:$K$400,$S65)="","",INDEX('Master Tracker'!$K$6:$K$400,$S65)))</f>
        <v/>
      </c>
      <c r="K65" s="114">
        <f>IF($S65="","",IF(INDEX('Master Tracker'!$Y$6:$Y$400,$S65)="","",INDEX('Master Tracker'!$Y$6:$Y$400,$S65)))</f>
        <v/>
      </c>
      <c r="L65" s="114">
        <f>IF($S65="","",IF(INDEX('Master Tracker'!$M$6:$M$400,$S65)="","",INDEX('Master Tracker'!$M$6:$M$400,$S65)))</f>
        <v/>
      </c>
      <c r="M65" s="114">
        <f>IF($S65="","",IF(INDEX('Master Tracker'!$O$6:$O$400,$S65)="","",INDEX('Master Tracker'!$O$6:$O$400,$S65)))</f>
        <v/>
      </c>
      <c r="N65" s="114">
        <f>IF($S65="","",IF(INDEX('Master Tracker'!$N$6:$N$400,$S65)="","",INDEX('Master Tracker'!$N$6:$N$400,$S65)))</f>
        <v/>
      </c>
      <c r="O65" s="53">
        <f>IF($S65="","",IF(INDEX('Master Tracker'!$T$6:$T$400,$S65)="","",INDEX('Master Tracker'!$T$6:$T$400,$S65)))</f>
        <v/>
      </c>
      <c r="P65" s="53">
        <f>IF($S65="","",IF(INDEX('Master Tracker'!$AC$6:$AC$400,$S65)="","",INDEX('Master Tracker'!$AC$6:$AC$400,$S65)))</f>
        <v/>
      </c>
      <c r="S65">
        <f>IFERROR(MATCH("Phase 2|"&amp;A65,'Master Tracker'!$Z$6:$Z$400,0),"")</f>
        <v/>
      </c>
    </row>
    <row r="66" ht="15" customHeight="1">
      <c r="A66" s="53" t="n">
        <v>28</v>
      </c>
      <c r="B66" s="113">
        <f>IF($S66="","",IF(INDEX('Master Tracker'!$A$6:$A$400,$S66)="","",INDEX('Master Tracker'!$A$6:$A$400,$S66)))</f>
        <v/>
      </c>
      <c r="C66" s="114">
        <f>IF($S66="","",IF(INDEX('Master Tracker'!$C$6:$C$400,$S66)="","",INDEX('Master Tracker'!$C$6:$C$400,$S66)))</f>
        <v/>
      </c>
      <c r="D66" s="114">
        <f>IF($S66="","",IF(INDEX('Master Tracker'!$D$6:$D$400,$S66)="","",INDEX('Master Tracker'!$D$6:$D$400,$S66)))</f>
        <v/>
      </c>
      <c r="E66" s="53">
        <f>IF($S66="","",IF(INDEX('Master Tracker'!$F$6:$F$400,$S66)="","",INDEX('Master Tracker'!$F$6:$F$400,$S66)))</f>
        <v/>
      </c>
      <c r="F66" s="53">
        <f>IF($S66="","",IF(INDEX('Master Tracker'!$G$6:$G$400,$S66)="","",INDEX('Master Tracker'!$G$6:$G$400,$S66)))</f>
        <v/>
      </c>
      <c r="G66" s="70">
        <f>IF($S66="","",IF(INDEX('Master Tracker'!$H$6:$H$400,$S66)="","",INDEX('Master Tracker'!$H$6:$H$400,$S66)))</f>
        <v/>
      </c>
      <c r="H66" s="70">
        <f>IF($S66="","",IF(INDEX('Master Tracker'!$I$6:$I$400,$S66)="","",INDEX('Master Tracker'!$I$6:$I$400,$S66)))</f>
        <v/>
      </c>
      <c r="I66" s="115">
        <f>IF($S66="","",IF(INDEX('Master Tracker'!$U$6:$U$400,$S66)="","",INDEX('Master Tracker'!$U$6:$U$400,$S66)))</f>
        <v/>
      </c>
      <c r="J66" s="114">
        <f>IF($S66="","",IF(INDEX('Master Tracker'!$K$6:$K$400,$S66)="","",INDEX('Master Tracker'!$K$6:$K$400,$S66)))</f>
        <v/>
      </c>
      <c r="K66" s="114">
        <f>IF($S66="","",IF(INDEX('Master Tracker'!$Y$6:$Y$400,$S66)="","",INDEX('Master Tracker'!$Y$6:$Y$400,$S66)))</f>
        <v/>
      </c>
      <c r="L66" s="114">
        <f>IF($S66="","",IF(INDEX('Master Tracker'!$M$6:$M$400,$S66)="","",INDEX('Master Tracker'!$M$6:$M$400,$S66)))</f>
        <v/>
      </c>
      <c r="M66" s="114">
        <f>IF($S66="","",IF(INDEX('Master Tracker'!$O$6:$O$400,$S66)="","",INDEX('Master Tracker'!$O$6:$O$400,$S66)))</f>
        <v/>
      </c>
      <c r="N66" s="114">
        <f>IF($S66="","",IF(INDEX('Master Tracker'!$N$6:$N$400,$S66)="","",INDEX('Master Tracker'!$N$6:$N$400,$S66)))</f>
        <v/>
      </c>
      <c r="O66" s="53">
        <f>IF($S66="","",IF(INDEX('Master Tracker'!$T$6:$T$400,$S66)="","",INDEX('Master Tracker'!$T$6:$T$400,$S66)))</f>
        <v/>
      </c>
      <c r="P66" s="53">
        <f>IF($S66="","",IF(INDEX('Master Tracker'!$AC$6:$AC$400,$S66)="","",INDEX('Master Tracker'!$AC$6:$AC$400,$S66)))</f>
        <v/>
      </c>
      <c r="S66">
        <f>IFERROR(MATCH("Phase 2|"&amp;A66,'Master Tracker'!$Z$6:$Z$400,0),"")</f>
        <v/>
      </c>
    </row>
    <row r="67" ht="15" customHeight="1">
      <c r="A67" s="53" t="n">
        <v>29</v>
      </c>
      <c r="B67" s="113">
        <f>IF($S67="","",IF(INDEX('Master Tracker'!$A$6:$A$400,$S67)="","",INDEX('Master Tracker'!$A$6:$A$400,$S67)))</f>
        <v/>
      </c>
      <c r="C67" s="114">
        <f>IF($S67="","",IF(INDEX('Master Tracker'!$C$6:$C$400,$S67)="","",INDEX('Master Tracker'!$C$6:$C$400,$S67)))</f>
        <v/>
      </c>
      <c r="D67" s="114">
        <f>IF($S67="","",IF(INDEX('Master Tracker'!$D$6:$D$400,$S67)="","",INDEX('Master Tracker'!$D$6:$D$400,$S67)))</f>
        <v/>
      </c>
      <c r="E67" s="53">
        <f>IF($S67="","",IF(INDEX('Master Tracker'!$F$6:$F$400,$S67)="","",INDEX('Master Tracker'!$F$6:$F$400,$S67)))</f>
        <v/>
      </c>
      <c r="F67" s="53">
        <f>IF($S67="","",IF(INDEX('Master Tracker'!$G$6:$G$400,$S67)="","",INDEX('Master Tracker'!$G$6:$G$400,$S67)))</f>
        <v/>
      </c>
      <c r="G67" s="70">
        <f>IF($S67="","",IF(INDEX('Master Tracker'!$H$6:$H$400,$S67)="","",INDEX('Master Tracker'!$H$6:$H$400,$S67)))</f>
        <v/>
      </c>
      <c r="H67" s="70">
        <f>IF($S67="","",IF(INDEX('Master Tracker'!$I$6:$I$400,$S67)="","",INDEX('Master Tracker'!$I$6:$I$400,$S67)))</f>
        <v/>
      </c>
      <c r="I67" s="115">
        <f>IF($S67="","",IF(INDEX('Master Tracker'!$U$6:$U$400,$S67)="","",INDEX('Master Tracker'!$U$6:$U$400,$S67)))</f>
        <v/>
      </c>
      <c r="J67" s="114">
        <f>IF($S67="","",IF(INDEX('Master Tracker'!$K$6:$K$400,$S67)="","",INDEX('Master Tracker'!$K$6:$K$400,$S67)))</f>
        <v/>
      </c>
      <c r="K67" s="114">
        <f>IF($S67="","",IF(INDEX('Master Tracker'!$Y$6:$Y$400,$S67)="","",INDEX('Master Tracker'!$Y$6:$Y$400,$S67)))</f>
        <v/>
      </c>
      <c r="L67" s="114">
        <f>IF($S67="","",IF(INDEX('Master Tracker'!$M$6:$M$400,$S67)="","",INDEX('Master Tracker'!$M$6:$M$400,$S67)))</f>
        <v/>
      </c>
      <c r="M67" s="114">
        <f>IF($S67="","",IF(INDEX('Master Tracker'!$O$6:$O$400,$S67)="","",INDEX('Master Tracker'!$O$6:$O$400,$S67)))</f>
        <v/>
      </c>
      <c r="N67" s="114">
        <f>IF($S67="","",IF(INDEX('Master Tracker'!$N$6:$N$400,$S67)="","",INDEX('Master Tracker'!$N$6:$N$400,$S67)))</f>
        <v/>
      </c>
      <c r="O67" s="53">
        <f>IF($S67="","",IF(INDEX('Master Tracker'!$T$6:$T$400,$S67)="","",INDEX('Master Tracker'!$T$6:$T$400,$S67)))</f>
        <v/>
      </c>
      <c r="P67" s="53">
        <f>IF($S67="","",IF(INDEX('Master Tracker'!$AC$6:$AC$400,$S67)="","",INDEX('Master Tracker'!$AC$6:$AC$400,$S67)))</f>
        <v/>
      </c>
      <c r="S67">
        <f>IFERROR(MATCH("Phase 2|"&amp;A67,'Master Tracker'!$Z$6:$Z$400,0),"")</f>
        <v/>
      </c>
    </row>
    <row r="68" ht="15" customHeight="1">
      <c r="A68" s="53" t="n">
        <v>30</v>
      </c>
      <c r="B68" s="113">
        <f>IF($S68="","",IF(INDEX('Master Tracker'!$A$6:$A$400,$S68)="","",INDEX('Master Tracker'!$A$6:$A$400,$S68)))</f>
        <v/>
      </c>
      <c r="C68" s="114">
        <f>IF($S68="","",IF(INDEX('Master Tracker'!$C$6:$C$400,$S68)="","",INDEX('Master Tracker'!$C$6:$C$400,$S68)))</f>
        <v/>
      </c>
      <c r="D68" s="114">
        <f>IF($S68="","",IF(INDEX('Master Tracker'!$D$6:$D$400,$S68)="","",INDEX('Master Tracker'!$D$6:$D$400,$S68)))</f>
        <v/>
      </c>
      <c r="E68" s="53">
        <f>IF($S68="","",IF(INDEX('Master Tracker'!$F$6:$F$400,$S68)="","",INDEX('Master Tracker'!$F$6:$F$400,$S68)))</f>
        <v/>
      </c>
      <c r="F68" s="53">
        <f>IF($S68="","",IF(INDEX('Master Tracker'!$G$6:$G$400,$S68)="","",INDEX('Master Tracker'!$G$6:$G$400,$S68)))</f>
        <v/>
      </c>
      <c r="G68" s="70">
        <f>IF($S68="","",IF(INDEX('Master Tracker'!$H$6:$H$400,$S68)="","",INDEX('Master Tracker'!$H$6:$H$400,$S68)))</f>
        <v/>
      </c>
      <c r="H68" s="70">
        <f>IF($S68="","",IF(INDEX('Master Tracker'!$I$6:$I$400,$S68)="","",INDEX('Master Tracker'!$I$6:$I$400,$S68)))</f>
        <v/>
      </c>
      <c r="I68" s="115">
        <f>IF($S68="","",IF(INDEX('Master Tracker'!$U$6:$U$400,$S68)="","",INDEX('Master Tracker'!$U$6:$U$400,$S68)))</f>
        <v/>
      </c>
      <c r="J68" s="114">
        <f>IF($S68="","",IF(INDEX('Master Tracker'!$K$6:$K$400,$S68)="","",INDEX('Master Tracker'!$K$6:$K$400,$S68)))</f>
        <v/>
      </c>
      <c r="K68" s="114">
        <f>IF($S68="","",IF(INDEX('Master Tracker'!$Y$6:$Y$400,$S68)="","",INDEX('Master Tracker'!$Y$6:$Y$400,$S68)))</f>
        <v/>
      </c>
      <c r="L68" s="114">
        <f>IF($S68="","",IF(INDEX('Master Tracker'!$M$6:$M$400,$S68)="","",INDEX('Master Tracker'!$M$6:$M$400,$S68)))</f>
        <v/>
      </c>
      <c r="M68" s="114">
        <f>IF($S68="","",IF(INDEX('Master Tracker'!$O$6:$O$400,$S68)="","",INDEX('Master Tracker'!$O$6:$O$400,$S68)))</f>
        <v/>
      </c>
      <c r="N68" s="114">
        <f>IF($S68="","",IF(INDEX('Master Tracker'!$N$6:$N$400,$S68)="","",INDEX('Master Tracker'!$N$6:$N$400,$S68)))</f>
        <v/>
      </c>
      <c r="O68" s="53">
        <f>IF($S68="","",IF(INDEX('Master Tracker'!$T$6:$T$400,$S68)="","",INDEX('Master Tracker'!$T$6:$T$400,$S68)))</f>
        <v/>
      </c>
      <c r="P68" s="53">
        <f>IF($S68="","",IF(INDEX('Master Tracker'!$AC$6:$AC$400,$S68)="","",INDEX('Master Tracker'!$AC$6:$AC$400,$S68)))</f>
        <v/>
      </c>
      <c r="S68">
        <f>IFERROR(MATCH("Phase 2|"&amp;A68,'Master Tracker'!$Z$6:$Z$400,0),"")</f>
        <v/>
      </c>
    </row>
    <row r="69" ht="15" customHeight="1">
      <c r="A69" s="53" t="n">
        <v>31</v>
      </c>
      <c r="B69" s="113">
        <f>IF($S69="","",IF(INDEX('Master Tracker'!$A$6:$A$400,$S69)="","",INDEX('Master Tracker'!$A$6:$A$400,$S69)))</f>
        <v/>
      </c>
      <c r="C69" s="114">
        <f>IF($S69="","",IF(INDEX('Master Tracker'!$C$6:$C$400,$S69)="","",INDEX('Master Tracker'!$C$6:$C$400,$S69)))</f>
        <v/>
      </c>
      <c r="D69" s="114">
        <f>IF($S69="","",IF(INDEX('Master Tracker'!$D$6:$D$400,$S69)="","",INDEX('Master Tracker'!$D$6:$D$400,$S69)))</f>
        <v/>
      </c>
      <c r="E69" s="53">
        <f>IF($S69="","",IF(INDEX('Master Tracker'!$F$6:$F$400,$S69)="","",INDEX('Master Tracker'!$F$6:$F$400,$S69)))</f>
        <v/>
      </c>
      <c r="F69" s="53">
        <f>IF($S69="","",IF(INDEX('Master Tracker'!$G$6:$G$400,$S69)="","",INDEX('Master Tracker'!$G$6:$G$400,$S69)))</f>
        <v/>
      </c>
      <c r="G69" s="70">
        <f>IF($S69="","",IF(INDEX('Master Tracker'!$H$6:$H$400,$S69)="","",INDEX('Master Tracker'!$H$6:$H$400,$S69)))</f>
        <v/>
      </c>
      <c r="H69" s="70">
        <f>IF($S69="","",IF(INDEX('Master Tracker'!$I$6:$I$400,$S69)="","",INDEX('Master Tracker'!$I$6:$I$400,$S69)))</f>
        <v/>
      </c>
      <c r="I69" s="115">
        <f>IF($S69="","",IF(INDEX('Master Tracker'!$U$6:$U$400,$S69)="","",INDEX('Master Tracker'!$U$6:$U$400,$S69)))</f>
        <v/>
      </c>
      <c r="J69" s="114">
        <f>IF($S69="","",IF(INDEX('Master Tracker'!$K$6:$K$400,$S69)="","",INDEX('Master Tracker'!$K$6:$K$400,$S69)))</f>
        <v/>
      </c>
      <c r="K69" s="114">
        <f>IF($S69="","",IF(INDEX('Master Tracker'!$Y$6:$Y$400,$S69)="","",INDEX('Master Tracker'!$Y$6:$Y$400,$S69)))</f>
        <v/>
      </c>
      <c r="L69" s="114">
        <f>IF($S69="","",IF(INDEX('Master Tracker'!$M$6:$M$400,$S69)="","",INDEX('Master Tracker'!$M$6:$M$400,$S69)))</f>
        <v/>
      </c>
      <c r="M69" s="114">
        <f>IF($S69="","",IF(INDEX('Master Tracker'!$O$6:$O$400,$S69)="","",INDEX('Master Tracker'!$O$6:$O$400,$S69)))</f>
        <v/>
      </c>
      <c r="N69" s="114">
        <f>IF($S69="","",IF(INDEX('Master Tracker'!$N$6:$N$400,$S69)="","",INDEX('Master Tracker'!$N$6:$N$400,$S69)))</f>
        <v/>
      </c>
      <c r="O69" s="53">
        <f>IF($S69="","",IF(INDEX('Master Tracker'!$T$6:$T$400,$S69)="","",INDEX('Master Tracker'!$T$6:$T$400,$S69)))</f>
        <v/>
      </c>
      <c r="P69" s="53">
        <f>IF($S69="","",IF(INDEX('Master Tracker'!$AC$6:$AC$400,$S69)="","",INDEX('Master Tracker'!$AC$6:$AC$400,$S69)))</f>
        <v/>
      </c>
      <c r="S69">
        <f>IFERROR(MATCH("Phase 2|"&amp;A69,'Master Tracker'!$Z$6:$Z$400,0),"")</f>
        <v/>
      </c>
    </row>
    <row r="70" ht="15" customHeight="1">
      <c r="A70" s="53" t="n">
        <v>32</v>
      </c>
      <c r="B70" s="113">
        <f>IF($S70="","",IF(INDEX('Master Tracker'!$A$6:$A$400,$S70)="","",INDEX('Master Tracker'!$A$6:$A$400,$S70)))</f>
        <v/>
      </c>
      <c r="C70" s="114">
        <f>IF($S70="","",IF(INDEX('Master Tracker'!$C$6:$C$400,$S70)="","",INDEX('Master Tracker'!$C$6:$C$400,$S70)))</f>
        <v/>
      </c>
      <c r="D70" s="114">
        <f>IF($S70="","",IF(INDEX('Master Tracker'!$D$6:$D$400,$S70)="","",INDEX('Master Tracker'!$D$6:$D$400,$S70)))</f>
        <v/>
      </c>
      <c r="E70" s="53">
        <f>IF($S70="","",IF(INDEX('Master Tracker'!$F$6:$F$400,$S70)="","",INDEX('Master Tracker'!$F$6:$F$400,$S70)))</f>
        <v/>
      </c>
      <c r="F70" s="53">
        <f>IF($S70="","",IF(INDEX('Master Tracker'!$G$6:$G$400,$S70)="","",INDEX('Master Tracker'!$G$6:$G$400,$S70)))</f>
        <v/>
      </c>
      <c r="G70" s="70">
        <f>IF($S70="","",IF(INDEX('Master Tracker'!$H$6:$H$400,$S70)="","",INDEX('Master Tracker'!$H$6:$H$400,$S70)))</f>
        <v/>
      </c>
      <c r="H70" s="70">
        <f>IF($S70="","",IF(INDEX('Master Tracker'!$I$6:$I$400,$S70)="","",INDEX('Master Tracker'!$I$6:$I$400,$S70)))</f>
        <v/>
      </c>
      <c r="I70" s="115">
        <f>IF($S70="","",IF(INDEX('Master Tracker'!$U$6:$U$400,$S70)="","",INDEX('Master Tracker'!$U$6:$U$400,$S70)))</f>
        <v/>
      </c>
      <c r="J70" s="114">
        <f>IF($S70="","",IF(INDEX('Master Tracker'!$K$6:$K$400,$S70)="","",INDEX('Master Tracker'!$K$6:$K$400,$S70)))</f>
        <v/>
      </c>
      <c r="K70" s="114">
        <f>IF($S70="","",IF(INDEX('Master Tracker'!$Y$6:$Y$400,$S70)="","",INDEX('Master Tracker'!$Y$6:$Y$400,$S70)))</f>
        <v/>
      </c>
      <c r="L70" s="114">
        <f>IF($S70="","",IF(INDEX('Master Tracker'!$M$6:$M$400,$S70)="","",INDEX('Master Tracker'!$M$6:$M$400,$S70)))</f>
        <v/>
      </c>
      <c r="M70" s="114">
        <f>IF($S70="","",IF(INDEX('Master Tracker'!$O$6:$O$400,$S70)="","",INDEX('Master Tracker'!$O$6:$O$400,$S70)))</f>
        <v/>
      </c>
      <c r="N70" s="114">
        <f>IF($S70="","",IF(INDEX('Master Tracker'!$N$6:$N$400,$S70)="","",INDEX('Master Tracker'!$N$6:$N$400,$S70)))</f>
        <v/>
      </c>
      <c r="O70" s="53">
        <f>IF($S70="","",IF(INDEX('Master Tracker'!$T$6:$T$400,$S70)="","",INDEX('Master Tracker'!$T$6:$T$400,$S70)))</f>
        <v/>
      </c>
      <c r="P70" s="53">
        <f>IF($S70="","",IF(INDEX('Master Tracker'!$AC$6:$AC$400,$S70)="","",INDEX('Master Tracker'!$AC$6:$AC$400,$S70)))</f>
        <v/>
      </c>
      <c r="S70">
        <f>IFERROR(MATCH("Phase 2|"&amp;A70,'Master Tracker'!$Z$6:$Z$400,0),"")</f>
        <v/>
      </c>
    </row>
  </sheetData>
  <mergeCells count="52">
    <mergeCell ref="B32:R32"/>
    <mergeCell ref="B26:R26"/>
    <mergeCell ref="A7:R7"/>
    <mergeCell ref="A15:H15"/>
    <mergeCell ref="J5:K5"/>
    <mergeCell ref="J15:R15"/>
    <mergeCell ref="A25:R25"/>
    <mergeCell ref="B35:R35"/>
    <mergeCell ref="E5:F5"/>
    <mergeCell ref="A3:C3"/>
    <mergeCell ref="A37:R37"/>
    <mergeCell ref="B31:R31"/>
    <mergeCell ref="J20:R20"/>
    <mergeCell ref="J16:R16"/>
    <mergeCell ref="H6:I6"/>
    <mergeCell ref="B27:R27"/>
    <mergeCell ref="A5:C5"/>
    <mergeCell ref="J6:K6"/>
    <mergeCell ref="A2:R2"/>
    <mergeCell ref="A16:H16"/>
    <mergeCell ref="J22:R22"/>
    <mergeCell ref="J21:R21"/>
    <mergeCell ref="A12:H12"/>
    <mergeCell ref="J12:R12"/>
    <mergeCell ref="A18:H18"/>
    <mergeCell ref="E6:F6"/>
    <mergeCell ref="A21:H21"/>
    <mergeCell ref="P5:R5"/>
    <mergeCell ref="J18:R18"/>
    <mergeCell ref="B29:R29"/>
    <mergeCell ref="A10:R10"/>
    <mergeCell ref="J23:R23"/>
    <mergeCell ref="B34:R34"/>
    <mergeCell ref="A14:H14"/>
    <mergeCell ref="B28:R28"/>
    <mergeCell ref="A9:R9"/>
    <mergeCell ref="J17:R17"/>
    <mergeCell ref="A23:H23"/>
    <mergeCell ref="A22:H22"/>
    <mergeCell ref="A17:H17"/>
    <mergeCell ref="J14:R14"/>
    <mergeCell ref="B30:R30"/>
    <mergeCell ref="A20:H20"/>
    <mergeCell ref="J19:R19"/>
    <mergeCell ref="A6:C6"/>
    <mergeCell ref="H5:I5"/>
    <mergeCell ref="A13:H13"/>
    <mergeCell ref="A1:R1"/>
    <mergeCell ref="J13:R13"/>
    <mergeCell ref="A19:H19"/>
    <mergeCell ref="B33:R33"/>
    <mergeCell ref="P6:R6"/>
  </mergeCells>
  <conditionalFormatting sqref="P6">
    <cfRule type="expression" priority="1" dxfId="20">
      <formula>$P$6="Complete"</formula>
    </cfRule>
    <cfRule type="expression" priority="2" dxfId="21">
      <formula>$P$6="On Track"</formula>
    </cfRule>
    <cfRule type="expression" priority="3" dxfId="22">
      <formula>$P$6="Behind"</formula>
    </cfRule>
    <cfRule type="expression" priority="4" dxfId="22">
      <formula>$P$6="Blocked"</formula>
    </cfRule>
  </conditionalFormatting>
  <conditionalFormatting sqref="F39:F70">
    <cfRule type="expression" priority="5" dxfId="4">
      <formula>$F39="Completed"</formula>
    </cfRule>
    <cfRule type="expression" priority="6" dxfId="5">
      <formula>$F39="In Progress"</formula>
    </cfRule>
    <cfRule type="expression" priority="7" dxfId="11">
      <formula>$F39="Testing"</formula>
    </cfRule>
    <cfRule type="expression" priority="8" dxfId="11">
      <formula>$F39="In Review"</formula>
    </cfRule>
    <cfRule type="expression" priority="9" dxfId="6">
      <formula>$F39="Blocked"</formula>
    </cfRule>
    <cfRule type="expression" priority="10" dxfId="7">
      <formula>$F39="Not Started"</formula>
    </cfRule>
  </conditionalFormatting>
  <conditionalFormatting sqref="I39:I70">
    <cfRule type="dataBar" priority="11">
      <dataBar>
        <cfvo type="num" val="0"/>
        <cfvo type="num" val="1"/>
        <color rgb="0010B981"/>
      </dataBar>
    </cfRule>
  </conditionalFormatting>
  <conditionalFormatting sqref="P39:P70">
    <cfRule type="expression" priority="12" dxfId="16">
      <formula>$P39="Overdue"</formula>
    </cfRule>
    <cfRule type="expression" priority="13" dxfId="16">
      <formula>$P39="Blocked"</formula>
    </cfRule>
    <cfRule type="expression" priority="14" dxfId="19">
      <formula>$P39="Due soon"</formula>
    </cfRule>
    <cfRule type="expression" priority="15" dxfId="4">
      <formula>$P39="Done"</formula>
    </cfRule>
    <cfRule type="expression" priority="16" dxfId="11">
      <formula>$P39="Dependency open"</formula>
    </cfRule>
    <cfRule type="expression" priority="17" dxfId="11">
      <formula>$P39="External req."</formula>
    </cfRule>
    <cfRule type="expression" priority="18" dxfId="5">
      <formula>$P39="On track"</formula>
    </cfRule>
  </conditionalFormatting>
  <conditionalFormatting sqref="O39:O70">
    <cfRule type="expression" priority="19" dxfId="4">
      <formula>$O39="Pass"</formula>
    </cfRule>
    <cfRule type="expression" priority="20" dxfId="6">
      <formula>$O39="Fail"</formula>
    </cfRule>
    <cfRule type="expression" priority="21" dxfId="11">
      <formula>$O39="Partial"</formula>
    </cfRule>
  </conditionalFormatting>
  <hyperlinks>
    <hyperlink xmlns:r="http://schemas.openxmlformats.org/officeDocument/2006/relationships" ref="A3" r:id="rId1"/>
    <hyperlink xmlns:r="http://schemas.openxmlformats.org/officeDocument/2006/relationships" ref="D3" r:id="rId2"/>
    <hyperlink xmlns:r="http://schemas.openxmlformats.org/officeDocument/2006/relationships" ref="F3" r:id="rId3"/>
  </hyperlinks>
  <pageMargins left="0.75" right="0.75" top="1" bottom="1" header="0.5" footer="0.5"/>
  <pageSetup orientation="landscape" fitToHeight="0" fitToWidth="1"/>
</worksheet>
</file>

<file path=xl/worksheets/sheet5.xml><?xml version="1.0" encoding="utf-8"?>
<worksheet xmlns="http://schemas.openxmlformats.org/spreadsheetml/2006/main">
  <sheetPr>
    <tabColor rgb="00334155"/>
    <outlinePr summaryBelow="1" summaryRight="1"/>
    <pageSetUpPr fitToPage="1"/>
  </sheetPr>
  <dimension ref="A1:S63"/>
  <sheetViews>
    <sheetView showGridLines="0" zoomScale="90" workbookViewId="0">
      <pane ySplit="3" topLeftCell="A4" activePane="bottomLeft" state="frozen"/>
      <selection pane="bottomLeft" activeCell="A1" sqref="A1"/>
    </sheetView>
  </sheetViews>
  <sheetFormatPr baseColWidth="8" defaultRowHeight="15"/>
  <cols>
    <col width="5" customWidth="1" min="1" max="1"/>
    <col width="9" customWidth="1" min="2" max="2"/>
    <col width="15" customWidth="1" min="3" max="3"/>
    <col width="32" customWidth="1" min="4" max="4"/>
    <col width="8" customWidth="1" min="5" max="5"/>
    <col width="12" customWidth="1" min="6" max="6"/>
    <col width="10" customWidth="1" min="7" max="7"/>
    <col width="10" customWidth="1" min="8" max="8"/>
    <col width="10" customWidth="1" min="9" max="9"/>
    <col width="16" customWidth="1" min="10" max="10"/>
    <col width="12" customWidth="1" min="11" max="11"/>
    <col width="30" customWidth="1" min="12" max="12"/>
    <col width="38" customWidth="1" min="13" max="13"/>
    <col width="38" customWidth="1" min="14" max="14"/>
    <col width="10" customWidth="1" min="15" max="15"/>
    <col width="13" customWidth="1" min="16" max="16"/>
    <col width="12" customWidth="1" min="17" max="17"/>
    <col width="12" customWidth="1" min="18" max="18"/>
    <col hidden="1" width="4" customWidth="1" min="19" max="19"/>
  </cols>
  <sheetData>
    <row r="1" ht="34" customHeight="1">
      <c r="A1" s="1" t="inlineStr">
        <is>
          <t xml:space="preserve">  PHASE 3 — EDITORIAL &amp; TAXONOMY TEMPLATES</t>
        </is>
      </c>
      <c r="B1" s="2" t="n"/>
      <c r="C1" s="2" t="n"/>
      <c r="D1" s="2" t="n"/>
      <c r="E1" s="2" t="n"/>
      <c r="F1" s="2" t="n"/>
      <c r="G1" s="2" t="n"/>
      <c r="H1" s="2" t="n"/>
      <c r="I1" s="2" t="n"/>
      <c r="J1" s="2" t="n"/>
      <c r="K1" s="2" t="n"/>
      <c r="L1" s="2" t="n"/>
      <c r="M1" s="2" t="n"/>
      <c r="N1" s="2" t="n"/>
      <c r="O1" s="2" t="n"/>
      <c r="P1" s="2" t="n"/>
      <c r="Q1" s="2" t="n"/>
      <c r="R1" s="2" t="n"/>
    </row>
    <row r="2" ht="20" customHeight="1">
      <c r="A2" s="3" t="inlineStr">
        <is>
          <t xml:space="preserve">  Window 18 Oct – 20 Oct 2026   ·   Status is read live from the Master Tracker (edit there)</t>
        </is>
      </c>
      <c r="B2" s="4" t="n"/>
      <c r="C2" s="4" t="n"/>
      <c r="D2" s="4" t="n"/>
      <c r="E2" s="4" t="n"/>
      <c r="F2" s="4" t="n"/>
      <c r="G2" s="4" t="n"/>
      <c r="H2" s="4" t="n"/>
      <c r="I2" s="4" t="n"/>
      <c r="J2" s="4" t="n"/>
      <c r="K2" s="4" t="n"/>
      <c r="L2" s="4" t="n"/>
      <c r="M2" s="4" t="n"/>
      <c r="N2" s="4" t="n"/>
      <c r="O2" s="4" t="n"/>
      <c r="P2" s="4" t="n"/>
      <c r="Q2" s="4" t="n"/>
      <c r="R2" s="4" t="n"/>
    </row>
    <row r="3">
      <c r="A3" s="87" t="inlineStr">
        <is>
          <t>← Dashboard</t>
        </is>
      </c>
      <c r="D3" s="87" t="inlineStr">
        <is>
          <t>Open Master Tracker →</t>
        </is>
      </c>
      <c r="F3" s="7" t="inlineStr">
        <is>
          <t>Staging ↗</t>
        </is>
      </c>
    </row>
    <row r="5">
      <c r="A5" s="100" t="inlineStr">
        <is>
          <t>COMPLETION</t>
        </is>
      </c>
      <c r="B5" s="101" t="n"/>
      <c r="C5" s="101" t="n"/>
      <c r="D5" s="100" t="inlineStr">
        <is>
          <t>PLANNED</t>
        </is>
      </c>
      <c r="E5" s="100" t="inlineStr">
        <is>
          <t>TASKS</t>
        </is>
      </c>
      <c r="F5" s="101" t="n"/>
      <c r="G5" s="100" t="inlineStr">
        <is>
          <t>DONE</t>
        </is>
      </c>
      <c r="H5" s="100" t="inlineStr">
        <is>
          <t>IN PROGRESS</t>
        </is>
      </c>
      <c r="I5" s="101" t="n"/>
      <c r="J5" s="100" t="inlineStr">
        <is>
          <t>BLOCKED</t>
        </is>
      </c>
      <c r="K5" s="101" t="n"/>
      <c r="L5" s="100" t="inlineStr">
        <is>
          <t>OVERDUE</t>
        </is>
      </c>
      <c r="M5" s="100" t="inlineStr">
        <is>
          <t>IN REVIEW / TEST</t>
        </is>
      </c>
      <c r="N5" s="100" t="inlineStr">
        <is>
          <t>OPEN P0</t>
        </is>
      </c>
      <c r="O5" s="100" t="inlineStr">
        <is>
          <t>DEADLINE</t>
        </is>
      </c>
      <c r="P5" s="102" t="inlineStr">
        <is>
          <t>PHASE STATUS</t>
        </is>
      </c>
    </row>
    <row r="6" ht="32" customHeight="1">
      <c r="A6" s="103">
        <f>IFERROR(SUMPRODUCT(('Master Tracker'!$B$6:$B$400="Phase 3")*'Master Tracker'!$U$6:$U$400)/COUNTIFS('Master Tracker'!$B$6:$B$400,"Phase 3",'Master Tracker'!$A$6:$A$400,"?*"),0)</f>
        <v/>
      </c>
      <c r="B6" s="104" t="n"/>
      <c r="C6" s="104" t="n"/>
      <c r="D6" s="103">
        <f>IFERROR(SUMPRODUCT(('Master Tracker'!$B$6:$B$400="Phase 3")*'Master Tracker'!$V$6:$V$400)/COUNTIFS('Master Tracker'!$B$6:$B$400,"Phase 3",'Master Tracker'!$A$6:$A$400,"?*"),0)</f>
        <v/>
      </c>
      <c r="E6" s="105">
        <f>COUNTIFS('Master Tracker'!$B$6:$B$400,"Phase 3",'Master Tracker'!$A$6:$A$400,"?*")</f>
        <v/>
      </c>
      <c r="F6" s="104" t="n"/>
      <c r="G6" s="105">
        <f>COUNTIFS('Master Tracker'!$B$6:$B$400,"Phase 3",'Master Tracker'!$G$6:$G$400,"Completed")</f>
        <v/>
      </c>
      <c r="H6" s="105">
        <f>COUNTIFS('Master Tracker'!$B$6:$B$400,"Phase 3",'Master Tracker'!$G$6:$G$400,"In Progress")</f>
        <v/>
      </c>
      <c r="I6" s="104" t="n"/>
      <c r="J6" s="105">
        <f>COUNTIFS('Master Tracker'!$B$6:$B$400,"Phase 3",'Master Tracker'!$G$6:$G$400,"Blocked")</f>
        <v/>
      </c>
      <c r="K6" s="104" t="n"/>
      <c r="L6" s="105">
        <f>COUNTIFS('Master Tracker'!$B$6:$B$400,"Phase 3",'Master Tracker'!$X$6:$X$400,"OVERDUE")</f>
        <v/>
      </c>
      <c r="M6" s="105">
        <f>COUNTIFS('Master Tracker'!$B$6:$B$400,"Phase 3",'Master Tracker'!$G$6:$G$400,"In Review")+COUNTIFS('Master Tracker'!$B$6:$B$400,"Phase 3",'Master Tracker'!$G$6:$G$400,"Testing")</f>
        <v/>
      </c>
      <c r="N6" s="105">
        <f>COUNTIFS('Master Tracker'!$B$6:$B$400,"Phase 3",'Master Tracker'!$F$6:$F$400,"P0",'Master Tracker'!$G$6:$G$400,"&lt;&gt;Completed",'Master Tracker'!$A$6:$A$400,"?*")</f>
        <v/>
      </c>
      <c r="O6" s="106">
        <f>_xlfn.MAXIFS('Master Tracker'!$I$6:$I$400,'Master Tracker'!$B$6:$B$400,"Phase 3")</f>
        <v/>
      </c>
      <c r="P6" s="107">
        <f>IF(E6=0,"—",IF(G6=E6,"Complete",IF(J6&gt;0,"Blocked",IF(L6&gt;0,"Behind",IF(A6+0.1&lt;D6,"Behind",IF(A6&gt;0,"On Track","Not Started"))))))</f>
        <v/>
      </c>
    </row>
    <row r="7" ht="22" customHeight="1">
      <c r="A7" s="108">
        <f>"Progress  "&amp;REPT("█",ROUND(A6*50,0))&amp;REPT("░",50-ROUND(A6*50,0))&amp;"  "&amp;TEXT(A6,"0%")&amp;"  (planned "&amp;TEXT(D6,"0%")&amp;")"</f>
        <v/>
      </c>
    </row>
    <row r="9" ht="22" customHeight="1">
      <c r="A9" s="9" t="inlineStr">
        <is>
          <t xml:space="preserve">  PHASE GOAL</t>
        </is>
      </c>
      <c r="B9" s="10" t="n"/>
      <c r="C9" s="10" t="n"/>
      <c r="D9" s="10" t="n"/>
      <c r="E9" s="10" t="n"/>
      <c r="F9" s="10" t="n"/>
      <c r="G9" s="10" t="n"/>
      <c r="H9" s="10" t="n"/>
      <c r="I9" s="10" t="n"/>
      <c r="J9" s="10" t="n"/>
      <c r="K9" s="10" t="n"/>
      <c r="L9" s="10" t="n"/>
      <c r="M9" s="10" t="n"/>
      <c r="N9" s="10" t="n"/>
      <c r="O9" s="10" t="n"/>
      <c r="P9" s="10" t="n"/>
      <c r="Q9" s="10" t="n"/>
      <c r="R9" s="10" t="n"/>
    </row>
    <row r="10" ht="46" customHeight="1">
      <c r="A10" s="109" t="inlineStr">
        <is>
          <t>Provide production-grade article, author and taxonomy templates that render all 2,645 legacy articles correctly, support monetization (ad injection), engagement (sharing, related, progress bar) and discovery (AJAX filtering, grid/list, pagination) while remaining fully SEO-compatible.</t>
        </is>
      </c>
    </row>
    <row r="12" ht="22" customHeight="1">
      <c r="A12" s="9" t="inlineStr">
        <is>
          <t xml:space="preserve">  DELIVERABLES</t>
        </is>
      </c>
      <c r="B12" s="10" t="n"/>
      <c r="C12" s="10" t="n"/>
      <c r="D12" s="10" t="n"/>
      <c r="E12" s="10" t="n"/>
      <c r="F12" s="10" t="n"/>
      <c r="G12" s="10" t="n"/>
      <c r="H12" s="10" t="n"/>
      <c r="J12" s="9" t="inlineStr">
        <is>
          <t xml:space="preserve">  REQUIRED WORDPRESS FILES</t>
        </is>
      </c>
      <c r="K12" s="10" t="n"/>
      <c r="L12" s="10" t="n"/>
      <c r="M12" s="10" t="n"/>
      <c r="N12" s="10" t="n"/>
      <c r="O12" s="10" t="n"/>
      <c r="P12" s="10" t="n"/>
      <c r="Q12" s="10" t="n"/>
      <c r="R12" s="10" t="n"/>
    </row>
    <row r="13">
      <c r="A13" s="110" t="inlineStr">
        <is>
          <t>▸ Single article template with full metadata</t>
        </is>
      </c>
      <c r="J13" s="110" t="inlineStr">
        <is>
          <t>▸ single.php</t>
        </is>
      </c>
    </row>
    <row r="14">
      <c r="A14" s="111" t="inlineStr">
        <is>
          <t>▸ Legacy JNews content/shortcode rendering</t>
        </is>
      </c>
      <c r="J14" s="111" t="inlineStr">
        <is>
          <t>▸ author.php</t>
        </is>
      </c>
    </row>
    <row r="15">
      <c r="A15" s="110" t="inlineStr">
        <is>
          <t>▸ Reading progress bar, social sharing, related articles</t>
        </is>
      </c>
      <c r="J15" s="110" t="inlineStr">
        <is>
          <t>▸ category.php</t>
        </is>
      </c>
    </row>
    <row r="16">
      <c r="A16" s="111" t="inlineStr">
        <is>
          <t>▸ In-article advertisement injection</t>
        </is>
      </c>
      <c r="J16" s="111" t="inlineStr">
        <is>
          <t>▸ tag.php</t>
        </is>
      </c>
    </row>
    <row r="17">
      <c r="A17" s="110" t="inlineStr">
        <is>
          <t>▸ Author box and author profile template</t>
        </is>
      </c>
      <c r="J17" s="110" t="inlineStr">
        <is>
          <t>▸ search.php</t>
        </is>
      </c>
    </row>
    <row r="18">
      <c r="A18" s="111" t="inlineStr">
        <is>
          <t>▸ Category, tag and search archives</t>
        </is>
      </c>
      <c r="J18" s="111" t="inlineStr">
        <is>
          <t>▸ template-parts/article/*.php</t>
        </is>
      </c>
    </row>
    <row r="19">
      <c r="A19" s="110" t="inlineStr">
        <is>
          <t>▸ AJAX filtering, grid/list switching, pagination</t>
        </is>
      </c>
      <c r="J19" s="110" t="inlineStr">
        <is>
          <t>▸ inc/content-filters.php</t>
        </is>
      </c>
    </row>
    <row r="20">
      <c r="A20" s="111" t="inlineStr">
        <is>
          <t>▸ Print stylesheet</t>
        </is>
      </c>
      <c r="J20" s="111" t="inlineStr">
        <is>
          <t>▸ inc/legacy-shortcodes.php</t>
        </is>
      </c>
    </row>
    <row r="21">
      <c r="A21" s="110" t="inlineStr">
        <is>
          <t>▸ SEO plugin compatibility, schema &amp; breadcrumbs</t>
        </is>
      </c>
      <c r="J21" s="110" t="inlineStr">
        <is>
          <t>▸ inc/rest/archive-filter.php</t>
        </is>
      </c>
    </row>
    <row r="22">
      <c r="A22" s="111" t="n"/>
      <c r="J22" s="111" t="inlineStr">
        <is>
          <t>▸ assets/js/modules/progress.js, share.js, filter.js</t>
        </is>
      </c>
    </row>
    <row r="23">
      <c r="A23" s="110" t="n"/>
      <c r="J23" s="110" t="inlineStr">
        <is>
          <t>▸ assets/css/print.css</t>
        </is>
      </c>
    </row>
    <row r="24">
      <c r="A24" s="111" t="n"/>
      <c r="J24" s="111" t="inlineStr">
        <is>
          <t>▸ inc/seo.php</t>
        </is>
      </c>
    </row>
    <row r="26" ht="22" customHeight="1">
      <c r="A26" s="9" t="inlineStr">
        <is>
          <t xml:space="preserve">  TECHNICAL IMPLEMENTATION STEPS</t>
        </is>
      </c>
      <c r="B26" s="10" t="n"/>
      <c r="C26" s="10" t="n"/>
      <c r="D26" s="10" t="n"/>
      <c r="E26" s="10" t="n"/>
      <c r="F26" s="10" t="n"/>
      <c r="G26" s="10" t="n"/>
      <c r="H26" s="10" t="n"/>
      <c r="I26" s="10" t="n"/>
      <c r="J26" s="10" t="n"/>
      <c r="K26" s="10" t="n"/>
      <c r="L26" s="10" t="n"/>
      <c r="M26" s="10" t="n"/>
      <c r="N26" s="10" t="n"/>
      <c r="O26" s="10" t="n"/>
      <c r="P26" s="10" t="n"/>
      <c r="Q26" s="10" t="n"/>
      <c r="R26" s="10" t="n"/>
    </row>
    <row r="27">
      <c r="A27" s="112" t="n">
        <v>1</v>
      </c>
      <c r="B27" s="111" t="inlineStr">
        <is>
          <t>Build single.php from components; style content blocks &amp; legacy markup</t>
        </is>
      </c>
    </row>
    <row r="28">
      <c r="A28" s="112" t="n">
        <v>2</v>
      </c>
      <c r="B28" s="110" t="inlineStr">
        <is>
          <t>Add shortcode fallbacks for JNews shortcodes found in audit (P6-04)</t>
        </is>
      </c>
    </row>
    <row r="29">
      <c r="A29" s="112" t="n">
        <v>3</v>
      </c>
      <c r="B29" s="111" t="inlineStr">
        <is>
          <t>Implement progress bar, share buttons (no third-party JS)</t>
        </is>
      </c>
    </row>
    <row r="30">
      <c r="A30" s="112" t="n">
        <v>4</v>
      </c>
      <c r="B30" s="110" t="inlineStr">
        <is>
          <t>Add the_content filter for ad injection by paragraph</t>
        </is>
      </c>
    </row>
    <row r="31">
      <c r="A31" s="112" t="n">
        <v>5</v>
      </c>
      <c r="B31" s="111" t="inlineStr">
        <is>
          <t>Build related query (category + tags, cached)</t>
        </is>
      </c>
    </row>
    <row r="32">
      <c r="A32" s="112" t="n">
        <v>6</v>
      </c>
      <c r="B32" s="110" t="inlineStr">
        <is>
          <t>Build author.php and category.php with featured lead</t>
        </is>
      </c>
    </row>
    <row r="33">
      <c r="A33" s="112" t="n">
        <v>7</v>
      </c>
      <c r="B33" s="111" t="inlineStr">
        <is>
          <t>Create REST endpoint for AJAX filtering with nonce + pushState</t>
        </is>
      </c>
    </row>
    <row r="34">
      <c r="A34" s="112" t="n">
        <v>8</v>
      </c>
      <c r="B34" s="110" t="inlineStr">
        <is>
          <t>Add grid/list toggle and SEO-friendly pagination</t>
        </is>
      </c>
    </row>
    <row r="35">
      <c r="A35" s="112" t="n">
        <v>9</v>
      </c>
      <c r="B35" s="111" t="inlineStr">
        <is>
          <t>Write print.css</t>
        </is>
      </c>
    </row>
    <row r="36">
      <c r="A36" s="112" t="n">
        <v>10</v>
      </c>
      <c r="B36" s="110" t="inlineStr">
        <is>
          <t>Verify SEO plugin output, NewsArticle schema, canonical, OG tags</t>
        </is>
      </c>
    </row>
    <row r="38" ht="22" customHeight="1">
      <c r="A38" s="9" t="inlineStr">
        <is>
          <t xml:space="preserve">  DETAILED TASK CHECKLIST   (live from Master Tracker — change Status / % there)</t>
        </is>
      </c>
      <c r="B38" s="10" t="n"/>
      <c r="C38" s="10" t="n"/>
      <c r="D38" s="10" t="n"/>
      <c r="E38" s="10" t="n"/>
      <c r="F38" s="10" t="n"/>
      <c r="G38" s="10" t="n"/>
      <c r="H38" s="10" t="n"/>
      <c r="I38" s="10" t="n"/>
      <c r="J38" s="10" t="n"/>
      <c r="K38" s="10" t="n"/>
      <c r="L38" s="10" t="n"/>
      <c r="M38" s="10" t="n"/>
      <c r="N38" s="10" t="n"/>
      <c r="O38" s="10" t="n"/>
      <c r="P38" s="10" t="n"/>
      <c r="Q38" s="10" t="n"/>
      <c r="R38" s="10" t="n"/>
    </row>
    <row r="39">
      <c r="A39" s="61" t="inlineStr">
        <is>
          <t>#</t>
        </is>
      </c>
      <c r="B39" s="61" t="inlineStr">
        <is>
          <t>Task ID</t>
        </is>
      </c>
      <c r="C39" s="61" t="inlineStr">
        <is>
          <t>Module</t>
        </is>
      </c>
      <c r="D39" s="61" t="inlineStr">
        <is>
          <t>Task</t>
        </is>
      </c>
      <c r="E39" s="61" t="inlineStr">
        <is>
          <t>Priority</t>
        </is>
      </c>
      <c r="F39" s="61" t="inlineStr">
        <is>
          <t>Status</t>
        </is>
      </c>
      <c r="G39" s="61" t="inlineStr">
        <is>
          <t>Start</t>
        </is>
      </c>
      <c r="H39" s="61" t="inlineStr">
        <is>
          <t>Due</t>
        </is>
      </c>
      <c r="I39" s="61" t="inlineStr">
        <is>
          <t>Complete</t>
        </is>
      </c>
      <c r="J39" s="61" t="inlineStr">
        <is>
          <t>Dependencies</t>
        </is>
      </c>
      <c r="K39" s="61" t="inlineStr">
        <is>
          <t>Dep. check</t>
        </is>
      </c>
      <c r="L39" s="61" t="inlineStr">
        <is>
          <t>WordPress files</t>
        </is>
      </c>
      <c r="M39" s="61" t="inlineStr">
        <is>
          <t>Acceptance criteria</t>
        </is>
      </c>
      <c r="N39" s="61" t="inlineStr">
        <is>
          <t>Testing checklist</t>
        </is>
      </c>
      <c r="O39" s="61" t="inlineStr">
        <is>
          <t>Test result</t>
        </is>
      </c>
      <c r="P39" s="61" t="inlineStr">
        <is>
          <t>Alert</t>
        </is>
      </c>
    </row>
    <row r="40" ht="48" customHeight="1">
      <c r="A40" s="53" t="n">
        <v>1</v>
      </c>
      <c r="B40" s="113">
        <f>IF($S40="","",IF(INDEX('Master Tracker'!$A$6:$A$400,$S40)="","",INDEX('Master Tracker'!$A$6:$A$400,$S40)))</f>
        <v/>
      </c>
      <c r="C40" s="114">
        <f>IF($S40="","",IF(INDEX('Master Tracker'!$C$6:$C$400,$S40)="","",INDEX('Master Tracker'!$C$6:$C$400,$S40)))</f>
        <v/>
      </c>
      <c r="D40" s="114">
        <f>IF($S40="","",IF(INDEX('Master Tracker'!$D$6:$D$400,$S40)="","",INDEX('Master Tracker'!$D$6:$D$400,$S40)))</f>
        <v/>
      </c>
      <c r="E40" s="53">
        <f>IF($S40="","",IF(INDEX('Master Tracker'!$F$6:$F$400,$S40)="","",INDEX('Master Tracker'!$F$6:$F$400,$S40)))</f>
        <v/>
      </c>
      <c r="F40" s="53">
        <f>IF($S40="","",IF(INDEX('Master Tracker'!$G$6:$G$400,$S40)="","",INDEX('Master Tracker'!$G$6:$G$400,$S40)))</f>
        <v/>
      </c>
      <c r="G40" s="70">
        <f>IF($S40="","",IF(INDEX('Master Tracker'!$H$6:$H$400,$S40)="","",INDEX('Master Tracker'!$H$6:$H$400,$S40)))</f>
        <v/>
      </c>
      <c r="H40" s="70">
        <f>IF($S40="","",IF(INDEX('Master Tracker'!$I$6:$I$400,$S40)="","",INDEX('Master Tracker'!$I$6:$I$400,$S40)))</f>
        <v/>
      </c>
      <c r="I40" s="115">
        <f>IF($S40="","",IF(INDEX('Master Tracker'!$U$6:$U$400,$S40)="","",INDEX('Master Tracker'!$U$6:$U$400,$S40)))</f>
        <v/>
      </c>
      <c r="J40" s="114">
        <f>IF($S40="","",IF(INDEX('Master Tracker'!$K$6:$K$400,$S40)="","",INDEX('Master Tracker'!$K$6:$K$400,$S40)))</f>
        <v/>
      </c>
      <c r="K40" s="114">
        <f>IF($S40="","",IF(INDEX('Master Tracker'!$Y$6:$Y$400,$S40)="","",INDEX('Master Tracker'!$Y$6:$Y$400,$S40)))</f>
        <v/>
      </c>
      <c r="L40" s="114">
        <f>IF($S40="","",IF(INDEX('Master Tracker'!$M$6:$M$400,$S40)="","",INDEX('Master Tracker'!$M$6:$M$400,$S40)))</f>
        <v/>
      </c>
      <c r="M40" s="114">
        <f>IF($S40="","",IF(INDEX('Master Tracker'!$O$6:$O$400,$S40)="","",INDEX('Master Tracker'!$O$6:$O$400,$S40)))</f>
        <v/>
      </c>
      <c r="N40" s="114">
        <f>IF($S40="","",IF(INDEX('Master Tracker'!$N$6:$N$400,$S40)="","",INDEX('Master Tracker'!$N$6:$N$400,$S40)))</f>
        <v/>
      </c>
      <c r="O40" s="53">
        <f>IF($S40="","",IF(INDEX('Master Tracker'!$T$6:$T$400,$S40)="","",INDEX('Master Tracker'!$T$6:$T$400,$S40)))</f>
        <v/>
      </c>
      <c r="P40" s="53">
        <f>IF($S40="","",IF(INDEX('Master Tracker'!$AC$6:$AC$400,$S40)="","",INDEX('Master Tracker'!$AC$6:$AC$400,$S40)))</f>
        <v/>
      </c>
      <c r="S40">
        <f>IFERROR(MATCH("Phase 3|"&amp;A40,'Master Tracker'!$Z$6:$Z$400,0),"")</f>
        <v/>
      </c>
    </row>
    <row r="41" ht="48" customHeight="1">
      <c r="A41" s="53" t="n">
        <v>2</v>
      </c>
      <c r="B41" s="113">
        <f>IF($S41="","",IF(INDEX('Master Tracker'!$A$6:$A$400,$S41)="","",INDEX('Master Tracker'!$A$6:$A$400,$S41)))</f>
        <v/>
      </c>
      <c r="C41" s="114">
        <f>IF($S41="","",IF(INDEX('Master Tracker'!$C$6:$C$400,$S41)="","",INDEX('Master Tracker'!$C$6:$C$400,$S41)))</f>
        <v/>
      </c>
      <c r="D41" s="114">
        <f>IF($S41="","",IF(INDEX('Master Tracker'!$D$6:$D$400,$S41)="","",INDEX('Master Tracker'!$D$6:$D$400,$S41)))</f>
        <v/>
      </c>
      <c r="E41" s="53">
        <f>IF($S41="","",IF(INDEX('Master Tracker'!$F$6:$F$400,$S41)="","",INDEX('Master Tracker'!$F$6:$F$400,$S41)))</f>
        <v/>
      </c>
      <c r="F41" s="53">
        <f>IF($S41="","",IF(INDEX('Master Tracker'!$G$6:$G$400,$S41)="","",INDEX('Master Tracker'!$G$6:$G$400,$S41)))</f>
        <v/>
      </c>
      <c r="G41" s="70">
        <f>IF($S41="","",IF(INDEX('Master Tracker'!$H$6:$H$400,$S41)="","",INDEX('Master Tracker'!$H$6:$H$400,$S41)))</f>
        <v/>
      </c>
      <c r="H41" s="70">
        <f>IF($S41="","",IF(INDEX('Master Tracker'!$I$6:$I$400,$S41)="","",INDEX('Master Tracker'!$I$6:$I$400,$S41)))</f>
        <v/>
      </c>
      <c r="I41" s="115">
        <f>IF($S41="","",IF(INDEX('Master Tracker'!$U$6:$U$400,$S41)="","",INDEX('Master Tracker'!$U$6:$U$400,$S41)))</f>
        <v/>
      </c>
      <c r="J41" s="114">
        <f>IF($S41="","",IF(INDEX('Master Tracker'!$K$6:$K$400,$S41)="","",INDEX('Master Tracker'!$K$6:$K$400,$S41)))</f>
        <v/>
      </c>
      <c r="K41" s="114">
        <f>IF($S41="","",IF(INDEX('Master Tracker'!$Y$6:$Y$400,$S41)="","",INDEX('Master Tracker'!$Y$6:$Y$400,$S41)))</f>
        <v/>
      </c>
      <c r="L41" s="114">
        <f>IF($S41="","",IF(INDEX('Master Tracker'!$M$6:$M$400,$S41)="","",INDEX('Master Tracker'!$M$6:$M$400,$S41)))</f>
        <v/>
      </c>
      <c r="M41" s="114">
        <f>IF($S41="","",IF(INDEX('Master Tracker'!$O$6:$O$400,$S41)="","",INDEX('Master Tracker'!$O$6:$O$400,$S41)))</f>
        <v/>
      </c>
      <c r="N41" s="114">
        <f>IF($S41="","",IF(INDEX('Master Tracker'!$N$6:$N$400,$S41)="","",INDEX('Master Tracker'!$N$6:$N$400,$S41)))</f>
        <v/>
      </c>
      <c r="O41" s="53">
        <f>IF($S41="","",IF(INDEX('Master Tracker'!$T$6:$T$400,$S41)="","",INDEX('Master Tracker'!$T$6:$T$400,$S41)))</f>
        <v/>
      </c>
      <c r="P41" s="53">
        <f>IF($S41="","",IF(INDEX('Master Tracker'!$AC$6:$AC$400,$S41)="","",INDEX('Master Tracker'!$AC$6:$AC$400,$S41)))</f>
        <v/>
      </c>
      <c r="S41">
        <f>IFERROR(MATCH("Phase 3|"&amp;A41,'Master Tracker'!$Z$6:$Z$400,0),"")</f>
        <v/>
      </c>
    </row>
    <row r="42" ht="48" customHeight="1">
      <c r="A42" s="53" t="n">
        <v>3</v>
      </c>
      <c r="B42" s="113">
        <f>IF($S42="","",IF(INDEX('Master Tracker'!$A$6:$A$400,$S42)="","",INDEX('Master Tracker'!$A$6:$A$400,$S42)))</f>
        <v/>
      </c>
      <c r="C42" s="114">
        <f>IF($S42="","",IF(INDEX('Master Tracker'!$C$6:$C$400,$S42)="","",INDEX('Master Tracker'!$C$6:$C$400,$S42)))</f>
        <v/>
      </c>
      <c r="D42" s="114">
        <f>IF($S42="","",IF(INDEX('Master Tracker'!$D$6:$D$400,$S42)="","",INDEX('Master Tracker'!$D$6:$D$400,$S42)))</f>
        <v/>
      </c>
      <c r="E42" s="53">
        <f>IF($S42="","",IF(INDEX('Master Tracker'!$F$6:$F$400,$S42)="","",INDEX('Master Tracker'!$F$6:$F$400,$S42)))</f>
        <v/>
      </c>
      <c r="F42" s="53">
        <f>IF($S42="","",IF(INDEX('Master Tracker'!$G$6:$G$400,$S42)="","",INDEX('Master Tracker'!$G$6:$G$400,$S42)))</f>
        <v/>
      </c>
      <c r="G42" s="70">
        <f>IF($S42="","",IF(INDEX('Master Tracker'!$H$6:$H$400,$S42)="","",INDEX('Master Tracker'!$H$6:$H$400,$S42)))</f>
        <v/>
      </c>
      <c r="H42" s="70">
        <f>IF($S42="","",IF(INDEX('Master Tracker'!$I$6:$I$400,$S42)="","",INDEX('Master Tracker'!$I$6:$I$400,$S42)))</f>
        <v/>
      </c>
      <c r="I42" s="115">
        <f>IF($S42="","",IF(INDEX('Master Tracker'!$U$6:$U$400,$S42)="","",INDEX('Master Tracker'!$U$6:$U$400,$S42)))</f>
        <v/>
      </c>
      <c r="J42" s="114">
        <f>IF($S42="","",IF(INDEX('Master Tracker'!$K$6:$K$400,$S42)="","",INDEX('Master Tracker'!$K$6:$K$400,$S42)))</f>
        <v/>
      </c>
      <c r="K42" s="114">
        <f>IF($S42="","",IF(INDEX('Master Tracker'!$Y$6:$Y$400,$S42)="","",INDEX('Master Tracker'!$Y$6:$Y$400,$S42)))</f>
        <v/>
      </c>
      <c r="L42" s="114">
        <f>IF($S42="","",IF(INDEX('Master Tracker'!$M$6:$M$400,$S42)="","",INDEX('Master Tracker'!$M$6:$M$400,$S42)))</f>
        <v/>
      </c>
      <c r="M42" s="114">
        <f>IF($S42="","",IF(INDEX('Master Tracker'!$O$6:$O$400,$S42)="","",INDEX('Master Tracker'!$O$6:$O$400,$S42)))</f>
        <v/>
      </c>
      <c r="N42" s="114">
        <f>IF($S42="","",IF(INDEX('Master Tracker'!$N$6:$N$400,$S42)="","",INDEX('Master Tracker'!$N$6:$N$400,$S42)))</f>
        <v/>
      </c>
      <c r="O42" s="53">
        <f>IF($S42="","",IF(INDEX('Master Tracker'!$T$6:$T$400,$S42)="","",INDEX('Master Tracker'!$T$6:$T$400,$S42)))</f>
        <v/>
      </c>
      <c r="P42" s="53">
        <f>IF($S42="","",IF(INDEX('Master Tracker'!$AC$6:$AC$400,$S42)="","",INDEX('Master Tracker'!$AC$6:$AC$400,$S42)))</f>
        <v/>
      </c>
      <c r="S42">
        <f>IFERROR(MATCH("Phase 3|"&amp;A42,'Master Tracker'!$Z$6:$Z$400,0),"")</f>
        <v/>
      </c>
    </row>
    <row r="43" ht="48" customHeight="1">
      <c r="A43" s="53" t="n">
        <v>4</v>
      </c>
      <c r="B43" s="113">
        <f>IF($S43="","",IF(INDEX('Master Tracker'!$A$6:$A$400,$S43)="","",INDEX('Master Tracker'!$A$6:$A$400,$S43)))</f>
        <v/>
      </c>
      <c r="C43" s="114">
        <f>IF($S43="","",IF(INDEX('Master Tracker'!$C$6:$C$400,$S43)="","",INDEX('Master Tracker'!$C$6:$C$400,$S43)))</f>
        <v/>
      </c>
      <c r="D43" s="114">
        <f>IF($S43="","",IF(INDEX('Master Tracker'!$D$6:$D$400,$S43)="","",INDEX('Master Tracker'!$D$6:$D$400,$S43)))</f>
        <v/>
      </c>
      <c r="E43" s="53">
        <f>IF($S43="","",IF(INDEX('Master Tracker'!$F$6:$F$400,$S43)="","",INDEX('Master Tracker'!$F$6:$F$400,$S43)))</f>
        <v/>
      </c>
      <c r="F43" s="53">
        <f>IF($S43="","",IF(INDEX('Master Tracker'!$G$6:$G$400,$S43)="","",INDEX('Master Tracker'!$G$6:$G$400,$S43)))</f>
        <v/>
      </c>
      <c r="G43" s="70">
        <f>IF($S43="","",IF(INDEX('Master Tracker'!$H$6:$H$400,$S43)="","",INDEX('Master Tracker'!$H$6:$H$400,$S43)))</f>
        <v/>
      </c>
      <c r="H43" s="70">
        <f>IF($S43="","",IF(INDEX('Master Tracker'!$I$6:$I$400,$S43)="","",INDEX('Master Tracker'!$I$6:$I$400,$S43)))</f>
        <v/>
      </c>
      <c r="I43" s="115">
        <f>IF($S43="","",IF(INDEX('Master Tracker'!$U$6:$U$400,$S43)="","",INDEX('Master Tracker'!$U$6:$U$400,$S43)))</f>
        <v/>
      </c>
      <c r="J43" s="114">
        <f>IF($S43="","",IF(INDEX('Master Tracker'!$K$6:$K$400,$S43)="","",INDEX('Master Tracker'!$K$6:$K$400,$S43)))</f>
        <v/>
      </c>
      <c r="K43" s="114">
        <f>IF($S43="","",IF(INDEX('Master Tracker'!$Y$6:$Y$400,$S43)="","",INDEX('Master Tracker'!$Y$6:$Y$400,$S43)))</f>
        <v/>
      </c>
      <c r="L43" s="114">
        <f>IF($S43="","",IF(INDEX('Master Tracker'!$M$6:$M$400,$S43)="","",INDEX('Master Tracker'!$M$6:$M$400,$S43)))</f>
        <v/>
      </c>
      <c r="M43" s="114">
        <f>IF($S43="","",IF(INDEX('Master Tracker'!$O$6:$O$400,$S43)="","",INDEX('Master Tracker'!$O$6:$O$400,$S43)))</f>
        <v/>
      </c>
      <c r="N43" s="114">
        <f>IF($S43="","",IF(INDEX('Master Tracker'!$N$6:$N$400,$S43)="","",INDEX('Master Tracker'!$N$6:$N$400,$S43)))</f>
        <v/>
      </c>
      <c r="O43" s="53">
        <f>IF($S43="","",IF(INDEX('Master Tracker'!$T$6:$T$400,$S43)="","",INDEX('Master Tracker'!$T$6:$T$400,$S43)))</f>
        <v/>
      </c>
      <c r="P43" s="53">
        <f>IF($S43="","",IF(INDEX('Master Tracker'!$AC$6:$AC$400,$S43)="","",INDEX('Master Tracker'!$AC$6:$AC$400,$S43)))</f>
        <v/>
      </c>
      <c r="S43">
        <f>IFERROR(MATCH("Phase 3|"&amp;A43,'Master Tracker'!$Z$6:$Z$400,0),"")</f>
        <v/>
      </c>
    </row>
    <row r="44" ht="48" customHeight="1">
      <c r="A44" s="53" t="n">
        <v>5</v>
      </c>
      <c r="B44" s="113">
        <f>IF($S44="","",IF(INDEX('Master Tracker'!$A$6:$A$400,$S44)="","",INDEX('Master Tracker'!$A$6:$A$400,$S44)))</f>
        <v/>
      </c>
      <c r="C44" s="114">
        <f>IF($S44="","",IF(INDEX('Master Tracker'!$C$6:$C$400,$S44)="","",INDEX('Master Tracker'!$C$6:$C$400,$S44)))</f>
        <v/>
      </c>
      <c r="D44" s="114">
        <f>IF($S44="","",IF(INDEX('Master Tracker'!$D$6:$D$400,$S44)="","",INDEX('Master Tracker'!$D$6:$D$400,$S44)))</f>
        <v/>
      </c>
      <c r="E44" s="53">
        <f>IF($S44="","",IF(INDEX('Master Tracker'!$F$6:$F$400,$S44)="","",INDEX('Master Tracker'!$F$6:$F$400,$S44)))</f>
        <v/>
      </c>
      <c r="F44" s="53">
        <f>IF($S44="","",IF(INDEX('Master Tracker'!$G$6:$G$400,$S44)="","",INDEX('Master Tracker'!$G$6:$G$400,$S44)))</f>
        <v/>
      </c>
      <c r="G44" s="70">
        <f>IF($S44="","",IF(INDEX('Master Tracker'!$H$6:$H$400,$S44)="","",INDEX('Master Tracker'!$H$6:$H$400,$S44)))</f>
        <v/>
      </c>
      <c r="H44" s="70">
        <f>IF($S44="","",IF(INDEX('Master Tracker'!$I$6:$I$400,$S44)="","",INDEX('Master Tracker'!$I$6:$I$400,$S44)))</f>
        <v/>
      </c>
      <c r="I44" s="115">
        <f>IF($S44="","",IF(INDEX('Master Tracker'!$U$6:$U$400,$S44)="","",INDEX('Master Tracker'!$U$6:$U$400,$S44)))</f>
        <v/>
      </c>
      <c r="J44" s="114">
        <f>IF($S44="","",IF(INDEX('Master Tracker'!$K$6:$K$400,$S44)="","",INDEX('Master Tracker'!$K$6:$K$400,$S44)))</f>
        <v/>
      </c>
      <c r="K44" s="114">
        <f>IF($S44="","",IF(INDEX('Master Tracker'!$Y$6:$Y$400,$S44)="","",INDEX('Master Tracker'!$Y$6:$Y$400,$S44)))</f>
        <v/>
      </c>
      <c r="L44" s="114">
        <f>IF($S44="","",IF(INDEX('Master Tracker'!$M$6:$M$400,$S44)="","",INDEX('Master Tracker'!$M$6:$M$400,$S44)))</f>
        <v/>
      </c>
      <c r="M44" s="114">
        <f>IF($S44="","",IF(INDEX('Master Tracker'!$O$6:$O$400,$S44)="","",INDEX('Master Tracker'!$O$6:$O$400,$S44)))</f>
        <v/>
      </c>
      <c r="N44" s="114">
        <f>IF($S44="","",IF(INDEX('Master Tracker'!$N$6:$N$400,$S44)="","",INDEX('Master Tracker'!$N$6:$N$400,$S44)))</f>
        <v/>
      </c>
      <c r="O44" s="53">
        <f>IF($S44="","",IF(INDEX('Master Tracker'!$T$6:$T$400,$S44)="","",INDEX('Master Tracker'!$T$6:$T$400,$S44)))</f>
        <v/>
      </c>
      <c r="P44" s="53">
        <f>IF($S44="","",IF(INDEX('Master Tracker'!$AC$6:$AC$400,$S44)="","",INDEX('Master Tracker'!$AC$6:$AC$400,$S44)))</f>
        <v/>
      </c>
      <c r="S44">
        <f>IFERROR(MATCH("Phase 3|"&amp;A44,'Master Tracker'!$Z$6:$Z$400,0),"")</f>
        <v/>
      </c>
    </row>
    <row r="45" ht="48" customHeight="1">
      <c r="A45" s="53" t="n">
        <v>6</v>
      </c>
      <c r="B45" s="113">
        <f>IF($S45="","",IF(INDEX('Master Tracker'!$A$6:$A$400,$S45)="","",INDEX('Master Tracker'!$A$6:$A$400,$S45)))</f>
        <v/>
      </c>
      <c r="C45" s="114">
        <f>IF($S45="","",IF(INDEX('Master Tracker'!$C$6:$C$400,$S45)="","",INDEX('Master Tracker'!$C$6:$C$400,$S45)))</f>
        <v/>
      </c>
      <c r="D45" s="114">
        <f>IF($S45="","",IF(INDEX('Master Tracker'!$D$6:$D$400,$S45)="","",INDEX('Master Tracker'!$D$6:$D$400,$S45)))</f>
        <v/>
      </c>
      <c r="E45" s="53">
        <f>IF($S45="","",IF(INDEX('Master Tracker'!$F$6:$F$400,$S45)="","",INDEX('Master Tracker'!$F$6:$F$400,$S45)))</f>
        <v/>
      </c>
      <c r="F45" s="53">
        <f>IF($S45="","",IF(INDEX('Master Tracker'!$G$6:$G$400,$S45)="","",INDEX('Master Tracker'!$G$6:$G$400,$S45)))</f>
        <v/>
      </c>
      <c r="G45" s="70">
        <f>IF($S45="","",IF(INDEX('Master Tracker'!$H$6:$H$400,$S45)="","",INDEX('Master Tracker'!$H$6:$H$400,$S45)))</f>
        <v/>
      </c>
      <c r="H45" s="70">
        <f>IF($S45="","",IF(INDEX('Master Tracker'!$I$6:$I$400,$S45)="","",INDEX('Master Tracker'!$I$6:$I$400,$S45)))</f>
        <v/>
      </c>
      <c r="I45" s="115">
        <f>IF($S45="","",IF(INDEX('Master Tracker'!$U$6:$U$400,$S45)="","",INDEX('Master Tracker'!$U$6:$U$400,$S45)))</f>
        <v/>
      </c>
      <c r="J45" s="114">
        <f>IF($S45="","",IF(INDEX('Master Tracker'!$K$6:$K$400,$S45)="","",INDEX('Master Tracker'!$K$6:$K$400,$S45)))</f>
        <v/>
      </c>
      <c r="K45" s="114">
        <f>IF($S45="","",IF(INDEX('Master Tracker'!$Y$6:$Y$400,$S45)="","",INDEX('Master Tracker'!$Y$6:$Y$400,$S45)))</f>
        <v/>
      </c>
      <c r="L45" s="114">
        <f>IF($S45="","",IF(INDEX('Master Tracker'!$M$6:$M$400,$S45)="","",INDEX('Master Tracker'!$M$6:$M$400,$S45)))</f>
        <v/>
      </c>
      <c r="M45" s="114">
        <f>IF($S45="","",IF(INDEX('Master Tracker'!$O$6:$O$400,$S45)="","",INDEX('Master Tracker'!$O$6:$O$400,$S45)))</f>
        <v/>
      </c>
      <c r="N45" s="114">
        <f>IF($S45="","",IF(INDEX('Master Tracker'!$N$6:$N$400,$S45)="","",INDEX('Master Tracker'!$N$6:$N$400,$S45)))</f>
        <v/>
      </c>
      <c r="O45" s="53">
        <f>IF($S45="","",IF(INDEX('Master Tracker'!$T$6:$T$400,$S45)="","",INDEX('Master Tracker'!$T$6:$T$400,$S45)))</f>
        <v/>
      </c>
      <c r="P45" s="53">
        <f>IF($S45="","",IF(INDEX('Master Tracker'!$AC$6:$AC$400,$S45)="","",INDEX('Master Tracker'!$AC$6:$AC$400,$S45)))</f>
        <v/>
      </c>
      <c r="S45">
        <f>IFERROR(MATCH("Phase 3|"&amp;A45,'Master Tracker'!$Z$6:$Z$400,0),"")</f>
        <v/>
      </c>
    </row>
    <row r="46" ht="48" customHeight="1">
      <c r="A46" s="53" t="n">
        <v>7</v>
      </c>
      <c r="B46" s="113">
        <f>IF($S46="","",IF(INDEX('Master Tracker'!$A$6:$A$400,$S46)="","",INDEX('Master Tracker'!$A$6:$A$400,$S46)))</f>
        <v/>
      </c>
      <c r="C46" s="114">
        <f>IF($S46="","",IF(INDEX('Master Tracker'!$C$6:$C$400,$S46)="","",INDEX('Master Tracker'!$C$6:$C$400,$S46)))</f>
        <v/>
      </c>
      <c r="D46" s="114">
        <f>IF($S46="","",IF(INDEX('Master Tracker'!$D$6:$D$400,$S46)="","",INDEX('Master Tracker'!$D$6:$D$400,$S46)))</f>
        <v/>
      </c>
      <c r="E46" s="53">
        <f>IF($S46="","",IF(INDEX('Master Tracker'!$F$6:$F$400,$S46)="","",INDEX('Master Tracker'!$F$6:$F$400,$S46)))</f>
        <v/>
      </c>
      <c r="F46" s="53">
        <f>IF($S46="","",IF(INDEX('Master Tracker'!$G$6:$G$400,$S46)="","",INDEX('Master Tracker'!$G$6:$G$400,$S46)))</f>
        <v/>
      </c>
      <c r="G46" s="70">
        <f>IF($S46="","",IF(INDEX('Master Tracker'!$H$6:$H$400,$S46)="","",INDEX('Master Tracker'!$H$6:$H$400,$S46)))</f>
        <v/>
      </c>
      <c r="H46" s="70">
        <f>IF($S46="","",IF(INDEX('Master Tracker'!$I$6:$I$400,$S46)="","",INDEX('Master Tracker'!$I$6:$I$400,$S46)))</f>
        <v/>
      </c>
      <c r="I46" s="115">
        <f>IF($S46="","",IF(INDEX('Master Tracker'!$U$6:$U$400,$S46)="","",INDEX('Master Tracker'!$U$6:$U$400,$S46)))</f>
        <v/>
      </c>
      <c r="J46" s="114">
        <f>IF($S46="","",IF(INDEX('Master Tracker'!$K$6:$K$400,$S46)="","",INDEX('Master Tracker'!$K$6:$K$400,$S46)))</f>
        <v/>
      </c>
      <c r="K46" s="114">
        <f>IF($S46="","",IF(INDEX('Master Tracker'!$Y$6:$Y$400,$S46)="","",INDEX('Master Tracker'!$Y$6:$Y$400,$S46)))</f>
        <v/>
      </c>
      <c r="L46" s="114">
        <f>IF($S46="","",IF(INDEX('Master Tracker'!$M$6:$M$400,$S46)="","",INDEX('Master Tracker'!$M$6:$M$400,$S46)))</f>
        <v/>
      </c>
      <c r="M46" s="114">
        <f>IF($S46="","",IF(INDEX('Master Tracker'!$O$6:$O$400,$S46)="","",INDEX('Master Tracker'!$O$6:$O$400,$S46)))</f>
        <v/>
      </c>
      <c r="N46" s="114">
        <f>IF($S46="","",IF(INDEX('Master Tracker'!$N$6:$N$400,$S46)="","",INDEX('Master Tracker'!$N$6:$N$400,$S46)))</f>
        <v/>
      </c>
      <c r="O46" s="53">
        <f>IF($S46="","",IF(INDEX('Master Tracker'!$T$6:$T$400,$S46)="","",INDEX('Master Tracker'!$T$6:$T$400,$S46)))</f>
        <v/>
      </c>
      <c r="P46" s="53">
        <f>IF($S46="","",IF(INDEX('Master Tracker'!$AC$6:$AC$400,$S46)="","",INDEX('Master Tracker'!$AC$6:$AC$400,$S46)))</f>
        <v/>
      </c>
      <c r="S46">
        <f>IFERROR(MATCH("Phase 3|"&amp;A46,'Master Tracker'!$Z$6:$Z$400,0),"")</f>
        <v/>
      </c>
    </row>
    <row r="47" ht="48" customHeight="1">
      <c r="A47" s="53" t="n">
        <v>8</v>
      </c>
      <c r="B47" s="113">
        <f>IF($S47="","",IF(INDEX('Master Tracker'!$A$6:$A$400,$S47)="","",INDEX('Master Tracker'!$A$6:$A$400,$S47)))</f>
        <v/>
      </c>
      <c r="C47" s="114">
        <f>IF($S47="","",IF(INDEX('Master Tracker'!$C$6:$C$400,$S47)="","",INDEX('Master Tracker'!$C$6:$C$400,$S47)))</f>
        <v/>
      </c>
      <c r="D47" s="114">
        <f>IF($S47="","",IF(INDEX('Master Tracker'!$D$6:$D$400,$S47)="","",INDEX('Master Tracker'!$D$6:$D$400,$S47)))</f>
        <v/>
      </c>
      <c r="E47" s="53">
        <f>IF($S47="","",IF(INDEX('Master Tracker'!$F$6:$F$400,$S47)="","",INDEX('Master Tracker'!$F$6:$F$400,$S47)))</f>
        <v/>
      </c>
      <c r="F47" s="53">
        <f>IF($S47="","",IF(INDEX('Master Tracker'!$G$6:$G$400,$S47)="","",INDEX('Master Tracker'!$G$6:$G$400,$S47)))</f>
        <v/>
      </c>
      <c r="G47" s="70">
        <f>IF($S47="","",IF(INDEX('Master Tracker'!$H$6:$H$400,$S47)="","",INDEX('Master Tracker'!$H$6:$H$400,$S47)))</f>
        <v/>
      </c>
      <c r="H47" s="70">
        <f>IF($S47="","",IF(INDEX('Master Tracker'!$I$6:$I$400,$S47)="","",INDEX('Master Tracker'!$I$6:$I$400,$S47)))</f>
        <v/>
      </c>
      <c r="I47" s="115">
        <f>IF($S47="","",IF(INDEX('Master Tracker'!$U$6:$U$400,$S47)="","",INDEX('Master Tracker'!$U$6:$U$400,$S47)))</f>
        <v/>
      </c>
      <c r="J47" s="114">
        <f>IF($S47="","",IF(INDEX('Master Tracker'!$K$6:$K$400,$S47)="","",INDEX('Master Tracker'!$K$6:$K$400,$S47)))</f>
        <v/>
      </c>
      <c r="K47" s="114">
        <f>IF($S47="","",IF(INDEX('Master Tracker'!$Y$6:$Y$400,$S47)="","",INDEX('Master Tracker'!$Y$6:$Y$400,$S47)))</f>
        <v/>
      </c>
      <c r="L47" s="114">
        <f>IF($S47="","",IF(INDEX('Master Tracker'!$M$6:$M$400,$S47)="","",INDEX('Master Tracker'!$M$6:$M$400,$S47)))</f>
        <v/>
      </c>
      <c r="M47" s="114">
        <f>IF($S47="","",IF(INDEX('Master Tracker'!$O$6:$O$400,$S47)="","",INDEX('Master Tracker'!$O$6:$O$400,$S47)))</f>
        <v/>
      </c>
      <c r="N47" s="114">
        <f>IF($S47="","",IF(INDEX('Master Tracker'!$N$6:$N$400,$S47)="","",INDEX('Master Tracker'!$N$6:$N$400,$S47)))</f>
        <v/>
      </c>
      <c r="O47" s="53">
        <f>IF($S47="","",IF(INDEX('Master Tracker'!$T$6:$T$400,$S47)="","",INDEX('Master Tracker'!$T$6:$T$400,$S47)))</f>
        <v/>
      </c>
      <c r="P47" s="53">
        <f>IF($S47="","",IF(INDEX('Master Tracker'!$AC$6:$AC$400,$S47)="","",INDEX('Master Tracker'!$AC$6:$AC$400,$S47)))</f>
        <v/>
      </c>
      <c r="S47">
        <f>IFERROR(MATCH("Phase 3|"&amp;A47,'Master Tracker'!$Z$6:$Z$400,0),"")</f>
        <v/>
      </c>
    </row>
    <row r="48" ht="48" customHeight="1">
      <c r="A48" s="53" t="n">
        <v>9</v>
      </c>
      <c r="B48" s="113">
        <f>IF($S48="","",IF(INDEX('Master Tracker'!$A$6:$A$400,$S48)="","",INDEX('Master Tracker'!$A$6:$A$400,$S48)))</f>
        <v/>
      </c>
      <c r="C48" s="114">
        <f>IF($S48="","",IF(INDEX('Master Tracker'!$C$6:$C$400,$S48)="","",INDEX('Master Tracker'!$C$6:$C$400,$S48)))</f>
        <v/>
      </c>
      <c r="D48" s="114">
        <f>IF($S48="","",IF(INDEX('Master Tracker'!$D$6:$D$400,$S48)="","",INDEX('Master Tracker'!$D$6:$D$400,$S48)))</f>
        <v/>
      </c>
      <c r="E48" s="53">
        <f>IF($S48="","",IF(INDEX('Master Tracker'!$F$6:$F$400,$S48)="","",INDEX('Master Tracker'!$F$6:$F$400,$S48)))</f>
        <v/>
      </c>
      <c r="F48" s="53">
        <f>IF($S48="","",IF(INDEX('Master Tracker'!$G$6:$G$400,$S48)="","",INDEX('Master Tracker'!$G$6:$G$400,$S48)))</f>
        <v/>
      </c>
      <c r="G48" s="70">
        <f>IF($S48="","",IF(INDEX('Master Tracker'!$H$6:$H$400,$S48)="","",INDEX('Master Tracker'!$H$6:$H$400,$S48)))</f>
        <v/>
      </c>
      <c r="H48" s="70">
        <f>IF($S48="","",IF(INDEX('Master Tracker'!$I$6:$I$400,$S48)="","",INDEX('Master Tracker'!$I$6:$I$400,$S48)))</f>
        <v/>
      </c>
      <c r="I48" s="115">
        <f>IF($S48="","",IF(INDEX('Master Tracker'!$U$6:$U$400,$S48)="","",INDEX('Master Tracker'!$U$6:$U$400,$S48)))</f>
        <v/>
      </c>
      <c r="J48" s="114">
        <f>IF($S48="","",IF(INDEX('Master Tracker'!$K$6:$K$400,$S48)="","",INDEX('Master Tracker'!$K$6:$K$400,$S48)))</f>
        <v/>
      </c>
      <c r="K48" s="114">
        <f>IF($S48="","",IF(INDEX('Master Tracker'!$Y$6:$Y$400,$S48)="","",INDEX('Master Tracker'!$Y$6:$Y$400,$S48)))</f>
        <v/>
      </c>
      <c r="L48" s="114">
        <f>IF($S48="","",IF(INDEX('Master Tracker'!$M$6:$M$400,$S48)="","",INDEX('Master Tracker'!$M$6:$M$400,$S48)))</f>
        <v/>
      </c>
      <c r="M48" s="114">
        <f>IF($S48="","",IF(INDEX('Master Tracker'!$O$6:$O$400,$S48)="","",INDEX('Master Tracker'!$O$6:$O$400,$S48)))</f>
        <v/>
      </c>
      <c r="N48" s="114">
        <f>IF($S48="","",IF(INDEX('Master Tracker'!$N$6:$N$400,$S48)="","",INDEX('Master Tracker'!$N$6:$N$400,$S48)))</f>
        <v/>
      </c>
      <c r="O48" s="53">
        <f>IF($S48="","",IF(INDEX('Master Tracker'!$T$6:$T$400,$S48)="","",INDEX('Master Tracker'!$T$6:$T$400,$S48)))</f>
        <v/>
      </c>
      <c r="P48" s="53">
        <f>IF($S48="","",IF(INDEX('Master Tracker'!$AC$6:$AC$400,$S48)="","",INDEX('Master Tracker'!$AC$6:$AC$400,$S48)))</f>
        <v/>
      </c>
      <c r="S48">
        <f>IFERROR(MATCH("Phase 3|"&amp;A48,'Master Tracker'!$Z$6:$Z$400,0),"")</f>
        <v/>
      </c>
    </row>
    <row r="49" ht="48" customHeight="1">
      <c r="A49" s="53" t="n">
        <v>10</v>
      </c>
      <c r="B49" s="113">
        <f>IF($S49="","",IF(INDEX('Master Tracker'!$A$6:$A$400,$S49)="","",INDEX('Master Tracker'!$A$6:$A$400,$S49)))</f>
        <v/>
      </c>
      <c r="C49" s="114">
        <f>IF($S49="","",IF(INDEX('Master Tracker'!$C$6:$C$400,$S49)="","",INDEX('Master Tracker'!$C$6:$C$400,$S49)))</f>
        <v/>
      </c>
      <c r="D49" s="114">
        <f>IF($S49="","",IF(INDEX('Master Tracker'!$D$6:$D$400,$S49)="","",INDEX('Master Tracker'!$D$6:$D$400,$S49)))</f>
        <v/>
      </c>
      <c r="E49" s="53">
        <f>IF($S49="","",IF(INDEX('Master Tracker'!$F$6:$F$400,$S49)="","",INDEX('Master Tracker'!$F$6:$F$400,$S49)))</f>
        <v/>
      </c>
      <c r="F49" s="53">
        <f>IF($S49="","",IF(INDEX('Master Tracker'!$G$6:$G$400,$S49)="","",INDEX('Master Tracker'!$G$6:$G$400,$S49)))</f>
        <v/>
      </c>
      <c r="G49" s="70">
        <f>IF($S49="","",IF(INDEX('Master Tracker'!$H$6:$H$400,$S49)="","",INDEX('Master Tracker'!$H$6:$H$400,$S49)))</f>
        <v/>
      </c>
      <c r="H49" s="70">
        <f>IF($S49="","",IF(INDEX('Master Tracker'!$I$6:$I$400,$S49)="","",INDEX('Master Tracker'!$I$6:$I$400,$S49)))</f>
        <v/>
      </c>
      <c r="I49" s="115">
        <f>IF($S49="","",IF(INDEX('Master Tracker'!$U$6:$U$400,$S49)="","",INDEX('Master Tracker'!$U$6:$U$400,$S49)))</f>
        <v/>
      </c>
      <c r="J49" s="114">
        <f>IF($S49="","",IF(INDEX('Master Tracker'!$K$6:$K$400,$S49)="","",INDEX('Master Tracker'!$K$6:$K$400,$S49)))</f>
        <v/>
      </c>
      <c r="K49" s="114">
        <f>IF($S49="","",IF(INDEX('Master Tracker'!$Y$6:$Y$400,$S49)="","",INDEX('Master Tracker'!$Y$6:$Y$400,$S49)))</f>
        <v/>
      </c>
      <c r="L49" s="114">
        <f>IF($S49="","",IF(INDEX('Master Tracker'!$M$6:$M$400,$S49)="","",INDEX('Master Tracker'!$M$6:$M$400,$S49)))</f>
        <v/>
      </c>
      <c r="M49" s="114">
        <f>IF($S49="","",IF(INDEX('Master Tracker'!$O$6:$O$400,$S49)="","",INDEX('Master Tracker'!$O$6:$O$400,$S49)))</f>
        <v/>
      </c>
      <c r="N49" s="114">
        <f>IF($S49="","",IF(INDEX('Master Tracker'!$N$6:$N$400,$S49)="","",INDEX('Master Tracker'!$N$6:$N$400,$S49)))</f>
        <v/>
      </c>
      <c r="O49" s="53">
        <f>IF($S49="","",IF(INDEX('Master Tracker'!$T$6:$T$400,$S49)="","",INDEX('Master Tracker'!$T$6:$T$400,$S49)))</f>
        <v/>
      </c>
      <c r="P49" s="53">
        <f>IF($S49="","",IF(INDEX('Master Tracker'!$AC$6:$AC$400,$S49)="","",INDEX('Master Tracker'!$AC$6:$AC$400,$S49)))</f>
        <v/>
      </c>
      <c r="S49">
        <f>IFERROR(MATCH("Phase 3|"&amp;A49,'Master Tracker'!$Z$6:$Z$400,0),"")</f>
        <v/>
      </c>
    </row>
    <row r="50" ht="48" customHeight="1">
      <c r="A50" s="53" t="n">
        <v>11</v>
      </c>
      <c r="B50" s="113">
        <f>IF($S50="","",IF(INDEX('Master Tracker'!$A$6:$A$400,$S50)="","",INDEX('Master Tracker'!$A$6:$A$400,$S50)))</f>
        <v/>
      </c>
      <c r="C50" s="114">
        <f>IF($S50="","",IF(INDEX('Master Tracker'!$C$6:$C$400,$S50)="","",INDEX('Master Tracker'!$C$6:$C$400,$S50)))</f>
        <v/>
      </c>
      <c r="D50" s="114">
        <f>IF($S50="","",IF(INDEX('Master Tracker'!$D$6:$D$400,$S50)="","",INDEX('Master Tracker'!$D$6:$D$400,$S50)))</f>
        <v/>
      </c>
      <c r="E50" s="53">
        <f>IF($S50="","",IF(INDEX('Master Tracker'!$F$6:$F$400,$S50)="","",INDEX('Master Tracker'!$F$6:$F$400,$S50)))</f>
        <v/>
      </c>
      <c r="F50" s="53">
        <f>IF($S50="","",IF(INDEX('Master Tracker'!$G$6:$G$400,$S50)="","",INDEX('Master Tracker'!$G$6:$G$400,$S50)))</f>
        <v/>
      </c>
      <c r="G50" s="70">
        <f>IF($S50="","",IF(INDEX('Master Tracker'!$H$6:$H$400,$S50)="","",INDEX('Master Tracker'!$H$6:$H$400,$S50)))</f>
        <v/>
      </c>
      <c r="H50" s="70">
        <f>IF($S50="","",IF(INDEX('Master Tracker'!$I$6:$I$400,$S50)="","",INDEX('Master Tracker'!$I$6:$I$400,$S50)))</f>
        <v/>
      </c>
      <c r="I50" s="115">
        <f>IF($S50="","",IF(INDEX('Master Tracker'!$U$6:$U$400,$S50)="","",INDEX('Master Tracker'!$U$6:$U$400,$S50)))</f>
        <v/>
      </c>
      <c r="J50" s="114">
        <f>IF($S50="","",IF(INDEX('Master Tracker'!$K$6:$K$400,$S50)="","",INDEX('Master Tracker'!$K$6:$K$400,$S50)))</f>
        <v/>
      </c>
      <c r="K50" s="114">
        <f>IF($S50="","",IF(INDEX('Master Tracker'!$Y$6:$Y$400,$S50)="","",INDEX('Master Tracker'!$Y$6:$Y$400,$S50)))</f>
        <v/>
      </c>
      <c r="L50" s="114">
        <f>IF($S50="","",IF(INDEX('Master Tracker'!$M$6:$M$400,$S50)="","",INDEX('Master Tracker'!$M$6:$M$400,$S50)))</f>
        <v/>
      </c>
      <c r="M50" s="114">
        <f>IF($S50="","",IF(INDEX('Master Tracker'!$O$6:$O$400,$S50)="","",INDEX('Master Tracker'!$O$6:$O$400,$S50)))</f>
        <v/>
      </c>
      <c r="N50" s="114">
        <f>IF($S50="","",IF(INDEX('Master Tracker'!$N$6:$N$400,$S50)="","",INDEX('Master Tracker'!$N$6:$N$400,$S50)))</f>
        <v/>
      </c>
      <c r="O50" s="53">
        <f>IF($S50="","",IF(INDEX('Master Tracker'!$T$6:$T$400,$S50)="","",INDEX('Master Tracker'!$T$6:$T$400,$S50)))</f>
        <v/>
      </c>
      <c r="P50" s="53">
        <f>IF($S50="","",IF(INDEX('Master Tracker'!$AC$6:$AC$400,$S50)="","",INDEX('Master Tracker'!$AC$6:$AC$400,$S50)))</f>
        <v/>
      </c>
      <c r="S50">
        <f>IFERROR(MATCH("Phase 3|"&amp;A50,'Master Tracker'!$Z$6:$Z$400,0),"")</f>
        <v/>
      </c>
    </row>
    <row r="51" ht="48" customHeight="1">
      <c r="A51" s="53" t="n">
        <v>12</v>
      </c>
      <c r="B51" s="113">
        <f>IF($S51="","",IF(INDEX('Master Tracker'!$A$6:$A$400,$S51)="","",INDEX('Master Tracker'!$A$6:$A$400,$S51)))</f>
        <v/>
      </c>
      <c r="C51" s="114">
        <f>IF($S51="","",IF(INDEX('Master Tracker'!$C$6:$C$400,$S51)="","",INDEX('Master Tracker'!$C$6:$C$400,$S51)))</f>
        <v/>
      </c>
      <c r="D51" s="114">
        <f>IF($S51="","",IF(INDEX('Master Tracker'!$D$6:$D$400,$S51)="","",INDEX('Master Tracker'!$D$6:$D$400,$S51)))</f>
        <v/>
      </c>
      <c r="E51" s="53">
        <f>IF($S51="","",IF(INDEX('Master Tracker'!$F$6:$F$400,$S51)="","",INDEX('Master Tracker'!$F$6:$F$400,$S51)))</f>
        <v/>
      </c>
      <c r="F51" s="53">
        <f>IF($S51="","",IF(INDEX('Master Tracker'!$G$6:$G$400,$S51)="","",INDEX('Master Tracker'!$G$6:$G$400,$S51)))</f>
        <v/>
      </c>
      <c r="G51" s="70">
        <f>IF($S51="","",IF(INDEX('Master Tracker'!$H$6:$H$400,$S51)="","",INDEX('Master Tracker'!$H$6:$H$400,$S51)))</f>
        <v/>
      </c>
      <c r="H51" s="70">
        <f>IF($S51="","",IF(INDEX('Master Tracker'!$I$6:$I$400,$S51)="","",INDEX('Master Tracker'!$I$6:$I$400,$S51)))</f>
        <v/>
      </c>
      <c r="I51" s="115">
        <f>IF($S51="","",IF(INDEX('Master Tracker'!$U$6:$U$400,$S51)="","",INDEX('Master Tracker'!$U$6:$U$400,$S51)))</f>
        <v/>
      </c>
      <c r="J51" s="114">
        <f>IF($S51="","",IF(INDEX('Master Tracker'!$K$6:$K$400,$S51)="","",INDEX('Master Tracker'!$K$6:$K$400,$S51)))</f>
        <v/>
      </c>
      <c r="K51" s="114">
        <f>IF($S51="","",IF(INDEX('Master Tracker'!$Y$6:$Y$400,$S51)="","",INDEX('Master Tracker'!$Y$6:$Y$400,$S51)))</f>
        <v/>
      </c>
      <c r="L51" s="114">
        <f>IF($S51="","",IF(INDEX('Master Tracker'!$M$6:$M$400,$S51)="","",INDEX('Master Tracker'!$M$6:$M$400,$S51)))</f>
        <v/>
      </c>
      <c r="M51" s="114">
        <f>IF($S51="","",IF(INDEX('Master Tracker'!$O$6:$O$400,$S51)="","",INDEX('Master Tracker'!$O$6:$O$400,$S51)))</f>
        <v/>
      </c>
      <c r="N51" s="114">
        <f>IF($S51="","",IF(INDEX('Master Tracker'!$N$6:$N$400,$S51)="","",INDEX('Master Tracker'!$N$6:$N$400,$S51)))</f>
        <v/>
      </c>
      <c r="O51" s="53">
        <f>IF($S51="","",IF(INDEX('Master Tracker'!$T$6:$T$400,$S51)="","",INDEX('Master Tracker'!$T$6:$T$400,$S51)))</f>
        <v/>
      </c>
      <c r="P51" s="53">
        <f>IF($S51="","",IF(INDEX('Master Tracker'!$AC$6:$AC$400,$S51)="","",INDEX('Master Tracker'!$AC$6:$AC$400,$S51)))</f>
        <v/>
      </c>
      <c r="S51">
        <f>IFERROR(MATCH("Phase 3|"&amp;A51,'Master Tracker'!$Z$6:$Z$400,0),"")</f>
        <v/>
      </c>
    </row>
    <row r="52" ht="48" customHeight="1">
      <c r="A52" s="53" t="n">
        <v>13</v>
      </c>
      <c r="B52" s="113">
        <f>IF($S52="","",IF(INDEX('Master Tracker'!$A$6:$A$400,$S52)="","",INDEX('Master Tracker'!$A$6:$A$400,$S52)))</f>
        <v/>
      </c>
      <c r="C52" s="114">
        <f>IF($S52="","",IF(INDEX('Master Tracker'!$C$6:$C$400,$S52)="","",INDEX('Master Tracker'!$C$6:$C$400,$S52)))</f>
        <v/>
      </c>
      <c r="D52" s="114">
        <f>IF($S52="","",IF(INDEX('Master Tracker'!$D$6:$D$400,$S52)="","",INDEX('Master Tracker'!$D$6:$D$400,$S52)))</f>
        <v/>
      </c>
      <c r="E52" s="53">
        <f>IF($S52="","",IF(INDEX('Master Tracker'!$F$6:$F$400,$S52)="","",INDEX('Master Tracker'!$F$6:$F$400,$S52)))</f>
        <v/>
      </c>
      <c r="F52" s="53">
        <f>IF($S52="","",IF(INDEX('Master Tracker'!$G$6:$G$400,$S52)="","",INDEX('Master Tracker'!$G$6:$G$400,$S52)))</f>
        <v/>
      </c>
      <c r="G52" s="70">
        <f>IF($S52="","",IF(INDEX('Master Tracker'!$H$6:$H$400,$S52)="","",INDEX('Master Tracker'!$H$6:$H$400,$S52)))</f>
        <v/>
      </c>
      <c r="H52" s="70">
        <f>IF($S52="","",IF(INDEX('Master Tracker'!$I$6:$I$400,$S52)="","",INDEX('Master Tracker'!$I$6:$I$400,$S52)))</f>
        <v/>
      </c>
      <c r="I52" s="115">
        <f>IF($S52="","",IF(INDEX('Master Tracker'!$U$6:$U$400,$S52)="","",INDEX('Master Tracker'!$U$6:$U$400,$S52)))</f>
        <v/>
      </c>
      <c r="J52" s="114">
        <f>IF($S52="","",IF(INDEX('Master Tracker'!$K$6:$K$400,$S52)="","",INDEX('Master Tracker'!$K$6:$K$400,$S52)))</f>
        <v/>
      </c>
      <c r="K52" s="114">
        <f>IF($S52="","",IF(INDEX('Master Tracker'!$Y$6:$Y$400,$S52)="","",INDEX('Master Tracker'!$Y$6:$Y$400,$S52)))</f>
        <v/>
      </c>
      <c r="L52" s="114">
        <f>IF($S52="","",IF(INDEX('Master Tracker'!$M$6:$M$400,$S52)="","",INDEX('Master Tracker'!$M$6:$M$400,$S52)))</f>
        <v/>
      </c>
      <c r="M52" s="114">
        <f>IF($S52="","",IF(INDEX('Master Tracker'!$O$6:$O$400,$S52)="","",INDEX('Master Tracker'!$O$6:$O$400,$S52)))</f>
        <v/>
      </c>
      <c r="N52" s="114">
        <f>IF($S52="","",IF(INDEX('Master Tracker'!$N$6:$N$400,$S52)="","",INDEX('Master Tracker'!$N$6:$N$400,$S52)))</f>
        <v/>
      </c>
      <c r="O52" s="53">
        <f>IF($S52="","",IF(INDEX('Master Tracker'!$T$6:$T$400,$S52)="","",INDEX('Master Tracker'!$T$6:$T$400,$S52)))</f>
        <v/>
      </c>
      <c r="P52" s="53">
        <f>IF($S52="","",IF(INDEX('Master Tracker'!$AC$6:$AC$400,$S52)="","",INDEX('Master Tracker'!$AC$6:$AC$400,$S52)))</f>
        <v/>
      </c>
      <c r="S52">
        <f>IFERROR(MATCH("Phase 3|"&amp;A52,'Master Tracker'!$Z$6:$Z$400,0),"")</f>
        <v/>
      </c>
    </row>
    <row r="53" ht="48" customHeight="1">
      <c r="A53" s="53" t="n">
        <v>14</v>
      </c>
      <c r="B53" s="113">
        <f>IF($S53="","",IF(INDEX('Master Tracker'!$A$6:$A$400,$S53)="","",INDEX('Master Tracker'!$A$6:$A$400,$S53)))</f>
        <v/>
      </c>
      <c r="C53" s="114">
        <f>IF($S53="","",IF(INDEX('Master Tracker'!$C$6:$C$400,$S53)="","",INDEX('Master Tracker'!$C$6:$C$400,$S53)))</f>
        <v/>
      </c>
      <c r="D53" s="114">
        <f>IF($S53="","",IF(INDEX('Master Tracker'!$D$6:$D$400,$S53)="","",INDEX('Master Tracker'!$D$6:$D$400,$S53)))</f>
        <v/>
      </c>
      <c r="E53" s="53">
        <f>IF($S53="","",IF(INDEX('Master Tracker'!$F$6:$F$400,$S53)="","",INDEX('Master Tracker'!$F$6:$F$400,$S53)))</f>
        <v/>
      </c>
      <c r="F53" s="53">
        <f>IF($S53="","",IF(INDEX('Master Tracker'!$G$6:$G$400,$S53)="","",INDEX('Master Tracker'!$G$6:$G$400,$S53)))</f>
        <v/>
      </c>
      <c r="G53" s="70">
        <f>IF($S53="","",IF(INDEX('Master Tracker'!$H$6:$H$400,$S53)="","",INDEX('Master Tracker'!$H$6:$H$400,$S53)))</f>
        <v/>
      </c>
      <c r="H53" s="70">
        <f>IF($S53="","",IF(INDEX('Master Tracker'!$I$6:$I$400,$S53)="","",INDEX('Master Tracker'!$I$6:$I$400,$S53)))</f>
        <v/>
      </c>
      <c r="I53" s="115">
        <f>IF($S53="","",IF(INDEX('Master Tracker'!$U$6:$U$400,$S53)="","",INDEX('Master Tracker'!$U$6:$U$400,$S53)))</f>
        <v/>
      </c>
      <c r="J53" s="114">
        <f>IF($S53="","",IF(INDEX('Master Tracker'!$K$6:$K$400,$S53)="","",INDEX('Master Tracker'!$K$6:$K$400,$S53)))</f>
        <v/>
      </c>
      <c r="K53" s="114">
        <f>IF($S53="","",IF(INDEX('Master Tracker'!$Y$6:$Y$400,$S53)="","",INDEX('Master Tracker'!$Y$6:$Y$400,$S53)))</f>
        <v/>
      </c>
      <c r="L53" s="114">
        <f>IF($S53="","",IF(INDEX('Master Tracker'!$M$6:$M$400,$S53)="","",INDEX('Master Tracker'!$M$6:$M$400,$S53)))</f>
        <v/>
      </c>
      <c r="M53" s="114">
        <f>IF($S53="","",IF(INDEX('Master Tracker'!$O$6:$O$400,$S53)="","",INDEX('Master Tracker'!$O$6:$O$400,$S53)))</f>
        <v/>
      </c>
      <c r="N53" s="114">
        <f>IF($S53="","",IF(INDEX('Master Tracker'!$N$6:$N$400,$S53)="","",INDEX('Master Tracker'!$N$6:$N$400,$S53)))</f>
        <v/>
      </c>
      <c r="O53" s="53">
        <f>IF($S53="","",IF(INDEX('Master Tracker'!$T$6:$T$400,$S53)="","",INDEX('Master Tracker'!$T$6:$T$400,$S53)))</f>
        <v/>
      </c>
      <c r="P53" s="53">
        <f>IF($S53="","",IF(INDEX('Master Tracker'!$AC$6:$AC$400,$S53)="","",INDEX('Master Tracker'!$AC$6:$AC$400,$S53)))</f>
        <v/>
      </c>
      <c r="S53">
        <f>IFERROR(MATCH("Phase 3|"&amp;A53,'Master Tracker'!$Z$6:$Z$400,0),"")</f>
        <v/>
      </c>
    </row>
    <row r="54" ht="48" customHeight="1">
      <c r="A54" s="53" t="n">
        <v>15</v>
      </c>
      <c r="B54" s="113">
        <f>IF($S54="","",IF(INDEX('Master Tracker'!$A$6:$A$400,$S54)="","",INDEX('Master Tracker'!$A$6:$A$400,$S54)))</f>
        <v/>
      </c>
      <c r="C54" s="114">
        <f>IF($S54="","",IF(INDEX('Master Tracker'!$C$6:$C$400,$S54)="","",INDEX('Master Tracker'!$C$6:$C$400,$S54)))</f>
        <v/>
      </c>
      <c r="D54" s="114">
        <f>IF($S54="","",IF(INDEX('Master Tracker'!$D$6:$D$400,$S54)="","",INDEX('Master Tracker'!$D$6:$D$400,$S54)))</f>
        <v/>
      </c>
      <c r="E54" s="53">
        <f>IF($S54="","",IF(INDEX('Master Tracker'!$F$6:$F$400,$S54)="","",INDEX('Master Tracker'!$F$6:$F$400,$S54)))</f>
        <v/>
      </c>
      <c r="F54" s="53">
        <f>IF($S54="","",IF(INDEX('Master Tracker'!$G$6:$G$400,$S54)="","",INDEX('Master Tracker'!$G$6:$G$400,$S54)))</f>
        <v/>
      </c>
      <c r="G54" s="70">
        <f>IF($S54="","",IF(INDEX('Master Tracker'!$H$6:$H$400,$S54)="","",INDEX('Master Tracker'!$H$6:$H$400,$S54)))</f>
        <v/>
      </c>
      <c r="H54" s="70">
        <f>IF($S54="","",IF(INDEX('Master Tracker'!$I$6:$I$400,$S54)="","",INDEX('Master Tracker'!$I$6:$I$400,$S54)))</f>
        <v/>
      </c>
      <c r="I54" s="115">
        <f>IF($S54="","",IF(INDEX('Master Tracker'!$U$6:$U$400,$S54)="","",INDEX('Master Tracker'!$U$6:$U$400,$S54)))</f>
        <v/>
      </c>
      <c r="J54" s="114">
        <f>IF($S54="","",IF(INDEX('Master Tracker'!$K$6:$K$400,$S54)="","",INDEX('Master Tracker'!$K$6:$K$400,$S54)))</f>
        <v/>
      </c>
      <c r="K54" s="114">
        <f>IF($S54="","",IF(INDEX('Master Tracker'!$Y$6:$Y$400,$S54)="","",INDEX('Master Tracker'!$Y$6:$Y$400,$S54)))</f>
        <v/>
      </c>
      <c r="L54" s="114">
        <f>IF($S54="","",IF(INDEX('Master Tracker'!$M$6:$M$400,$S54)="","",INDEX('Master Tracker'!$M$6:$M$400,$S54)))</f>
        <v/>
      </c>
      <c r="M54" s="114">
        <f>IF($S54="","",IF(INDEX('Master Tracker'!$O$6:$O$400,$S54)="","",INDEX('Master Tracker'!$O$6:$O$400,$S54)))</f>
        <v/>
      </c>
      <c r="N54" s="114">
        <f>IF($S54="","",IF(INDEX('Master Tracker'!$N$6:$N$400,$S54)="","",INDEX('Master Tracker'!$N$6:$N$400,$S54)))</f>
        <v/>
      </c>
      <c r="O54" s="53">
        <f>IF($S54="","",IF(INDEX('Master Tracker'!$T$6:$T$400,$S54)="","",INDEX('Master Tracker'!$T$6:$T$400,$S54)))</f>
        <v/>
      </c>
      <c r="P54" s="53">
        <f>IF($S54="","",IF(INDEX('Master Tracker'!$AC$6:$AC$400,$S54)="","",INDEX('Master Tracker'!$AC$6:$AC$400,$S54)))</f>
        <v/>
      </c>
      <c r="S54">
        <f>IFERROR(MATCH("Phase 3|"&amp;A54,'Master Tracker'!$Z$6:$Z$400,0),"")</f>
        <v/>
      </c>
    </row>
    <row r="55" ht="48" customHeight="1">
      <c r="A55" s="53" t="n">
        <v>16</v>
      </c>
      <c r="B55" s="113">
        <f>IF($S55="","",IF(INDEX('Master Tracker'!$A$6:$A$400,$S55)="","",INDEX('Master Tracker'!$A$6:$A$400,$S55)))</f>
        <v/>
      </c>
      <c r="C55" s="114">
        <f>IF($S55="","",IF(INDEX('Master Tracker'!$C$6:$C$400,$S55)="","",INDEX('Master Tracker'!$C$6:$C$400,$S55)))</f>
        <v/>
      </c>
      <c r="D55" s="114">
        <f>IF($S55="","",IF(INDEX('Master Tracker'!$D$6:$D$400,$S55)="","",INDEX('Master Tracker'!$D$6:$D$400,$S55)))</f>
        <v/>
      </c>
      <c r="E55" s="53">
        <f>IF($S55="","",IF(INDEX('Master Tracker'!$F$6:$F$400,$S55)="","",INDEX('Master Tracker'!$F$6:$F$400,$S55)))</f>
        <v/>
      </c>
      <c r="F55" s="53">
        <f>IF($S55="","",IF(INDEX('Master Tracker'!$G$6:$G$400,$S55)="","",INDEX('Master Tracker'!$G$6:$G$400,$S55)))</f>
        <v/>
      </c>
      <c r="G55" s="70">
        <f>IF($S55="","",IF(INDEX('Master Tracker'!$H$6:$H$400,$S55)="","",INDEX('Master Tracker'!$H$6:$H$400,$S55)))</f>
        <v/>
      </c>
      <c r="H55" s="70">
        <f>IF($S55="","",IF(INDEX('Master Tracker'!$I$6:$I$400,$S55)="","",INDEX('Master Tracker'!$I$6:$I$400,$S55)))</f>
        <v/>
      </c>
      <c r="I55" s="115">
        <f>IF($S55="","",IF(INDEX('Master Tracker'!$U$6:$U$400,$S55)="","",INDEX('Master Tracker'!$U$6:$U$400,$S55)))</f>
        <v/>
      </c>
      <c r="J55" s="114">
        <f>IF($S55="","",IF(INDEX('Master Tracker'!$K$6:$K$400,$S55)="","",INDEX('Master Tracker'!$K$6:$K$400,$S55)))</f>
        <v/>
      </c>
      <c r="K55" s="114">
        <f>IF($S55="","",IF(INDEX('Master Tracker'!$Y$6:$Y$400,$S55)="","",INDEX('Master Tracker'!$Y$6:$Y$400,$S55)))</f>
        <v/>
      </c>
      <c r="L55" s="114">
        <f>IF($S55="","",IF(INDEX('Master Tracker'!$M$6:$M$400,$S55)="","",INDEX('Master Tracker'!$M$6:$M$400,$S55)))</f>
        <v/>
      </c>
      <c r="M55" s="114">
        <f>IF($S55="","",IF(INDEX('Master Tracker'!$O$6:$O$400,$S55)="","",INDEX('Master Tracker'!$O$6:$O$400,$S55)))</f>
        <v/>
      </c>
      <c r="N55" s="114">
        <f>IF($S55="","",IF(INDEX('Master Tracker'!$N$6:$N$400,$S55)="","",INDEX('Master Tracker'!$N$6:$N$400,$S55)))</f>
        <v/>
      </c>
      <c r="O55" s="53">
        <f>IF($S55="","",IF(INDEX('Master Tracker'!$T$6:$T$400,$S55)="","",INDEX('Master Tracker'!$T$6:$T$400,$S55)))</f>
        <v/>
      </c>
      <c r="P55" s="53">
        <f>IF($S55="","",IF(INDEX('Master Tracker'!$AC$6:$AC$400,$S55)="","",INDEX('Master Tracker'!$AC$6:$AC$400,$S55)))</f>
        <v/>
      </c>
      <c r="S55">
        <f>IFERROR(MATCH("Phase 3|"&amp;A55,'Master Tracker'!$Z$6:$Z$400,0),"")</f>
        <v/>
      </c>
    </row>
    <row r="56" ht="15" customHeight="1">
      <c r="A56" s="53" t="n">
        <v>17</v>
      </c>
      <c r="B56" s="113">
        <f>IF($S56="","",IF(INDEX('Master Tracker'!$A$6:$A$400,$S56)="","",INDEX('Master Tracker'!$A$6:$A$400,$S56)))</f>
        <v/>
      </c>
      <c r="C56" s="114">
        <f>IF($S56="","",IF(INDEX('Master Tracker'!$C$6:$C$400,$S56)="","",INDEX('Master Tracker'!$C$6:$C$400,$S56)))</f>
        <v/>
      </c>
      <c r="D56" s="114">
        <f>IF($S56="","",IF(INDEX('Master Tracker'!$D$6:$D$400,$S56)="","",INDEX('Master Tracker'!$D$6:$D$400,$S56)))</f>
        <v/>
      </c>
      <c r="E56" s="53">
        <f>IF($S56="","",IF(INDEX('Master Tracker'!$F$6:$F$400,$S56)="","",INDEX('Master Tracker'!$F$6:$F$400,$S56)))</f>
        <v/>
      </c>
      <c r="F56" s="53">
        <f>IF($S56="","",IF(INDEX('Master Tracker'!$G$6:$G$400,$S56)="","",INDEX('Master Tracker'!$G$6:$G$400,$S56)))</f>
        <v/>
      </c>
      <c r="G56" s="70">
        <f>IF($S56="","",IF(INDEX('Master Tracker'!$H$6:$H$400,$S56)="","",INDEX('Master Tracker'!$H$6:$H$400,$S56)))</f>
        <v/>
      </c>
      <c r="H56" s="70">
        <f>IF($S56="","",IF(INDEX('Master Tracker'!$I$6:$I$400,$S56)="","",INDEX('Master Tracker'!$I$6:$I$400,$S56)))</f>
        <v/>
      </c>
      <c r="I56" s="115">
        <f>IF($S56="","",IF(INDEX('Master Tracker'!$U$6:$U$400,$S56)="","",INDEX('Master Tracker'!$U$6:$U$400,$S56)))</f>
        <v/>
      </c>
      <c r="J56" s="114">
        <f>IF($S56="","",IF(INDEX('Master Tracker'!$K$6:$K$400,$S56)="","",INDEX('Master Tracker'!$K$6:$K$400,$S56)))</f>
        <v/>
      </c>
      <c r="K56" s="114">
        <f>IF($S56="","",IF(INDEX('Master Tracker'!$Y$6:$Y$400,$S56)="","",INDEX('Master Tracker'!$Y$6:$Y$400,$S56)))</f>
        <v/>
      </c>
      <c r="L56" s="114">
        <f>IF($S56="","",IF(INDEX('Master Tracker'!$M$6:$M$400,$S56)="","",INDEX('Master Tracker'!$M$6:$M$400,$S56)))</f>
        <v/>
      </c>
      <c r="M56" s="114">
        <f>IF($S56="","",IF(INDEX('Master Tracker'!$O$6:$O$400,$S56)="","",INDEX('Master Tracker'!$O$6:$O$400,$S56)))</f>
        <v/>
      </c>
      <c r="N56" s="114">
        <f>IF($S56="","",IF(INDEX('Master Tracker'!$N$6:$N$400,$S56)="","",INDEX('Master Tracker'!$N$6:$N$400,$S56)))</f>
        <v/>
      </c>
      <c r="O56" s="53">
        <f>IF($S56="","",IF(INDEX('Master Tracker'!$T$6:$T$400,$S56)="","",INDEX('Master Tracker'!$T$6:$T$400,$S56)))</f>
        <v/>
      </c>
      <c r="P56" s="53">
        <f>IF($S56="","",IF(INDEX('Master Tracker'!$AC$6:$AC$400,$S56)="","",INDEX('Master Tracker'!$AC$6:$AC$400,$S56)))</f>
        <v/>
      </c>
      <c r="S56">
        <f>IFERROR(MATCH("Phase 3|"&amp;A56,'Master Tracker'!$Z$6:$Z$400,0),"")</f>
        <v/>
      </c>
    </row>
    <row r="57" ht="15" customHeight="1">
      <c r="A57" s="53" t="n">
        <v>18</v>
      </c>
      <c r="B57" s="113">
        <f>IF($S57="","",IF(INDEX('Master Tracker'!$A$6:$A$400,$S57)="","",INDEX('Master Tracker'!$A$6:$A$400,$S57)))</f>
        <v/>
      </c>
      <c r="C57" s="114">
        <f>IF($S57="","",IF(INDEX('Master Tracker'!$C$6:$C$400,$S57)="","",INDEX('Master Tracker'!$C$6:$C$400,$S57)))</f>
        <v/>
      </c>
      <c r="D57" s="114">
        <f>IF($S57="","",IF(INDEX('Master Tracker'!$D$6:$D$400,$S57)="","",INDEX('Master Tracker'!$D$6:$D$400,$S57)))</f>
        <v/>
      </c>
      <c r="E57" s="53">
        <f>IF($S57="","",IF(INDEX('Master Tracker'!$F$6:$F$400,$S57)="","",INDEX('Master Tracker'!$F$6:$F$400,$S57)))</f>
        <v/>
      </c>
      <c r="F57" s="53">
        <f>IF($S57="","",IF(INDEX('Master Tracker'!$G$6:$G$400,$S57)="","",INDEX('Master Tracker'!$G$6:$G$400,$S57)))</f>
        <v/>
      </c>
      <c r="G57" s="70">
        <f>IF($S57="","",IF(INDEX('Master Tracker'!$H$6:$H$400,$S57)="","",INDEX('Master Tracker'!$H$6:$H$400,$S57)))</f>
        <v/>
      </c>
      <c r="H57" s="70">
        <f>IF($S57="","",IF(INDEX('Master Tracker'!$I$6:$I$400,$S57)="","",INDEX('Master Tracker'!$I$6:$I$400,$S57)))</f>
        <v/>
      </c>
      <c r="I57" s="115">
        <f>IF($S57="","",IF(INDEX('Master Tracker'!$U$6:$U$400,$S57)="","",INDEX('Master Tracker'!$U$6:$U$400,$S57)))</f>
        <v/>
      </c>
      <c r="J57" s="114">
        <f>IF($S57="","",IF(INDEX('Master Tracker'!$K$6:$K$400,$S57)="","",INDEX('Master Tracker'!$K$6:$K$400,$S57)))</f>
        <v/>
      </c>
      <c r="K57" s="114">
        <f>IF($S57="","",IF(INDEX('Master Tracker'!$Y$6:$Y$400,$S57)="","",INDEX('Master Tracker'!$Y$6:$Y$400,$S57)))</f>
        <v/>
      </c>
      <c r="L57" s="114">
        <f>IF($S57="","",IF(INDEX('Master Tracker'!$M$6:$M$400,$S57)="","",INDEX('Master Tracker'!$M$6:$M$400,$S57)))</f>
        <v/>
      </c>
      <c r="M57" s="114">
        <f>IF($S57="","",IF(INDEX('Master Tracker'!$O$6:$O$400,$S57)="","",INDEX('Master Tracker'!$O$6:$O$400,$S57)))</f>
        <v/>
      </c>
      <c r="N57" s="114">
        <f>IF($S57="","",IF(INDEX('Master Tracker'!$N$6:$N$400,$S57)="","",INDEX('Master Tracker'!$N$6:$N$400,$S57)))</f>
        <v/>
      </c>
      <c r="O57" s="53">
        <f>IF($S57="","",IF(INDEX('Master Tracker'!$T$6:$T$400,$S57)="","",INDEX('Master Tracker'!$T$6:$T$400,$S57)))</f>
        <v/>
      </c>
      <c r="P57" s="53">
        <f>IF($S57="","",IF(INDEX('Master Tracker'!$AC$6:$AC$400,$S57)="","",INDEX('Master Tracker'!$AC$6:$AC$400,$S57)))</f>
        <v/>
      </c>
      <c r="S57">
        <f>IFERROR(MATCH("Phase 3|"&amp;A57,'Master Tracker'!$Z$6:$Z$400,0),"")</f>
        <v/>
      </c>
    </row>
    <row r="58" ht="15" customHeight="1">
      <c r="A58" s="53" t="n">
        <v>19</v>
      </c>
      <c r="B58" s="113">
        <f>IF($S58="","",IF(INDEX('Master Tracker'!$A$6:$A$400,$S58)="","",INDEX('Master Tracker'!$A$6:$A$400,$S58)))</f>
        <v/>
      </c>
      <c r="C58" s="114">
        <f>IF($S58="","",IF(INDEX('Master Tracker'!$C$6:$C$400,$S58)="","",INDEX('Master Tracker'!$C$6:$C$400,$S58)))</f>
        <v/>
      </c>
      <c r="D58" s="114">
        <f>IF($S58="","",IF(INDEX('Master Tracker'!$D$6:$D$400,$S58)="","",INDEX('Master Tracker'!$D$6:$D$400,$S58)))</f>
        <v/>
      </c>
      <c r="E58" s="53">
        <f>IF($S58="","",IF(INDEX('Master Tracker'!$F$6:$F$400,$S58)="","",INDEX('Master Tracker'!$F$6:$F$400,$S58)))</f>
        <v/>
      </c>
      <c r="F58" s="53">
        <f>IF($S58="","",IF(INDEX('Master Tracker'!$G$6:$G$400,$S58)="","",INDEX('Master Tracker'!$G$6:$G$400,$S58)))</f>
        <v/>
      </c>
      <c r="G58" s="70">
        <f>IF($S58="","",IF(INDEX('Master Tracker'!$H$6:$H$400,$S58)="","",INDEX('Master Tracker'!$H$6:$H$400,$S58)))</f>
        <v/>
      </c>
      <c r="H58" s="70">
        <f>IF($S58="","",IF(INDEX('Master Tracker'!$I$6:$I$400,$S58)="","",INDEX('Master Tracker'!$I$6:$I$400,$S58)))</f>
        <v/>
      </c>
      <c r="I58" s="115">
        <f>IF($S58="","",IF(INDEX('Master Tracker'!$U$6:$U$400,$S58)="","",INDEX('Master Tracker'!$U$6:$U$400,$S58)))</f>
        <v/>
      </c>
      <c r="J58" s="114">
        <f>IF($S58="","",IF(INDEX('Master Tracker'!$K$6:$K$400,$S58)="","",INDEX('Master Tracker'!$K$6:$K$400,$S58)))</f>
        <v/>
      </c>
      <c r="K58" s="114">
        <f>IF($S58="","",IF(INDEX('Master Tracker'!$Y$6:$Y$400,$S58)="","",INDEX('Master Tracker'!$Y$6:$Y$400,$S58)))</f>
        <v/>
      </c>
      <c r="L58" s="114">
        <f>IF($S58="","",IF(INDEX('Master Tracker'!$M$6:$M$400,$S58)="","",INDEX('Master Tracker'!$M$6:$M$400,$S58)))</f>
        <v/>
      </c>
      <c r="M58" s="114">
        <f>IF($S58="","",IF(INDEX('Master Tracker'!$O$6:$O$400,$S58)="","",INDEX('Master Tracker'!$O$6:$O$400,$S58)))</f>
        <v/>
      </c>
      <c r="N58" s="114">
        <f>IF($S58="","",IF(INDEX('Master Tracker'!$N$6:$N$400,$S58)="","",INDEX('Master Tracker'!$N$6:$N$400,$S58)))</f>
        <v/>
      </c>
      <c r="O58" s="53">
        <f>IF($S58="","",IF(INDEX('Master Tracker'!$T$6:$T$400,$S58)="","",INDEX('Master Tracker'!$T$6:$T$400,$S58)))</f>
        <v/>
      </c>
      <c r="P58" s="53">
        <f>IF($S58="","",IF(INDEX('Master Tracker'!$AC$6:$AC$400,$S58)="","",INDEX('Master Tracker'!$AC$6:$AC$400,$S58)))</f>
        <v/>
      </c>
      <c r="S58">
        <f>IFERROR(MATCH("Phase 3|"&amp;A58,'Master Tracker'!$Z$6:$Z$400,0),"")</f>
        <v/>
      </c>
    </row>
    <row r="59" ht="15" customHeight="1">
      <c r="A59" s="53" t="n">
        <v>20</v>
      </c>
      <c r="B59" s="113">
        <f>IF($S59="","",IF(INDEX('Master Tracker'!$A$6:$A$400,$S59)="","",INDEX('Master Tracker'!$A$6:$A$400,$S59)))</f>
        <v/>
      </c>
      <c r="C59" s="114">
        <f>IF($S59="","",IF(INDEX('Master Tracker'!$C$6:$C$400,$S59)="","",INDEX('Master Tracker'!$C$6:$C$400,$S59)))</f>
        <v/>
      </c>
      <c r="D59" s="114">
        <f>IF($S59="","",IF(INDEX('Master Tracker'!$D$6:$D$400,$S59)="","",INDEX('Master Tracker'!$D$6:$D$400,$S59)))</f>
        <v/>
      </c>
      <c r="E59" s="53">
        <f>IF($S59="","",IF(INDEX('Master Tracker'!$F$6:$F$400,$S59)="","",INDEX('Master Tracker'!$F$6:$F$400,$S59)))</f>
        <v/>
      </c>
      <c r="F59" s="53">
        <f>IF($S59="","",IF(INDEX('Master Tracker'!$G$6:$G$400,$S59)="","",INDEX('Master Tracker'!$G$6:$G$400,$S59)))</f>
        <v/>
      </c>
      <c r="G59" s="70">
        <f>IF($S59="","",IF(INDEX('Master Tracker'!$H$6:$H$400,$S59)="","",INDEX('Master Tracker'!$H$6:$H$400,$S59)))</f>
        <v/>
      </c>
      <c r="H59" s="70">
        <f>IF($S59="","",IF(INDEX('Master Tracker'!$I$6:$I$400,$S59)="","",INDEX('Master Tracker'!$I$6:$I$400,$S59)))</f>
        <v/>
      </c>
      <c r="I59" s="115">
        <f>IF($S59="","",IF(INDEX('Master Tracker'!$U$6:$U$400,$S59)="","",INDEX('Master Tracker'!$U$6:$U$400,$S59)))</f>
        <v/>
      </c>
      <c r="J59" s="114">
        <f>IF($S59="","",IF(INDEX('Master Tracker'!$K$6:$K$400,$S59)="","",INDEX('Master Tracker'!$K$6:$K$400,$S59)))</f>
        <v/>
      </c>
      <c r="K59" s="114">
        <f>IF($S59="","",IF(INDEX('Master Tracker'!$Y$6:$Y$400,$S59)="","",INDEX('Master Tracker'!$Y$6:$Y$400,$S59)))</f>
        <v/>
      </c>
      <c r="L59" s="114">
        <f>IF($S59="","",IF(INDEX('Master Tracker'!$M$6:$M$400,$S59)="","",INDEX('Master Tracker'!$M$6:$M$400,$S59)))</f>
        <v/>
      </c>
      <c r="M59" s="114">
        <f>IF($S59="","",IF(INDEX('Master Tracker'!$O$6:$O$400,$S59)="","",INDEX('Master Tracker'!$O$6:$O$400,$S59)))</f>
        <v/>
      </c>
      <c r="N59" s="114">
        <f>IF($S59="","",IF(INDEX('Master Tracker'!$N$6:$N$400,$S59)="","",INDEX('Master Tracker'!$N$6:$N$400,$S59)))</f>
        <v/>
      </c>
      <c r="O59" s="53">
        <f>IF($S59="","",IF(INDEX('Master Tracker'!$T$6:$T$400,$S59)="","",INDEX('Master Tracker'!$T$6:$T$400,$S59)))</f>
        <v/>
      </c>
      <c r="P59" s="53">
        <f>IF($S59="","",IF(INDEX('Master Tracker'!$AC$6:$AC$400,$S59)="","",INDEX('Master Tracker'!$AC$6:$AC$400,$S59)))</f>
        <v/>
      </c>
      <c r="S59">
        <f>IFERROR(MATCH("Phase 3|"&amp;A59,'Master Tracker'!$Z$6:$Z$400,0),"")</f>
        <v/>
      </c>
    </row>
    <row r="60" ht="15" customHeight="1">
      <c r="A60" s="53" t="n">
        <v>21</v>
      </c>
      <c r="B60" s="113">
        <f>IF($S60="","",IF(INDEX('Master Tracker'!$A$6:$A$400,$S60)="","",INDEX('Master Tracker'!$A$6:$A$400,$S60)))</f>
        <v/>
      </c>
      <c r="C60" s="114">
        <f>IF($S60="","",IF(INDEX('Master Tracker'!$C$6:$C$400,$S60)="","",INDEX('Master Tracker'!$C$6:$C$400,$S60)))</f>
        <v/>
      </c>
      <c r="D60" s="114">
        <f>IF($S60="","",IF(INDEX('Master Tracker'!$D$6:$D$400,$S60)="","",INDEX('Master Tracker'!$D$6:$D$400,$S60)))</f>
        <v/>
      </c>
      <c r="E60" s="53">
        <f>IF($S60="","",IF(INDEX('Master Tracker'!$F$6:$F$400,$S60)="","",INDEX('Master Tracker'!$F$6:$F$400,$S60)))</f>
        <v/>
      </c>
      <c r="F60" s="53">
        <f>IF($S60="","",IF(INDEX('Master Tracker'!$G$6:$G$400,$S60)="","",INDEX('Master Tracker'!$G$6:$G$400,$S60)))</f>
        <v/>
      </c>
      <c r="G60" s="70">
        <f>IF($S60="","",IF(INDEX('Master Tracker'!$H$6:$H$400,$S60)="","",INDEX('Master Tracker'!$H$6:$H$400,$S60)))</f>
        <v/>
      </c>
      <c r="H60" s="70">
        <f>IF($S60="","",IF(INDEX('Master Tracker'!$I$6:$I$400,$S60)="","",INDEX('Master Tracker'!$I$6:$I$400,$S60)))</f>
        <v/>
      </c>
      <c r="I60" s="115">
        <f>IF($S60="","",IF(INDEX('Master Tracker'!$U$6:$U$400,$S60)="","",INDEX('Master Tracker'!$U$6:$U$400,$S60)))</f>
        <v/>
      </c>
      <c r="J60" s="114">
        <f>IF($S60="","",IF(INDEX('Master Tracker'!$K$6:$K$400,$S60)="","",INDEX('Master Tracker'!$K$6:$K$400,$S60)))</f>
        <v/>
      </c>
      <c r="K60" s="114">
        <f>IF($S60="","",IF(INDEX('Master Tracker'!$Y$6:$Y$400,$S60)="","",INDEX('Master Tracker'!$Y$6:$Y$400,$S60)))</f>
        <v/>
      </c>
      <c r="L60" s="114">
        <f>IF($S60="","",IF(INDEX('Master Tracker'!$M$6:$M$400,$S60)="","",INDEX('Master Tracker'!$M$6:$M$400,$S60)))</f>
        <v/>
      </c>
      <c r="M60" s="114">
        <f>IF($S60="","",IF(INDEX('Master Tracker'!$O$6:$O$400,$S60)="","",INDEX('Master Tracker'!$O$6:$O$400,$S60)))</f>
        <v/>
      </c>
      <c r="N60" s="114">
        <f>IF($S60="","",IF(INDEX('Master Tracker'!$N$6:$N$400,$S60)="","",INDEX('Master Tracker'!$N$6:$N$400,$S60)))</f>
        <v/>
      </c>
      <c r="O60" s="53">
        <f>IF($S60="","",IF(INDEX('Master Tracker'!$T$6:$T$400,$S60)="","",INDEX('Master Tracker'!$T$6:$T$400,$S60)))</f>
        <v/>
      </c>
      <c r="P60" s="53">
        <f>IF($S60="","",IF(INDEX('Master Tracker'!$AC$6:$AC$400,$S60)="","",INDEX('Master Tracker'!$AC$6:$AC$400,$S60)))</f>
        <v/>
      </c>
      <c r="S60">
        <f>IFERROR(MATCH("Phase 3|"&amp;A60,'Master Tracker'!$Z$6:$Z$400,0),"")</f>
        <v/>
      </c>
    </row>
    <row r="61" ht="15" customHeight="1">
      <c r="A61" s="53" t="n">
        <v>22</v>
      </c>
      <c r="B61" s="113">
        <f>IF($S61="","",IF(INDEX('Master Tracker'!$A$6:$A$400,$S61)="","",INDEX('Master Tracker'!$A$6:$A$400,$S61)))</f>
        <v/>
      </c>
      <c r="C61" s="114">
        <f>IF($S61="","",IF(INDEX('Master Tracker'!$C$6:$C$400,$S61)="","",INDEX('Master Tracker'!$C$6:$C$400,$S61)))</f>
        <v/>
      </c>
      <c r="D61" s="114">
        <f>IF($S61="","",IF(INDEX('Master Tracker'!$D$6:$D$400,$S61)="","",INDEX('Master Tracker'!$D$6:$D$400,$S61)))</f>
        <v/>
      </c>
      <c r="E61" s="53">
        <f>IF($S61="","",IF(INDEX('Master Tracker'!$F$6:$F$400,$S61)="","",INDEX('Master Tracker'!$F$6:$F$400,$S61)))</f>
        <v/>
      </c>
      <c r="F61" s="53">
        <f>IF($S61="","",IF(INDEX('Master Tracker'!$G$6:$G$400,$S61)="","",INDEX('Master Tracker'!$G$6:$G$400,$S61)))</f>
        <v/>
      </c>
      <c r="G61" s="70">
        <f>IF($S61="","",IF(INDEX('Master Tracker'!$H$6:$H$400,$S61)="","",INDEX('Master Tracker'!$H$6:$H$400,$S61)))</f>
        <v/>
      </c>
      <c r="H61" s="70">
        <f>IF($S61="","",IF(INDEX('Master Tracker'!$I$6:$I$400,$S61)="","",INDEX('Master Tracker'!$I$6:$I$400,$S61)))</f>
        <v/>
      </c>
      <c r="I61" s="115">
        <f>IF($S61="","",IF(INDEX('Master Tracker'!$U$6:$U$400,$S61)="","",INDEX('Master Tracker'!$U$6:$U$400,$S61)))</f>
        <v/>
      </c>
      <c r="J61" s="114">
        <f>IF($S61="","",IF(INDEX('Master Tracker'!$K$6:$K$400,$S61)="","",INDEX('Master Tracker'!$K$6:$K$400,$S61)))</f>
        <v/>
      </c>
      <c r="K61" s="114">
        <f>IF($S61="","",IF(INDEX('Master Tracker'!$Y$6:$Y$400,$S61)="","",INDEX('Master Tracker'!$Y$6:$Y$400,$S61)))</f>
        <v/>
      </c>
      <c r="L61" s="114">
        <f>IF($S61="","",IF(INDEX('Master Tracker'!$M$6:$M$400,$S61)="","",INDEX('Master Tracker'!$M$6:$M$400,$S61)))</f>
        <v/>
      </c>
      <c r="M61" s="114">
        <f>IF($S61="","",IF(INDEX('Master Tracker'!$O$6:$O$400,$S61)="","",INDEX('Master Tracker'!$O$6:$O$400,$S61)))</f>
        <v/>
      </c>
      <c r="N61" s="114">
        <f>IF($S61="","",IF(INDEX('Master Tracker'!$N$6:$N$400,$S61)="","",INDEX('Master Tracker'!$N$6:$N$400,$S61)))</f>
        <v/>
      </c>
      <c r="O61" s="53">
        <f>IF($S61="","",IF(INDEX('Master Tracker'!$T$6:$T$400,$S61)="","",INDEX('Master Tracker'!$T$6:$T$400,$S61)))</f>
        <v/>
      </c>
      <c r="P61" s="53">
        <f>IF($S61="","",IF(INDEX('Master Tracker'!$AC$6:$AC$400,$S61)="","",INDEX('Master Tracker'!$AC$6:$AC$400,$S61)))</f>
        <v/>
      </c>
      <c r="S61">
        <f>IFERROR(MATCH("Phase 3|"&amp;A61,'Master Tracker'!$Z$6:$Z$400,0),"")</f>
        <v/>
      </c>
    </row>
    <row r="62" ht="15" customHeight="1">
      <c r="A62" s="53" t="n">
        <v>23</v>
      </c>
      <c r="B62" s="113">
        <f>IF($S62="","",IF(INDEX('Master Tracker'!$A$6:$A$400,$S62)="","",INDEX('Master Tracker'!$A$6:$A$400,$S62)))</f>
        <v/>
      </c>
      <c r="C62" s="114">
        <f>IF($S62="","",IF(INDEX('Master Tracker'!$C$6:$C$400,$S62)="","",INDEX('Master Tracker'!$C$6:$C$400,$S62)))</f>
        <v/>
      </c>
      <c r="D62" s="114">
        <f>IF($S62="","",IF(INDEX('Master Tracker'!$D$6:$D$400,$S62)="","",INDEX('Master Tracker'!$D$6:$D$400,$S62)))</f>
        <v/>
      </c>
      <c r="E62" s="53">
        <f>IF($S62="","",IF(INDEX('Master Tracker'!$F$6:$F$400,$S62)="","",INDEX('Master Tracker'!$F$6:$F$400,$S62)))</f>
        <v/>
      </c>
      <c r="F62" s="53">
        <f>IF($S62="","",IF(INDEX('Master Tracker'!$G$6:$G$400,$S62)="","",INDEX('Master Tracker'!$G$6:$G$400,$S62)))</f>
        <v/>
      </c>
      <c r="G62" s="70">
        <f>IF($S62="","",IF(INDEX('Master Tracker'!$H$6:$H$400,$S62)="","",INDEX('Master Tracker'!$H$6:$H$400,$S62)))</f>
        <v/>
      </c>
      <c r="H62" s="70">
        <f>IF($S62="","",IF(INDEX('Master Tracker'!$I$6:$I$400,$S62)="","",INDEX('Master Tracker'!$I$6:$I$400,$S62)))</f>
        <v/>
      </c>
      <c r="I62" s="115">
        <f>IF($S62="","",IF(INDEX('Master Tracker'!$U$6:$U$400,$S62)="","",INDEX('Master Tracker'!$U$6:$U$400,$S62)))</f>
        <v/>
      </c>
      <c r="J62" s="114">
        <f>IF($S62="","",IF(INDEX('Master Tracker'!$K$6:$K$400,$S62)="","",INDEX('Master Tracker'!$K$6:$K$400,$S62)))</f>
        <v/>
      </c>
      <c r="K62" s="114">
        <f>IF($S62="","",IF(INDEX('Master Tracker'!$Y$6:$Y$400,$S62)="","",INDEX('Master Tracker'!$Y$6:$Y$400,$S62)))</f>
        <v/>
      </c>
      <c r="L62" s="114">
        <f>IF($S62="","",IF(INDEX('Master Tracker'!$M$6:$M$400,$S62)="","",INDEX('Master Tracker'!$M$6:$M$400,$S62)))</f>
        <v/>
      </c>
      <c r="M62" s="114">
        <f>IF($S62="","",IF(INDEX('Master Tracker'!$O$6:$O$400,$S62)="","",INDEX('Master Tracker'!$O$6:$O$400,$S62)))</f>
        <v/>
      </c>
      <c r="N62" s="114">
        <f>IF($S62="","",IF(INDEX('Master Tracker'!$N$6:$N$400,$S62)="","",INDEX('Master Tracker'!$N$6:$N$400,$S62)))</f>
        <v/>
      </c>
      <c r="O62" s="53">
        <f>IF($S62="","",IF(INDEX('Master Tracker'!$T$6:$T$400,$S62)="","",INDEX('Master Tracker'!$T$6:$T$400,$S62)))</f>
        <v/>
      </c>
      <c r="P62" s="53">
        <f>IF($S62="","",IF(INDEX('Master Tracker'!$AC$6:$AC$400,$S62)="","",INDEX('Master Tracker'!$AC$6:$AC$400,$S62)))</f>
        <v/>
      </c>
      <c r="S62">
        <f>IFERROR(MATCH("Phase 3|"&amp;A62,'Master Tracker'!$Z$6:$Z$400,0),"")</f>
        <v/>
      </c>
    </row>
    <row r="63" ht="15" customHeight="1">
      <c r="A63" s="53" t="n">
        <v>24</v>
      </c>
      <c r="B63" s="113">
        <f>IF($S63="","",IF(INDEX('Master Tracker'!$A$6:$A$400,$S63)="","",INDEX('Master Tracker'!$A$6:$A$400,$S63)))</f>
        <v/>
      </c>
      <c r="C63" s="114">
        <f>IF($S63="","",IF(INDEX('Master Tracker'!$C$6:$C$400,$S63)="","",INDEX('Master Tracker'!$C$6:$C$400,$S63)))</f>
        <v/>
      </c>
      <c r="D63" s="114">
        <f>IF($S63="","",IF(INDEX('Master Tracker'!$D$6:$D$400,$S63)="","",INDEX('Master Tracker'!$D$6:$D$400,$S63)))</f>
        <v/>
      </c>
      <c r="E63" s="53">
        <f>IF($S63="","",IF(INDEX('Master Tracker'!$F$6:$F$400,$S63)="","",INDEX('Master Tracker'!$F$6:$F$400,$S63)))</f>
        <v/>
      </c>
      <c r="F63" s="53">
        <f>IF($S63="","",IF(INDEX('Master Tracker'!$G$6:$G$400,$S63)="","",INDEX('Master Tracker'!$G$6:$G$400,$S63)))</f>
        <v/>
      </c>
      <c r="G63" s="70">
        <f>IF($S63="","",IF(INDEX('Master Tracker'!$H$6:$H$400,$S63)="","",INDEX('Master Tracker'!$H$6:$H$400,$S63)))</f>
        <v/>
      </c>
      <c r="H63" s="70">
        <f>IF($S63="","",IF(INDEX('Master Tracker'!$I$6:$I$400,$S63)="","",INDEX('Master Tracker'!$I$6:$I$400,$S63)))</f>
        <v/>
      </c>
      <c r="I63" s="115">
        <f>IF($S63="","",IF(INDEX('Master Tracker'!$U$6:$U$400,$S63)="","",INDEX('Master Tracker'!$U$6:$U$400,$S63)))</f>
        <v/>
      </c>
      <c r="J63" s="114">
        <f>IF($S63="","",IF(INDEX('Master Tracker'!$K$6:$K$400,$S63)="","",INDEX('Master Tracker'!$K$6:$K$400,$S63)))</f>
        <v/>
      </c>
      <c r="K63" s="114">
        <f>IF($S63="","",IF(INDEX('Master Tracker'!$Y$6:$Y$400,$S63)="","",INDEX('Master Tracker'!$Y$6:$Y$400,$S63)))</f>
        <v/>
      </c>
      <c r="L63" s="114">
        <f>IF($S63="","",IF(INDEX('Master Tracker'!$M$6:$M$400,$S63)="","",INDEX('Master Tracker'!$M$6:$M$400,$S63)))</f>
        <v/>
      </c>
      <c r="M63" s="114">
        <f>IF($S63="","",IF(INDEX('Master Tracker'!$O$6:$O$400,$S63)="","",INDEX('Master Tracker'!$O$6:$O$400,$S63)))</f>
        <v/>
      </c>
      <c r="N63" s="114">
        <f>IF($S63="","",IF(INDEX('Master Tracker'!$N$6:$N$400,$S63)="","",INDEX('Master Tracker'!$N$6:$N$400,$S63)))</f>
        <v/>
      </c>
      <c r="O63" s="53">
        <f>IF($S63="","",IF(INDEX('Master Tracker'!$T$6:$T$400,$S63)="","",INDEX('Master Tracker'!$T$6:$T$400,$S63)))</f>
        <v/>
      </c>
      <c r="P63" s="53">
        <f>IF($S63="","",IF(INDEX('Master Tracker'!$AC$6:$AC$400,$S63)="","",INDEX('Master Tracker'!$AC$6:$AC$400,$S63)))</f>
        <v/>
      </c>
      <c r="S63">
        <f>IFERROR(MATCH("Phase 3|"&amp;A63,'Master Tracker'!$Z$6:$Z$400,0),"")</f>
        <v/>
      </c>
    </row>
  </sheetData>
  <mergeCells count="54">
    <mergeCell ref="B32:R32"/>
    <mergeCell ref="J24:R24"/>
    <mergeCell ref="A7:R7"/>
    <mergeCell ref="A15:H15"/>
    <mergeCell ref="J5:K5"/>
    <mergeCell ref="J15:R15"/>
    <mergeCell ref="B35:R35"/>
    <mergeCell ref="A24:H24"/>
    <mergeCell ref="E5:F5"/>
    <mergeCell ref="A3:C3"/>
    <mergeCell ref="B31:R31"/>
    <mergeCell ref="J20:R20"/>
    <mergeCell ref="A26:R26"/>
    <mergeCell ref="J16:R16"/>
    <mergeCell ref="H6:I6"/>
    <mergeCell ref="B27:R27"/>
    <mergeCell ref="A5:C5"/>
    <mergeCell ref="J6:K6"/>
    <mergeCell ref="A2:R2"/>
    <mergeCell ref="A16:H16"/>
    <mergeCell ref="J22:R22"/>
    <mergeCell ref="J21:R21"/>
    <mergeCell ref="A12:H12"/>
    <mergeCell ref="J12:R12"/>
    <mergeCell ref="A18:H18"/>
    <mergeCell ref="E6:F6"/>
    <mergeCell ref="A21:H21"/>
    <mergeCell ref="P5:R5"/>
    <mergeCell ref="A38:R38"/>
    <mergeCell ref="J18:R18"/>
    <mergeCell ref="B29:R29"/>
    <mergeCell ref="A10:R10"/>
    <mergeCell ref="J23:R23"/>
    <mergeCell ref="B34:R34"/>
    <mergeCell ref="A14:H14"/>
    <mergeCell ref="B28:R28"/>
    <mergeCell ref="A9:R9"/>
    <mergeCell ref="J17:R17"/>
    <mergeCell ref="A23:H23"/>
    <mergeCell ref="A22:H22"/>
    <mergeCell ref="A17:H17"/>
    <mergeCell ref="J14:R14"/>
    <mergeCell ref="B30:R30"/>
    <mergeCell ref="A20:H20"/>
    <mergeCell ref="J19:R19"/>
    <mergeCell ref="A6:C6"/>
    <mergeCell ref="H5:I5"/>
    <mergeCell ref="A13:H13"/>
    <mergeCell ref="A1:R1"/>
    <mergeCell ref="J13:R13"/>
    <mergeCell ref="A19:H19"/>
    <mergeCell ref="B33:R33"/>
    <mergeCell ref="P6:R6"/>
    <mergeCell ref="B36:R36"/>
  </mergeCells>
  <conditionalFormatting sqref="P6">
    <cfRule type="expression" priority="1" dxfId="20">
      <formula>$P$6="Complete"</formula>
    </cfRule>
    <cfRule type="expression" priority="2" dxfId="21">
      <formula>$P$6="On Track"</formula>
    </cfRule>
    <cfRule type="expression" priority="3" dxfId="22">
      <formula>$P$6="Behind"</formula>
    </cfRule>
    <cfRule type="expression" priority="4" dxfId="22">
      <formula>$P$6="Blocked"</formula>
    </cfRule>
  </conditionalFormatting>
  <conditionalFormatting sqref="F40:F63">
    <cfRule type="expression" priority="5" dxfId="4">
      <formula>$F40="Completed"</formula>
    </cfRule>
    <cfRule type="expression" priority="6" dxfId="5">
      <formula>$F40="In Progress"</formula>
    </cfRule>
    <cfRule type="expression" priority="7" dxfId="11">
      <formula>$F40="Testing"</formula>
    </cfRule>
    <cfRule type="expression" priority="8" dxfId="11">
      <formula>$F40="In Review"</formula>
    </cfRule>
    <cfRule type="expression" priority="9" dxfId="6">
      <formula>$F40="Blocked"</formula>
    </cfRule>
    <cfRule type="expression" priority="10" dxfId="7">
      <formula>$F40="Not Started"</formula>
    </cfRule>
  </conditionalFormatting>
  <conditionalFormatting sqref="I40:I63">
    <cfRule type="dataBar" priority="11">
      <dataBar>
        <cfvo type="num" val="0"/>
        <cfvo type="num" val="1"/>
        <color rgb="0010B981"/>
      </dataBar>
    </cfRule>
  </conditionalFormatting>
  <conditionalFormatting sqref="P40:P63">
    <cfRule type="expression" priority="12" dxfId="16">
      <formula>$P40="Overdue"</formula>
    </cfRule>
    <cfRule type="expression" priority="13" dxfId="16">
      <formula>$P40="Blocked"</formula>
    </cfRule>
    <cfRule type="expression" priority="14" dxfId="19">
      <formula>$P40="Due soon"</formula>
    </cfRule>
    <cfRule type="expression" priority="15" dxfId="4">
      <formula>$P40="Done"</formula>
    </cfRule>
    <cfRule type="expression" priority="16" dxfId="11">
      <formula>$P40="Dependency open"</formula>
    </cfRule>
    <cfRule type="expression" priority="17" dxfId="11">
      <formula>$P40="External req."</formula>
    </cfRule>
    <cfRule type="expression" priority="18" dxfId="5">
      <formula>$P40="On track"</formula>
    </cfRule>
  </conditionalFormatting>
  <conditionalFormatting sqref="O40:O63">
    <cfRule type="expression" priority="19" dxfId="4">
      <formula>$O40="Pass"</formula>
    </cfRule>
    <cfRule type="expression" priority="20" dxfId="6">
      <formula>$O40="Fail"</formula>
    </cfRule>
    <cfRule type="expression" priority="21" dxfId="11">
      <formula>$O40="Partial"</formula>
    </cfRule>
  </conditionalFormatting>
  <hyperlinks>
    <hyperlink xmlns:r="http://schemas.openxmlformats.org/officeDocument/2006/relationships" ref="A3" r:id="rId1"/>
    <hyperlink xmlns:r="http://schemas.openxmlformats.org/officeDocument/2006/relationships" ref="D3" r:id="rId2"/>
    <hyperlink xmlns:r="http://schemas.openxmlformats.org/officeDocument/2006/relationships" ref="F3" r:id="rId3"/>
  </hyperlinks>
  <pageMargins left="0.75" right="0.75" top="1" bottom="1" header="0.5" footer="0.5"/>
  <pageSetup orientation="landscape" fitToHeight="0" fitToWidth="1"/>
</worksheet>
</file>

<file path=xl/worksheets/sheet6.xml><?xml version="1.0" encoding="utf-8"?>
<worksheet xmlns="http://schemas.openxmlformats.org/spreadsheetml/2006/main">
  <sheetPr>
    <tabColor rgb="00334155"/>
    <outlinePr summaryBelow="1" summaryRight="1"/>
    <pageSetUpPr fitToPage="1"/>
  </sheetPr>
  <dimension ref="A1:S57"/>
  <sheetViews>
    <sheetView showGridLines="0" zoomScale="90" workbookViewId="0">
      <pane ySplit="3" topLeftCell="A4" activePane="bottomLeft" state="frozen"/>
      <selection pane="bottomLeft" activeCell="A1" sqref="A1"/>
    </sheetView>
  </sheetViews>
  <sheetFormatPr baseColWidth="8" defaultRowHeight="15"/>
  <cols>
    <col width="5" customWidth="1" min="1" max="1"/>
    <col width="9" customWidth="1" min="2" max="2"/>
    <col width="15" customWidth="1" min="3" max="3"/>
    <col width="32" customWidth="1" min="4" max="4"/>
    <col width="8" customWidth="1" min="5" max="5"/>
    <col width="12" customWidth="1" min="6" max="6"/>
    <col width="10" customWidth="1" min="7" max="7"/>
    <col width="10" customWidth="1" min="8" max="8"/>
    <col width="10" customWidth="1" min="9" max="9"/>
    <col width="16" customWidth="1" min="10" max="10"/>
    <col width="12" customWidth="1" min="11" max="11"/>
    <col width="30" customWidth="1" min="12" max="12"/>
    <col width="38" customWidth="1" min="13" max="13"/>
    <col width="38" customWidth="1" min="14" max="14"/>
    <col width="10" customWidth="1" min="15" max="15"/>
    <col width="13" customWidth="1" min="16" max="16"/>
    <col width="12" customWidth="1" min="17" max="17"/>
    <col width="12" customWidth="1" min="18" max="18"/>
    <col hidden="1" width="4" customWidth="1" min="19" max="19"/>
  </cols>
  <sheetData>
    <row r="1" ht="34" customHeight="1">
      <c r="A1" s="1" t="inlineStr">
        <is>
          <t xml:space="preserve">  PHASE 4 — DIGITAL ISSUES ARCHIVE &amp; CPT ENGINE</t>
        </is>
      </c>
      <c r="B1" s="2" t="n"/>
      <c r="C1" s="2" t="n"/>
      <c r="D1" s="2" t="n"/>
      <c r="E1" s="2" t="n"/>
      <c r="F1" s="2" t="n"/>
      <c r="G1" s="2" t="n"/>
      <c r="H1" s="2" t="n"/>
      <c r="I1" s="2" t="n"/>
      <c r="J1" s="2" t="n"/>
      <c r="K1" s="2" t="n"/>
      <c r="L1" s="2" t="n"/>
      <c r="M1" s="2" t="n"/>
      <c r="N1" s="2" t="n"/>
      <c r="O1" s="2" t="n"/>
      <c r="P1" s="2" t="n"/>
      <c r="Q1" s="2" t="n"/>
      <c r="R1" s="2" t="n"/>
    </row>
    <row r="2" ht="20" customHeight="1">
      <c r="A2" s="3" t="inlineStr">
        <is>
          <t xml:space="preserve">  Window 21 Oct – 22 Oct 2026   ·   Status is read live from the Master Tracker (edit there)</t>
        </is>
      </c>
      <c r="B2" s="4" t="n"/>
      <c r="C2" s="4" t="n"/>
      <c r="D2" s="4" t="n"/>
      <c r="E2" s="4" t="n"/>
      <c r="F2" s="4" t="n"/>
      <c r="G2" s="4" t="n"/>
      <c r="H2" s="4" t="n"/>
      <c r="I2" s="4" t="n"/>
      <c r="J2" s="4" t="n"/>
      <c r="K2" s="4" t="n"/>
      <c r="L2" s="4" t="n"/>
      <c r="M2" s="4" t="n"/>
      <c r="N2" s="4" t="n"/>
      <c r="O2" s="4" t="n"/>
      <c r="P2" s="4" t="n"/>
      <c r="Q2" s="4" t="n"/>
      <c r="R2" s="4" t="n"/>
    </row>
    <row r="3">
      <c r="A3" s="87" t="inlineStr">
        <is>
          <t>← Dashboard</t>
        </is>
      </c>
      <c r="D3" s="87" t="inlineStr">
        <is>
          <t>Open Master Tracker →</t>
        </is>
      </c>
      <c r="F3" s="7" t="inlineStr">
        <is>
          <t>Staging ↗</t>
        </is>
      </c>
    </row>
    <row r="5">
      <c r="A5" s="100" t="inlineStr">
        <is>
          <t>COMPLETION</t>
        </is>
      </c>
      <c r="B5" s="101" t="n"/>
      <c r="C5" s="101" t="n"/>
      <c r="D5" s="100" t="inlineStr">
        <is>
          <t>PLANNED</t>
        </is>
      </c>
      <c r="E5" s="100" t="inlineStr">
        <is>
          <t>TASKS</t>
        </is>
      </c>
      <c r="F5" s="101" t="n"/>
      <c r="G5" s="100" t="inlineStr">
        <is>
          <t>DONE</t>
        </is>
      </c>
      <c r="H5" s="100" t="inlineStr">
        <is>
          <t>IN PROGRESS</t>
        </is>
      </c>
      <c r="I5" s="101" t="n"/>
      <c r="J5" s="100" t="inlineStr">
        <is>
          <t>BLOCKED</t>
        </is>
      </c>
      <c r="K5" s="101" t="n"/>
      <c r="L5" s="100" t="inlineStr">
        <is>
          <t>OVERDUE</t>
        </is>
      </c>
      <c r="M5" s="100" t="inlineStr">
        <is>
          <t>IN REVIEW / TEST</t>
        </is>
      </c>
      <c r="N5" s="100" t="inlineStr">
        <is>
          <t>OPEN P0</t>
        </is>
      </c>
      <c r="O5" s="100" t="inlineStr">
        <is>
          <t>DEADLINE</t>
        </is>
      </c>
      <c r="P5" s="102" t="inlineStr">
        <is>
          <t>PHASE STATUS</t>
        </is>
      </c>
    </row>
    <row r="6" ht="32" customHeight="1">
      <c r="A6" s="103">
        <f>IFERROR(SUMPRODUCT(('Master Tracker'!$B$6:$B$400="Phase 4")*'Master Tracker'!$U$6:$U$400)/COUNTIFS('Master Tracker'!$B$6:$B$400,"Phase 4",'Master Tracker'!$A$6:$A$400,"?*"),0)</f>
        <v/>
      </c>
      <c r="B6" s="104" t="n"/>
      <c r="C6" s="104" t="n"/>
      <c r="D6" s="103">
        <f>IFERROR(SUMPRODUCT(('Master Tracker'!$B$6:$B$400="Phase 4")*'Master Tracker'!$V$6:$V$400)/COUNTIFS('Master Tracker'!$B$6:$B$400,"Phase 4",'Master Tracker'!$A$6:$A$400,"?*"),0)</f>
        <v/>
      </c>
      <c r="E6" s="105">
        <f>COUNTIFS('Master Tracker'!$B$6:$B$400,"Phase 4",'Master Tracker'!$A$6:$A$400,"?*")</f>
        <v/>
      </c>
      <c r="F6" s="104" t="n"/>
      <c r="G6" s="105">
        <f>COUNTIFS('Master Tracker'!$B$6:$B$400,"Phase 4",'Master Tracker'!$G$6:$G$400,"Completed")</f>
        <v/>
      </c>
      <c r="H6" s="105">
        <f>COUNTIFS('Master Tracker'!$B$6:$B$400,"Phase 4",'Master Tracker'!$G$6:$G$400,"In Progress")</f>
        <v/>
      </c>
      <c r="I6" s="104" t="n"/>
      <c r="J6" s="105">
        <f>COUNTIFS('Master Tracker'!$B$6:$B$400,"Phase 4",'Master Tracker'!$G$6:$G$400,"Blocked")</f>
        <v/>
      </c>
      <c r="K6" s="104" t="n"/>
      <c r="L6" s="105">
        <f>COUNTIFS('Master Tracker'!$B$6:$B$400,"Phase 4",'Master Tracker'!$X$6:$X$400,"OVERDUE")</f>
        <v/>
      </c>
      <c r="M6" s="105">
        <f>COUNTIFS('Master Tracker'!$B$6:$B$400,"Phase 4",'Master Tracker'!$G$6:$G$400,"In Review")+COUNTIFS('Master Tracker'!$B$6:$B$400,"Phase 4",'Master Tracker'!$G$6:$G$400,"Testing")</f>
        <v/>
      </c>
      <c r="N6" s="105">
        <f>COUNTIFS('Master Tracker'!$B$6:$B$400,"Phase 4",'Master Tracker'!$F$6:$F$400,"P0",'Master Tracker'!$G$6:$G$400,"&lt;&gt;Completed",'Master Tracker'!$A$6:$A$400,"?*")</f>
        <v/>
      </c>
      <c r="O6" s="106">
        <f>_xlfn.MAXIFS('Master Tracker'!$I$6:$I$400,'Master Tracker'!$B$6:$B$400,"Phase 4")</f>
        <v/>
      </c>
      <c r="P6" s="107">
        <f>IF(E6=0,"—",IF(G6=E6,"Complete",IF(J6&gt;0,"Blocked",IF(L6&gt;0,"Behind",IF(A6+0.1&lt;D6,"Behind",IF(A6&gt;0,"On Track","Not Started"))))))</f>
        <v/>
      </c>
    </row>
    <row r="7" ht="22" customHeight="1">
      <c r="A7" s="108">
        <f>"Progress  "&amp;REPT("█",ROUND(A6*50,0))&amp;REPT("░",50-ROUND(A6*50,0))&amp;"  "&amp;TEXT(A6,"0%")&amp;"  (planned "&amp;TEXT(D6,"0%")&amp;")"</f>
        <v/>
      </c>
    </row>
    <row r="9" ht="22" customHeight="1">
      <c r="A9" s="9" t="inlineStr">
        <is>
          <t xml:space="preserve">  PHASE GOAL</t>
        </is>
      </c>
      <c r="B9" s="10" t="n"/>
      <c r="C9" s="10" t="n"/>
      <c r="D9" s="10" t="n"/>
      <c r="E9" s="10" t="n"/>
      <c r="F9" s="10" t="n"/>
      <c r="G9" s="10" t="n"/>
      <c r="H9" s="10" t="n"/>
      <c r="I9" s="10" t="n"/>
      <c r="J9" s="10" t="n"/>
      <c r="K9" s="10" t="n"/>
      <c r="L9" s="10" t="n"/>
      <c r="M9" s="10" t="n"/>
      <c r="N9" s="10" t="n"/>
      <c r="O9" s="10" t="n"/>
      <c r="P9" s="10" t="n"/>
      <c r="Q9" s="10" t="n"/>
      <c r="R9" s="10" t="n"/>
    </row>
    <row r="10" ht="46" customHeight="1">
      <c r="A10" s="109" t="inlineStr">
        <is>
          <t>Create a magazine-issue engine (custom post type) and migrate all 48 historical issues with covers and PDFs into a filterable digital archive featuring a flipbook reader, secure PDF downloads and subscription-aware access restrictions.</t>
        </is>
      </c>
    </row>
    <row r="12" ht="22" customHeight="1">
      <c r="A12" s="9" t="inlineStr">
        <is>
          <t xml:space="preserve">  DELIVERABLES</t>
        </is>
      </c>
      <c r="B12" s="10" t="n"/>
      <c r="C12" s="10" t="n"/>
      <c r="D12" s="10" t="n"/>
      <c r="E12" s="10" t="n"/>
      <c r="F12" s="10" t="n"/>
      <c r="G12" s="10" t="n"/>
      <c r="H12" s="10" t="n"/>
      <c r="J12" s="9" t="inlineStr">
        <is>
          <t xml:space="preserve">  REQUIRED WORDPRESS FILES</t>
        </is>
      </c>
      <c r="K12" s="10" t="n"/>
      <c r="L12" s="10" t="n"/>
      <c r="M12" s="10" t="n"/>
      <c r="N12" s="10" t="n"/>
      <c r="O12" s="10" t="n"/>
      <c r="P12" s="10" t="n"/>
      <c r="Q12" s="10" t="n"/>
      <c r="R12" s="10" t="n"/>
    </row>
    <row r="13">
      <c r="A13" s="110" t="inlineStr">
        <is>
          <t>▸ magazine_issue CPT + fields (number, date, year, decade, PDF, access level)</t>
        </is>
      </c>
      <c r="J13" s="110" t="inlineStr">
        <is>
          <t>▸ inc/cpt-issues.php</t>
        </is>
      </c>
    </row>
    <row r="14">
      <c r="A14" s="111" t="inlineStr">
        <is>
          <t>▸ All 48 historical issues migrated with covers and PDFs</t>
        </is>
      </c>
      <c r="J14" s="111" t="inlineStr">
        <is>
          <t>▸ inc/issue-meta.php</t>
        </is>
      </c>
    </row>
    <row r="15">
      <c r="A15" s="110" t="inlineStr">
        <is>
          <t>▸ Issue archive with year and decade filtering</t>
        </is>
      </c>
      <c r="J15" s="110" t="inlineStr">
        <is>
          <t>▸ inc/issue-import.php</t>
        </is>
      </c>
    </row>
    <row r="16">
      <c r="A16" s="111" t="inlineStr">
        <is>
          <t>▸ Single issue page</t>
        </is>
      </c>
      <c r="J16" s="111" t="inlineStr">
        <is>
          <t>▸ archive-magazine_issue.php</t>
        </is>
      </c>
    </row>
    <row r="17">
      <c r="A17" s="110" t="inlineStr">
        <is>
          <t>▸ Flipbook reader with mobile fallback</t>
        </is>
      </c>
      <c r="J17" s="110" t="inlineStr">
        <is>
          <t>▸ single-magazine_issue.php</t>
        </is>
      </c>
    </row>
    <row r="18">
      <c r="A18" s="111" t="inlineStr">
        <is>
          <t>▸ Secure PDF downloads</t>
        </is>
      </c>
      <c r="J18" s="111" t="inlineStr">
        <is>
          <t>▸ template-parts/issue/*.php</t>
        </is>
      </c>
    </row>
    <row r="19">
      <c r="A19" s="110" t="inlineStr">
        <is>
          <t>▸ Access restrictions tied to subscription tiers</t>
        </is>
      </c>
      <c r="J19" s="110" t="inlineStr">
        <is>
          <t>▸ inc/pdf-download.php</t>
        </is>
      </c>
    </row>
    <row r="20">
      <c r="A20" s="111" t="n"/>
      <c r="J20" s="111" t="inlineStr">
        <is>
          <t>▸ assets/js/modules/flipbook.js</t>
        </is>
      </c>
    </row>
    <row r="21">
      <c r="A21" s="110" t="n"/>
      <c r="J21" s="110" t="inlineStr">
        <is>
          <t>▸ assets/vendor/pdfjs/*</t>
        </is>
      </c>
    </row>
    <row r="22">
      <c r="A22" s="111" t="n"/>
      <c r="J22" s="111" t="inlineStr">
        <is>
          <t>▸ .htaccess (protected uploads rule)</t>
        </is>
      </c>
    </row>
    <row r="24" ht="22" customHeight="1">
      <c r="A24" s="9" t="inlineStr">
        <is>
          <t xml:space="preserve">  TECHNICAL IMPLEMENTATION STEPS</t>
        </is>
      </c>
      <c r="B24" s="10" t="n"/>
      <c r="C24" s="10" t="n"/>
      <c r="D24" s="10" t="n"/>
      <c r="E24" s="10" t="n"/>
      <c r="F24" s="10" t="n"/>
      <c r="G24" s="10" t="n"/>
      <c r="H24" s="10" t="n"/>
      <c r="I24" s="10" t="n"/>
      <c r="J24" s="10" t="n"/>
      <c r="K24" s="10" t="n"/>
      <c r="L24" s="10" t="n"/>
      <c r="M24" s="10" t="n"/>
      <c r="N24" s="10" t="n"/>
      <c r="O24" s="10" t="n"/>
      <c r="P24" s="10" t="n"/>
      <c r="Q24" s="10" t="n"/>
      <c r="R24" s="10" t="n"/>
    </row>
    <row r="25">
      <c r="A25" s="112" t="n">
        <v>1</v>
      </c>
      <c r="B25" s="111" t="inlineStr">
        <is>
          <t>Register CPT &amp; meta in inc/cpt-issues.php (REST enabled)</t>
        </is>
      </c>
    </row>
    <row r="26">
      <c r="A26" s="112" t="n">
        <v>2</v>
      </c>
      <c r="B26" s="110" t="inlineStr">
        <is>
          <t>Collect 48 PDFs + covers + manifest from client (started Day 1)</t>
        </is>
      </c>
    </row>
    <row r="27">
      <c r="A27" s="112" t="n">
        <v>3</v>
      </c>
      <c r="B27" s="111" t="inlineStr">
        <is>
          <t>Build CSV manifest and idempotent importer (WP-CLI or one-time admin tool)</t>
        </is>
      </c>
    </row>
    <row r="28">
      <c r="A28" s="112" t="n">
        <v>4</v>
      </c>
      <c r="B28" s="110" t="inlineStr">
        <is>
          <t>Optimize covers (WebP, sizes)</t>
        </is>
      </c>
    </row>
    <row r="29">
      <c r="A29" s="112" t="n">
        <v>5</v>
      </c>
      <c r="B29" s="111" t="inlineStr">
        <is>
          <t>Build archive-magazine_issue.php with year/decade filters</t>
        </is>
      </c>
    </row>
    <row r="30">
      <c r="A30" s="112" t="n">
        <v>6</v>
      </c>
      <c r="B30" s="110" t="inlineStr">
        <is>
          <t>Build single-magazine_issue.php</t>
        </is>
      </c>
    </row>
    <row r="31">
      <c r="A31" s="112" t="n">
        <v>7</v>
      </c>
      <c r="B31" s="111" t="inlineStr">
        <is>
          <t>Integrate self-hosted PDF.js flipbook, lazy-loaded</t>
        </is>
      </c>
    </row>
    <row r="32">
      <c r="A32" s="112" t="n">
        <v>8</v>
      </c>
      <c r="B32" s="110" t="inlineStr">
        <is>
          <t>Serve PDFs via authenticated endpoint; block direct /uploads access</t>
        </is>
      </c>
    </row>
    <row r="33">
      <c r="A33" s="112" t="n">
        <v>9</v>
      </c>
      <c r="B33" s="111" t="inlineStr">
        <is>
          <t>Wire access level to subscription tiers (P5-07)</t>
        </is>
      </c>
    </row>
    <row r="34">
      <c r="A34" s="112" t="n">
        <v>10</v>
      </c>
      <c r="B34" s="110" t="inlineStr">
        <is>
          <t>Verify 48/48 issues</t>
        </is>
      </c>
    </row>
    <row r="36" ht="22" customHeight="1">
      <c r="A36" s="9" t="inlineStr">
        <is>
          <t xml:space="preserve">  DETAILED TASK CHECKLIST   (live from Master Tracker — change Status / % there)</t>
        </is>
      </c>
      <c r="B36" s="10" t="n"/>
      <c r="C36" s="10" t="n"/>
      <c r="D36" s="10" t="n"/>
      <c r="E36" s="10" t="n"/>
      <c r="F36" s="10" t="n"/>
      <c r="G36" s="10" t="n"/>
      <c r="H36" s="10" t="n"/>
      <c r="I36" s="10" t="n"/>
      <c r="J36" s="10" t="n"/>
      <c r="K36" s="10" t="n"/>
      <c r="L36" s="10" t="n"/>
      <c r="M36" s="10" t="n"/>
      <c r="N36" s="10" t="n"/>
      <c r="O36" s="10" t="n"/>
      <c r="P36" s="10" t="n"/>
      <c r="Q36" s="10" t="n"/>
      <c r="R36" s="10" t="n"/>
    </row>
    <row r="37">
      <c r="A37" s="61" t="inlineStr">
        <is>
          <t>#</t>
        </is>
      </c>
      <c r="B37" s="61" t="inlineStr">
        <is>
          <t>Task ID</t>
        </is>
      </c>
      <c r="C37" s="61" t="inlineStr">
        <is>
          <t>Module</t>
        </is>
      </c>
      <c r="D37" s="61" t="inlineStr">
        <is>
          <t>Task</t>
        </is>
      </c>
      <c r="E37" s="61" t="inlineStr">
        <is>
          <t>Priority</t>
        </is>
      </c>
      <c r="F37" s="61" t="inlineStr">
        <is>
          <t>Status</t>
        </is>
      </c>
      <c r="G37" s="61" t="inlineStr">
        <is>
          <t>Start</t>
        </is>
      </c>
      <c r="H37" s="61" t="inlineStr">
        <is>
          <t>Due</t>
        </is>
      </c>
      <c r="I37" s="61" t="inlineStr">
        <is>
          <t>Complete</t>
        </is>
      </c>
      <c r="J37" s="61" t="inlineStr">
        <is>
          <t>Dependencies</t>
        </is>
      </c>
      <c r="K37" s="61" t="inlineStr">
        <is>
          <t>Dep. check</t>
        </is>
      </c>
      <c r="L37" s="61" t="inlineStr">
        <is>
          <t>WordPress files</t>
        </is>
      </c>
      <c r="M37" s="61" t="inlineStr">
        <is>
          <t>Acceptance criteria</t>
        </is>
      </c>
      <c r="N37" s="61" t="inlineStr">
        <is>
          <t>Testing checklist</t>
        </is>
      </c>
      <c r="O37" s="61" t="inlineStr">
        <is>
          <t>Test result</t>
        </is>
      </c>
      <c r="P37" s="61" t="inlineStr">
        <is>
          <t>Alert</t>
        </is>
      </c>
    </row>
    <row r="38" ht="48" customHeight="1">
      <c r="A38" s="53" t="n">
        <v>1</v>
      </c>
      <c r="B38" s="113">
        <f>IF($S38="","",IF(INDEX('Master Tracker'!$A$6:$A$400,$S38)="","",INDEX('Master Tracker'!$A$6:$A$400,$S38)))</f>
        <v/>
      </c>
      <c r="C38" s="114">
        <f>IF($S38="","",IF(INDEX('Master Tracker'!$C$6:$C$400,$S38)="","",INDEX('Master Tracker'!$C$6:$C$400,$S38)))</f>
        <v/>
      </c>
      <c r="D38" s="114">
        <f>IF($S38="","",IF(INDEX('Master Tracker'!$D$6:$D$400,$S38)="","",INDEX('Master Tracker'!$D$6:$D$400,$S38)))</f>
        <v/>
      </c>
      <c r="E38" s="53">
        <f>IF($S38="","",IF(INDEX('Master Tracker'!$F$6:$F$400,$S38)="","",INDEX('Master Tracker'!$F$6:$F$400,$S38)))</f>
        <v/>
      </c>
      <c r="F38" s="53">
        <f>IF($S38="","",IF(INDEX('Master Tracker'!$G$6:$G$400,$S38)="","",INDEX('Master Tracker'!$G$6:$G$400,$S38)))</f>
        <v/>
      </c>
      <c r="G38" s="70">
        <f>IF($S38="","",IF(INDEX('Master Tracker'!$H$6:$H$400,$S38)="","",INDEX('Master Tracker'!$H$6:$H$400,$S38)))</f>
        <v/>
      </c>
      <c r="H38" s="70">
        <f>IF($S38="","",IF(INDEX('Master Tracker'!$I$6:$I$400,$S38)="","",INDEX('Master Tracker'!$I$6:$I$400,$S38)))</f>
        <v/>
      </c>
      <c r="I38" s="115">
        <f>IF($S38="","",IF(INDEX('Master Tracker'!$U$6:$U$400,$S38)="","",INDEX('Master Tracker'!$U$6:$U$400,$S38)))</f>
        <v/>
      </c>
      <c r="J38" s="114">
        <f>IF($S38="","",IF(INDEX('Master Tracker'!$K$6:$K$400,$S38)="","",INDEX('Master Tracker'!$K$6:$K$400,$S38)))</f>
        <v/>
      </c>
      <c r="K38" s="114">
        <f>IF($S38="","",IF(INDEX('Master Tracker'!$Y$6:$Y$400,$S38)="","",INDEX('Master Tracker'!$Y$6:$Y$400,$S38)))</f>
        <v/>
      </c>
      <c r="L38" s="114">
        <f>IF($S38="","",IF(INDEX('Master Tracker'!$M$6:$M$400,$S38)="","",INDEX('Master Tracker'!$M$6:$M$400,$S38)))</f>
        <v/>
      </c>
      <c r="M38" s="114">
        <f>IF($S38="","",IF(INDEX('Master Tracker'!$O$6:$O$400,$S38)="","",INDEX('Master Tracker'!$O$6:$O$400,$S38)))</f>
        <v/>
      </c>
      <c r="N38" s="114">
        <f>IF($S38="","",IF(INDEX('Master Tracker'!$N$6:$N$400,$S38)="","",INDEX('Master Tracker'!$N$6:$N$400,$S38)))</f>
        <v/>
      </c>
      <c r="O38" s="53">
        <f>IF($S38="","",IF(INDEX('Master Tracker'!$T$6:$T$400,$S38)="","",INDEX('Master Tracker'!$T$6:$T$400,$S38)))</f>
        <v/>
      </c>
      <c r="P38" s="53">
        <f>IF($S38="","",IF(INDEX('Master Tracker'!$AC$6:$AC$400,$S38)="","",INDEX('Master Tracker'!$AC$6:$AC$400,$S38)))</f>
        <v/>
      </c>
      <c r="S38">
        <f>IFERROR(MATCH("Phase 4|"&amp;A38,'Master Tracker'!$Z$6:$Z$400,0),"")</f>
        <v/>
      </c>
    </row>
    <row r="39" ht="48" customHeight="1">
      <c r="A39" s="53" t="n">
        <v>2</v>
      </c>
      <c r="B39" s="113">
        <f>IF($S39="","",IF(INDEX('Master Tracker'!$A$6:$A$400,$S39)="","",INDEX('Master Tracker'!$A$6:$A$400,$S39)))</f>
        <v/>
      </c>
      <c r="C39" s="114">
        <f>IF($S39="","",IF(INDEX('Master Tracker'!$C$6:$C$400,$S39)="","",INDEX('Master Tracker'!$C$6:$C$400,$S39)))</f>
        <v/>
      </c>
      <c r="D39" s="114">
        <f>IF($S39="","",IF(INDEX('Master Tracker'!$D$6:$D$400,$S39)="","",INDEX('Master Tracker'!$D$6:$D$400,$S39)))</f>
        <v/>
      </c>
      <c r="E39" s="53">
        <f>IF($S39="","",IF(INDEX('Master Tracker'!$F$6:$F$400,$S39)="","",INDEX('Master Tracker'!$F$6:$F$400,$S39)))</f>
        <v/>
      </c>
      <c r="F39" s="53">
        <f>IF($S39="","",IF(INDEX('Master Tracker'!$G$6:$G$400,$S39)="","",INDEX('Master Tracker'!$G$6:$G$400,$S39)))</f>
        <v/>
      </c>
      <c r="G39" s="70">
        <f>IF($S39="","",IF(INDEX('Master Tracker'!$H$6:$H$400,$S39)="","",INDEX('Master Tracker'!$H$6:$H$400,$S39)))</f>
        <v/>
      </c>
      <c r="H39" s="70">
        <f>IF($S39="","",IF(INDEX('Master Tracker'!$I$6:$I$400,$S39)="","",INDEX('Master Tracker'!$I$6:$I$400,$S39)))</f>
        <v/>
      </c>
      <c r="I39" s="115">
        <f>IF($S39="","",IF(INDEX('Master Tracker'!$U$6:$U$400,$S39)="","",INDEX('Master Tracker'!$U$6:$U$400,$S39)))</f>
        <v/>
      </c>
      <c r="J39" s="114">
        <f>IF($S39="","",IF(INDEX('Master Tracker'!$K$6:$K$400,$S39)="","",INDEX('Master Tracker'!$K$6:$K$400,$S39)))</f>
        <v/>
      </c>
      <c r="K39" s="114">
        <f>IF($S39="","",IF(INDEX('Master Tracker'!$Y$6:$Y$400,$S39)="","",INDEX('Master Tracker'!$Y$6:$Y$400,$S39)))</f>
        <v/>
      </c>
      <c r="L39" s="114">
        <f>IF($S39="","",IF(INDEX('Master Tracker'!$M$6:$M$400,$S39)="","",INDEX('Master Tracker'!$M$6:$M$400,$S39)))</f>
        <v/>
      </c>
      <c r="M39" s="114">
        <f>IF($S39="","",IF(INDEX('Master Tracker'!$O$6:$O$400,$S39)="","",INDEX('Master Tracker'!$O$6:$O$400,$S39)))</f>
        <v/>
      </c>
      <c r="N39" s="114">
        <f>IF($S39="","",IF(INDEX('Master Tracker'!$N$6:$N$400,$S39)="","",INDEX('Master Tracker'!$N$6:$N$400,$S39)))</f>
        <v/>
      </c>
      <c r="O39" s="53">
        <f>IF($S39="","",IF(INDEX('Master Tracker'!$T$6:$T$400,$S39)="","",INDEX('Master Tracker'!$T$6:$T$400,$S39)))</f>
        <v/>
      </c>
      <c r="P39" s="53">
        <f>IF($S39="","",IF(INDEX('Master Tracker'!$AC$6:$AC$400,$S39)="","",INDEX('Master Tracker'!$AC$6:$AC$400,$S39)))</f>
        <v/>
      </c>
      <c r="S39">
        <f>IFERROR(MATCH("Phase 4|"&amp;A39,'Master Tracker'!$Z$6:$Z$400,0),"")</f>
        <v/>
      </c>
    </row>
    <row r="40" ht="48" customHeight="1">
      <c r="A40" s="53" t="n">
        <v>3</v>
      </c>
      <c r="B40" s="113">
        <f>IF($S40="","",IF(INDEX('Master Tracker'!$A$6:$A$400,$S40)="","",INDEX('Master Tracker'!$A$6:$A$400,$S40)))</f>
        <v/>
      </c>
      <c r="C40" s="114">
        <f>IF($S40="","",IF(INDEX('Master Tracker'!$C$6:$C$400,$S40)="","",INDEX('Master Tracker'!$C$6:$C$400,$S40)))</f>
        <v/>
      </c>
      <c r="D40" s="114">
        <f>IF($S40="","",IF(INDEX('Master Tracker'!$D$6:$D$400,$S40)="","",INDEX('Master Tracker'!$D$6:$D$400,$S40)))</f>
        <v/>
      </c>
      <c r="E40" s="53">
        <f>IF($S40="","",IF(INDEX('Master Tracker'!$F$6:$F$400,$S40)="","",INDEX('Master Tracker'!$F$6:$F$400,$S40)))</f>
        <v/>
      </c>
      <c r="F40" s="53">
        <f>IF($S40="","",IF(INDEX('Master Tracker'!$G$6:$G$400,$S40)="","",INDEX('Master Tracker'!$G$6:$G$400,$S40)))</f>
        <v/>
      </c>
      <c r="G40" s="70">
        <f>IF($S40="","",IF(INDEX('Master Tracker'!$H$6:$H$400,$S40)="","",INDEX('Master Tracker'!$H$6:$H$400,$S40)))</f>
        <v/>
      </c>
      <c r="H40" s="70">
        <f>IF($S40="","",IF(INDEX('Master Tracker'!$I$6:$I$400,$S40)="","",INDEX('Master Tracker'!$I$6:$I$400,$S40)))</f>
        <v/>
      </c>
      <c r="I40" s="115">
        <f>IF($S40="","",IF(INDEX('Master Tracker'!$U$6:$U$400,$S40)="","",INDEX('Master Tracker'!$U$6:$U$400,$S40)))</f>
        <v/>
      </c>
      <c r="J40" s="114">
        <f>IF($S40="","",IF(INDEX('Master Tracker'!$K$6:$K$400,$S40)="","",INDEX('Master Tracker'!$K$6:$K$400,$S40)))</f>
        <v/>
      </c>
      <c r="K40" s="114">
        <f>IF($S40="","",IF(INDEX('Master Tracker'!$Y$6:$Y$400,$S40)="","",INDEX('Master Tracker'!$Y$6:$Y$400,$S40)))</f>
        <v/>
      </c>
      <c r="L40" s="114">
        <f>IF($S40="","",IF(INDEX('Master Tracker'!$M$6:$M$400,$S40)="","",INDEX('Master Tracker'!$M$6:$M$400,$S40)))</f>
        <v/>
      </c>
      <c r="M40" s="114">
        <f>IF($S40="","",IF(INDEX('Master Tracker'!$O$6:$O$400,$S40)="","",INDEX('Master Tracker'!$O$6:$O$400,$S40)))</f>
        <v/>
      </c>
      <c r="N40" s="114">
        <f>IF($S40="","",IF(INDEX('Master Tracker'!$N$6:$N$400,$S40)="","",INDEX('Master Tracker'!$N$6:$N$400,$S40)))</f>
        <v/>
      </c>
      <c r="O40" s="53">
        <f>IF($S40="","",IF(INDEX('Master Tracker'!$T$6:$T$400,$S40)="","",INDEX('Master Tracker'!$T$6:$T$400,$S40)))</f>
        <v/>
      </c>
      <c r="P40" s="53">
        <f>IF($S40="","",IF(INDEX('Master Tracker'!$AC$6:$AC$400,$S40)="","",INDEX('Master Tracker'!$AC$6:$AC$400,$S40)))</f>
        <v/>
      </c>
      <c r="S40">
        <f>IFERROR(MATCH("Phase 4|"&amp;A40,'Master Tracker'!$Z$6:$Z$400,0),"")</f>
        <v/>
      </c>
    </row>
    <row r="41" ht="48" customHeight="1">
      <c r="A41" s="53" t="n">
        <v>4</v>
      </c>
      <c r="B41" s="113">
        <f>IF($S41="","",IF(INDEX('Master Tracker'!$A$6:$A$400,$S41)="","",INDEX('Master Tracker'!$A$6:$A$400,$S41)))</f>
        <v/>
      </c>
      <c r="C41" s="114">
        <f>IF($S41="","",IF(INDEX('Master Tracker'!$C$6:$C$400,$S41)="","",INDEX('Master Tracker'!$C$6:$C$400,$S41)))</f>
        <v/>
      </c>
      <c r="D41" s="114">
        <f>IF($S41="","",IF(INDEX('Master Tracker'!$D$6:$D$400,$S41)="","",INDEX('Master Tracker'!$D$6:$D$400,$S41)))</f>
        <v/>
      </c>
      <c r="E41" s="53">
        <f>IF($S41="","",IF(INDEX('Master Tracker'!$F$6:$F$400,$S41)="","",INDEX('Master Tracker'!$F$6:$F$400,$S41)))</f>
        <v/>
      </c>
      <c r="F41" s="53">
        <f>IF($S41="","",IF(INDEX('Master Tracker'!$G$6:$G$400,$S41)="","",INDEX('Master Tracker'!$G$6:$G$400,$S41)))</f>
        <v/>
      </c>
      <c r="G41" s="70">
        <f>IF($S41="","",IF(INDEX('Master Tracker'!$H$6:$H$400,$S41)="","",INDEX('Master Tracker'!$H$6:$H$400,$S41)))</f>
        <v/>
      </c>
      <c r="H41" s="70">
        <f>IF($S41="","",IF(INDEX('Master Tracker'!$I$6:$I$400,$S41)="","",INDEX('Master Tracker'!$I$6:$I$400,$S41)))</f>
        <v/>
      </c>
      <c r="I41" s="115">
        <f>IF($S41="","",IF(INDEX('Master Tracker'!$U$6:$U$400,$S41)="","",INDEX('Master Tracker'!$U$6:$U$400,$S41)))</f>
        <v/>
      </c>
      <c r="J41" s="114">
        <f>IF($S41="","",IF(INDEX('Master Tracker'!$K$6:$K$400,$S41)="","",INDEX('Master Tracker'!$K$6:$K$400,$S41)))</f>
        <v/>
      </c>
      <c r="K41" s="114">
        <f>IF($S41="","",IF(INDEX('Master Tracker'!$Y$6:$Y$400,$S41)="","",INDEX('Master Tracker'!$Y$6:$Y$400,$S41)))</f>
        <v/>
      </c>
      <c r="L41" s="114">
        <f>IF($S41="","",IF(INDEX('Master Tracker'!$M$6:$M$400,$S41)="","",INDEX('Master Tracker'!$M$6:$M$400,$S41)))</f>
        <v/>
      </c>
      <c r="M41" s="114">
        <f>IF($S41="","",IF(INDEX('Master Tracker'!$O$6:$O$400,$S41)="","",INDEX('Master Tracker'!$O$6:$O$400,$S41)))</f>
        <v/>
      </c>
      <c r="N41" s="114">
        <f>IF($S41="","",IF(INDEX('Master Tracker'!$N$6:$N$400,$S41)="","",INDEX('Master Tracker'!$N$6:$N$400,$S41)))</f>
        <v/>
      </c>
      <c r="O41" s="53">
        <f>IF($S41="","",IF(INDEX('Master Tracker'!$T$6:$T$400,$S41)="","",INDEX('Master Tracker'!$T$6:$T$400,$S41)))</f>
        <v/>
      </c>
      <c r="P41" s="53">
        <f>IF($S41="","",IF(INDEX('Master Tracker'!$AC$6:$AC$400,$S41)="","",INDEX('Master Tracker'!$AC$6:$AC$400,$S41)))</f>
        <v/>
      </c>
      <c r="S41">
        <f>IFERROR(MATCH("Phase 4|"&amp;A41,'Master Tracker'!$Z$6:$Z$400,0),"")</f>
        <v/>
      </c>
    </row>
    <row r="42" ht="48" customHeight="1">
      <c r="A42" s="53" t="n">
        <v>5</v>
      </c>
      <c r="B42" s="113">
        <f>IF($S42="","",IF(INDEX('Master Tracker'!$A$6:$A$400,$S42)="","",INDEX('Master Tracker'!$A$6:$A$400,$S42)))</f>
        <v/>
      </c>
      <c r="C42" s="114">
        <f>IF($S42="","",IF(INDEX('Master Tracker'!$C$6:$C$400,$S42)="","",INDEX('Master Tracker'!$C$6:$C$400,$S42)))</f>
        <v/>
      </c>
      <c r="D42" s="114">
        <f>IF($S42="","",IF(INDEX('Master Tracker'!$D$6:$D$400,$S42)="","",INDEX('Master Tracker'!$D$6:$D$400,$S42)))</f>
        <v/>
      </c>
      <c r="E42" s="53">
        <f>IF($S42="","",IF(INDEX('Master Tracker'!$F$6:$F$400,$S42)="","",INDEX('Master Tracker'!$F$6:$F$400,$S42)))</f>
        <v/>
      </c>
      <c r="F42" s="53">
        <f>IF($S42="","",IF(INDEX('Master Tracker'!$G$6:$G$400,$S42)="","",INDEX('Master Tracker'!$G$6:$G$400,$S42)))</f>
        <v/>
      </c>
      <c r="G42" s="70">
        <f>IF($S42="","",IF(INDEX('Master Tracker'!$H$6:$H$400,$S42)="","",INDEX('Master Tracker'!$H$6:$H$400,$S42)))</f>
        <v/>
      </c>
      <c r="H42" s="70">
        <f>IF($S42="","",IF(INDEX('Master Tracker'!$I$6:$I$400,$S42)="","",INDEX('Master Tracker'!$I$6:$I$400,$S42)))</f>
        <v/>
      </c>
      <c r="I42" s="115">
        <f>IF($S42="","",IF(INDEX('Master Tracker'!$U$6:$U$400,$S42)="","",INDEX('Master Tracker'!$U$6:$U$400,$S42)))</f>
        <v/>
      </c>
      <c r="J42" s="114">
        <f>IF($S42="","",IF(INDEX('Master Tracker'!$K$6:$K$400,$S42)="","",INDEX('Master Tracker'!$K$6:$K$400,$S42)))</f>
        <v/>
      </c>
      <c r="K42" s="114">
        <f>IF($S42="","",IF(INDEX('Master Tracker'!$Y$6:$Y$400,$S42)="","",INDEX('Master Tracker'!$Y$6:$Y$400,$S42)))</f>
        <v/>
      </c>
      <c r="L42" s="114">
        <f>IF($S42="","",IF(INDEX('Master Tracker'!$M$6:$M$400,$S42)="","",INDEX('Master Tracker'!$M$6:$M$400,$S42)))</f>
        <v/>
      </c>
      <c r="M42" s="114">
        <f>IF($S42="","",IF(INDEX('Master Tracker'!$O$6:$O$400,$S42)="","",INDEX('Master Tracker'!$O$6:$O$400,$S42)))</f>
        <v/>
      </c>
      <c r="N42" s="114">
        <f>IF($S42="","",IF(INDEX('Master Tracker'!$N$6:$N$400,$S42)="","",INDEX('Master Tracker'!$N$6:$N$400,$S42)))</f>
        <v/>
      </c>
      <c r="O42" s="53">
        <f>IF($S42="","",IF(INDEX('Master Tracker'!$T$6:$T$400,$S42)="","",INDEX('Master Tracker'!$T$6:$T$400,$S42)))</f>
        <v/>
      </c>
      <c r="P42" s="53">
        <f>IF($S42="","",IF(INDEX('Master Tracker'!$AC$6:$AC$400,$S42)="","",INDEX('Master Tracker'!$AC$6:$AC$400,$S42)))</f>
        <v/>
      </c>
      <c r="S42">
        <f>IFERROR(MATCH("Phase 4|"&amp;A42,'Master Tracker'!$Z$6:$Z$400,0),"")</f>
        <v/>
      </c>
    </row>
    <row r="43" ht="48" customHeight="1">
      <c r="A43" s="53" t="n">
        <v>6</v>
      </c>
      <c r="B43" s="113">
        <f>IF($S43="","",IF(INDEX('Master Tracker'!$A$6:$A$400,$S43)="","",INDEX('Master Tracker'!$A$6:$A$400,$S43)))</f>
        <v/>
      </c>
      <c r="C43" s="114">
        <f>IF($S43="","",IF(INDEX('Master Tracker'!$C$6:$C$400,$S43)="","",INDEX('Master Tracker'!$C$6:$C$400,$S43)))</f>
        <v/>
      </c>
      <c r="D43" s="114">
        <f>IF($S43="","",IF(INDEX('Master Tracker'!$D$6:$D$400,$S43)="","",INDEX('Master Tracker'!$D$6:$D$400,$S43)))</f>
        <v/>
      </c>
      <c r="E43" s="53">
        <f>IF($S43="","",IF(INDEX('Master Tracker'!$F$6:$F$400,$S43)="","",INDEX('Master Tracker'!$F$6:$F$400,$S43)))</f>
        <v/>
      </c>
      <c r="F43" s="53">
        <f>IF($S43="","",IF(INDEX('Master Tracker'!$G$6:$G$400,$S43)="","",INDEX('Master Tracker'!$G$6:$G$400,$S43)))</f>
        <v/>
      </c>
      <c r="G43" s="70">
        <f>IF($S43="","",IF(INDEX('Master Tracker'!$H$6:$H$400,$S43)="","",INDEX('Master Tracker'!$H$6:$H$400,$S43)))</f>
        <v/>
      </c>
      <c r="H43" s="70">
        <f>IF($S43="","",IF(INDEX('Master Tracker'!$I$6:$I$400,$S43)="","",INDEX('Master Tracker'!$I$6:$I$400,$S43)))</f>
        <v/>
      </c>
      <c r="I43" s="115">
        <f>IF($S43="","",IF(INDEX('Master Tracker'!$U$6:$U$400,$S43)="","",INDEX('Master Tracker'!$U$6:$U$400,$S43)))</f>
        <v/>
      </c>
      <c r="J43" s="114">
        <f>IF($S43="","",IF(INDEX('Master Tracker'!$K$6:$K$400,$S43)="","",INDEX('Master Tracker'!$K$6:$K$400,$S43)))</f>
        <v/>
      </c>
      <c r="K43" s="114">
        <f>IF($S43="","",IF(INDEX('Master Tracker'!$Y$6:$Y$400,$S43)="","",INDEX('Master Tracker'!$Y$6:$Y$400,$S43)))</f>
        <v/>
      </c>
      <c r="L43" s="114">
        <f>IF($S43="","",IF(INDEX('Master Tracker'!$M$6:$M$400,$S43)="","",INDEX('Master Tracker'!$M$6:$M$400,$S43)))</f>
        <v/>
      </c>
      <c r="M43" s="114">
        <f>IF($S43="","",IF(INDEX('Master Tracker'!$O$6:$O$400,$S43)="","",INDEX('Master Tracker'!$O$6:$O$400,$S43)))</f>
        <v/>
      </c>
      <c r="N43" s="114">
        <f>IF($S43="","",IF(INDEX('Master Tracker'!$N$6:$N$400,$S43)="","",INDEX('Master Tracker'!$N$6:$N$400,$S43)))</f>
        <v/>
      </c>
      <c r="O43" s="53">
        <f>IF($S43="","",IF(INDEX('Master Tracker'!$T$6:$T$400,$S43)="","",INDEX('Master Tracker'!$T$6:$T$400,$S43)))</f>
        <v/>
      </c>
      <c r="P43" s="53">
        <f>IF($S43="","",IF(INDEX('Master Tracker'!$AC$6:$AC$400,$S43)="","",INDEX('Master Tracker'!$AC$6:$AC$400,$S43)))</f>
        <v/>
      </c>
      <c r="S43">
        <f>IFERROR(MATCH("Phase 4|"&amp;A43,'Master Tracker'!$Z$6:$Z$400,0),"")</f>
        <v/>
      </c>
    </row>
    <row r="44" ht="48" customHeight="1">
      <c r="A44" s="53" t="n">
        <v>7</v>
      </c>
      <c r="B44" s="113">
        <f>IF($S44="","",IF(INDEX('Master Tracker'!$A$6:$A$400,$S44)="","",INDEX('Master Tracker'!$A$6:$A$400,$S44)))</f>
        <v/>
      </c>
      <c r="C44" s="114">
        <f>IF($S44="","",IF(INDEX('Master Tracker'!$C$6:$C$400,$S44)="","",INDEX('Master Tracker'!$C$6:$C$400,$S44)))</f>
        <v/>
      </c>
      <c r="D44" s="114">
        <f>IF($S44="","",IF(INDEX('Master Tracker'!$D$6:$D$400,$S44)="","",INDEX('Master Tracker'!$D$6:$D$400,$S44)))</f>
        <v/>
      </c>
      <c r="E44" s="53">
        <f>IF($S44="","",IF(INDEX('Master Tracker'!$F$6:$F$400,$S44)="","",INDEX('Master Tracker'!$F$6:$F$400,$S44)))</f>
        <v/>
      </c>
      <c r="F44" s="53">
        <f>IF($S44="","",IF(INDEX('Master Tracker'!$G$6:$G$400,$S44)="","",INDEX('Master Tracker'!$G$6:$G$400,$S44)))</f>
        <v/>
      </c>
      <c r="G44" s="70">
        <f>IF($S44="","",IF(INDEX('Master Tracker'!$H$6:$H$400,$S44)="","",INDEX('Master Tracker'!$H$6:$H$400,$S44)))</f>
        <v/>
      </c>
      <c r="H44" s="70">
        <f>IF($S44="","",IF(INDEX('Master Tracker'!$I$6:$I$400,$S44)="","",INDEX('Master Tracker'!$I$6:$I$400,$S44)))</f>
        <v/>
      </c>
      <c r="I44" s="115">
        <f>IF($S44="","",IF(INDEX('Master Tracker'!$U$6:$U$400,$S44)="","",INDEX('Master Tracker'!$U$6:$U$400,$S44)))</f>
        <v/>
      </c>
      <c r="J44" s="114">
        <f>IF($S44="","",IF(INDEX('Master Tracker'!$K$6:$K$400,$S44)="","",INDEX('Master Tracker'!$K$6:$K$400,$S44)))</f>
        <v/>
      </c>
      <c r="K44" s="114">
        <f>IF($S44="","",IF(INDEX('Master Tracker'!$Y$6:$Y$400,$S44)="","",INDEX('Master Tracker'!$Y$6:$Y$400,$S44)))</f>
        <v/>
      </c>
      <c r="L44" s="114">
        <f>IF($S44="","",IF(INDEX('Master Tracker'!$M$6:$M$400,$S44)="","",INDEX('Master Tracker'!$M$6:$M$400,$S44)))</f>
        <v/>
      </c>
      <c r="M44" s="114">
        <f>IF($S44="","",IF(INDEX('Master Tracker'!$O$6:$O$400,$S44)="","",INDEX('Master Tracker'!$O$6:$O$400,$S44)))</f>
        <v/>
      </c>
      <c r="N44" s="114">
        <f>IF($S44="","",IF(INDEX('Master Tracker'!$N$6:$N$400,$S44)="","",INDEX('Master Tracker'!$N$6:$N$400,$S44)))</f>
        <v/>
      </c>
      <c r="O44" s="53">
        <f>IF($S44="","",IF(INDEX('Master Tracker'!$T$6:$T$400,$S44)="","",INDEX('Master Tracker'!$T$6:$T$400,$S44)))</f>
        <v/>
      </c>
      <c r="P44" s="53">
        <f>IF($S44="","",IF(INDEX('Master Tracker'!$AC$6:$AC$400,$S44)="","",INDEX('Master Tracker'!$AC$6:$AC$400,$S44)))</f>
        <v/>
      </c>
      <c r="S44">
        <f>IFERROR(MATCH("Phase 4|"&amp;A44,'Master Tracker'!$Z$6:$Z$400,0),"")</f>
        <v/>
      </c>
    </row>
    <row r="45" ht="48" customHeight="1">
      <c r="A45" s="53" t="n">
        <v>8</v>
      </c>
      <c r="B45" s="113">
        <f>IF($S45="","",IF(INDEX('Master Tracker'!$A$6:$A$400,$S45)="","",INDEX('Master Tracker'!$A$6:$A$400,$S45)))</f>
        <v/>
      </c>
      <c r="C45" s="114">
        <f>IF($S45="","",IF(INDEX('Master Tracker'!$C$6:$C$400,$S45)="","",INDEX('Master Tracker'!$C$6:$C$400,$S45)))</f>
        <v/>
      </c>
      <c r="D45" s="114">
        <f>IF($S45="","",IF(INDEX('Master Tracker'!$D$6:$D$400,$S45)="","",INDEX('Master Tracker'!$D$6:$D$400,$S45)))</f>
        <v/>
      </c>
      <c r="E45" s="53">
        <f>IF($S45="","",IF(INDEX('Master Tracker'!$F$6:$F$400,$S45)="","",INDEX('Master Tracker'!$F$6:$F$400,$S45)))</f>
        <v/>
      </c>
      <c r="F45" s="53">
        <f>IF($S45="","",IF(INDEX('Master Tracker'!$G$6:$G$400,$S45)="","",INDEX('Master Tracker'!$G$6:$G$400,$S45)))</f>
        <v/>
      </c>
      <c r="G45" s="70">
        <f>IF($S45="","",IF(INDEX('Master Tracker'!$H$6:$H$400,$S45)="","",INDEX('Master Tracker'!$H$6:$H$400,$S45)))</f>
        <v/>
      </c>
      <c r="H45" s="70">
        <f>IF($S45="","",IF(INDEX('Master Tracker'!$I$6:$I$400,$S45)="","",INDEX('Master Tracker'!$I$6:$I$400,$S45)))</f>
        <v/>
      </c>
      <c r="I45" s="115">
        <f>IF($S45="","",IF(INDEX('Master Tracker'!$U$6:$U$400,$S45)="","",INDEX('Master Tracker'!$U$6:$U$400,$S45)))</f>
        <v/>
      </c>
      <c r="J45" s="114">
        <f>IF($S45="","",IF(INDEX('Master Tracker'!$K$6:$K$400,$S45)="","",INDEX('Master Tracker'!$K$6:$K$400,$S45)))</f>
        <v/>
      </c>
      <c r="K45" s="114">
        <f>IF($S45="","",IF(INDEX('Master Tracker'!$Y$6:$Y$400,$S45)="","",INDEX('Master Tracker'!$Y$6:$Y$400,$S45)))</f>
        <v/>
      </c>
      <c r="L45" s="114">
        <f>IF($S45="","",IF(INDEX('Master Tracker'!$M$6:$M$400,$S45)="","",INDEX('Master Tracker'!$M$6:$M$400,$S45)))</f>
        <v/>
      </c>
      <c r="M45" s="114">
        <f>IF($S45="","",IF(INDEX('Master Tracker'!$O$6:$O$400,$S45)="","",INDEX('Master Tracker'!$O$6:$O$400,$S45)))</f>
        <v/>
      </c>
      <c r="N45" s="114">
        <f>IF($S45="","",IF(INDEX('Master Tracker'!$N$6:$N$400,$S45)="","",INDEX('Master Tracker'!$N$6:$N$400,$S45)))</f>
        <v/>
      </c>
      <c r="O45" s="53">
        <f>IF($S45="","",IF(INDEX('Master Tracker'!$T$6:$T$400,$S45)="","",INDEX('Master Tracker'!$T$6:$T$400,$S45)))</f>
        <v/>
      </c>
      <c r="P45" s="53">
        <f>IF($S45="","",IF(INDEX('Master Tracker'!$AC$6:$AC$400,$S45)="","",INDEX('Master Tracker'!$AC$6:$AC$400,$S45)))</f>
        <v/>
      </c>
      <c r="S45">
        <f>IFERROR(MATCH("Phase 4|"&amp;A45,'Master Tracker'!$Z$6:$Z$400,0),"")</f>
        <v/>
      </c>
    </row>
    <row r="46" ht="48" customHeight="1">
      <c r="A46" s="53" t="n">
        <v>9</v>
      </c>
      <c r="B46" s="113">
        <f>IF($S46="","",IF(INDEX('Master Tracker'!$A$6:$A$400,$S46)="","",INDEX('Master Tracker'!$A$6:$A$400,$S46)))</f>
        <v/>
      </c>
      <c r="C46" s="114">
        <f>IF($S46="","",IF(INDEX('Master Tracker'!$C$6:$C$400,$S46)="","",INDEX('Master Tracker'!$C$6:$C$400,$S46)))</f>
        <v/>
      </c>
      <c r="D46" s="114">
        <f>IF($S46="","",IF(INDEX('Master Tracker'!$D$6:$D$400,$S46)="","",INDEX('Master Tracker'!$D$6:$D$400,$S46)))</f>
        <v/>
      </c>
      <c r="E46" s="53">
        <f>IF($S46="","",IF(INDEX('Master Tracker'!$F$6:$F$400,$S46)="","",INDEX('Master Tracker'!$F$6:$F$400,$S46)))</f>
        <v/>
      </c>
      <c r="F46" s="53">
        <f>IF($S46="","",IF(INDEX('Master Tracker'!$G$6:$G$400,$S46)="","",INDEX('Master Tracker'!$G$6:$G$400,$S46)))</f>
        <v/>
      </c>
      <c r="G46" s="70">
        <f>IF($S46="","",IF(INDEX('Master Tracker'!$H$6:$H$400,$S46)="","",INDEX('Master Tracker'!$H$6:$H$400,$S46)))</f>
        <v/>
      </c>
      <c r="H46" s="70">
        <f>IF($S46="","",IF(INDEX('Master Tracker'!$I$6:$I$400,$S46)="","",INDEX('Master Tracker'!$I$6:$I$400,$S46)))</f>
        <v/>
      </c>
      <c r="I46" s="115">
        <f>IF($S46="","",IF(INDEX('Master Tracker'!$U$6:$U$400,$S46)="","",INDEX('Master Tracker'!$U$6:$U$400,$S46)))</f>
        <v/>
      </c>
      <c r="J46" s="114">
        <f>IF($S46="","",IF(INDEX('Master Tracker'!$K$6:$K$400,$S46)="","",INDEX('Master Tracker'!$K$6:$K$400,$S46)))</f>
        <v/>
      </c>
      <c r="K46" s="114">
        <f>IF($S46="","",IF(INDEX('Master Tracker'!$Y$6:$Y$400,$S46)="","",INDEX('Master Tracker'!$Y$6:$Y$400,$S46)))</f>
        <v/>
      </c>
      <c r="L46" s="114">
        <f>IF($S46="","",IF(INDEX('Master Tracker'!$M$6:$M$400,$S46)="","",INDEX('Master Tracker'!$M$6:$M$400,$S46)))</f>
        <v/>
      </c>
      <c r="M46" s="114">
        <f>IF($S46="","",IF(INDEX('Master Tracker'!$O$6:$O$400,$S46)="","",INDEX('Master Tracker'!$O$6:$O$400,$S46)))</f>
        <v/>
      </c>
      <c r="N46" s="114">
        <f>IF($S46="","",IF(INDEX('Master Tracker'!$N$6:$N$400,$S46)="","",INDEX('Master Tracker'!$N$6:$N$400,$S46)))</f>
        <v/>
      </c>
      <c r="O46" s="53">
        <f>IF($S46="","",IF(INDEX('Master Tracker'!$T$6:$T$400,$S46)="","",INDEX('Master Tracker'!$T$6:$T$400,$S46)))</f>
        <v/>
      </c>
      <c r="P46" s="53">
        <f>IF($S46="","",IF(INDEX('Master Tracker'!$AC$6:$AC$400,$S46)="","",INDEX('Master Tracker'!$AC$6:$AC$400,$S46)))</f>
        <v/>
      </c>
      <c r="S46">
        <f>IFERROR(MATCH("Phase 4|"&amp;A46,'Master Tracker'!$Z$6:$Z$400,0),"")</f>
        <v/>
      </c>
    </row>
    <row r="47" ht="48" customHeight="1">
      <c r="A47" s="53" t="n">
        <v>10</v>
      </c>
      <c r="B47" s="113">
        <f>IF($S47="","",IF(INDEX('Master Tracker'!$A$6:$A$400,$S47)="","",INDEX('Master Tracker'!$A$6:$A$400,$S47)))</f>
        <v/>
      </c>
      <c r="C47" s="114">
        <f>IF($S47="","",IF(INDEX('Master Tracker'!$C$6:$C$400,$S47)="","",INDEX('Master Tracker'!$C$6:$C$400,$S47)))</f>
        <v/>
      </c>
      <c r="D47" s="114">
        <f>IF($S47="","",IF(INDEX('Master Tracker'!$D$6:$D$400,$S47)="","",INDEX('Master Tracker'!$D$6:$D$400,$S47)))</f>
        <v/>
      </c>
      <c r="E47" s="53">
        <f>IF($S47="","",IF(INDEX('Master Tracker'!$F$6:$F$400,$S47)="","",INDEX('Master Tracker'!$F$6:$F$400,$S47)))</f>
        <v/>
      </c>
      <c r="F47" s="53">
        <f>IF($S47="","",IF(INDEX('Master Tracker'!$G$6:$G$400,$S47)="","",INDEX('Master Tracker'!$G$6:$G$400,$S47)))</f>
        <v/>
      </c>
      <c r="G47" s="70">
        <f>IF($S47="","",IF(INDEX('Master Tracker'!$H$6:$H$400,$S47)="","",INDEX('Master Tracker'!$H$6:$H$400,$S47)))</f>
        <v/>
      </c>
      <c r="H47" s="70">
        <f>IF($S47="","",IF(INDEX('Master Tracker'!$I$6:$I$400,$S47)="","",INDEX('Master Tracker'!$I$6:$I$400,$S47)))</f>
        <v/>
      </c>
      <c r="I47" s="115">
        <f>IF($S47="","",IF(INDEX('Master Tracker'!$U$6:$U$400,$S47)="","",INDEX('Master Tracker'!$U$6:$U$400,$S47)))</f>
        <v/>
      </c>
      <c r="J47" s="114">
        <f>IF($S47="","",IF(INDEX('Master Tracker'!$K$6:$K$400,$S47)="","",INDEX('Master Tracker'!$K$6:$K$400,$S47)))</f>
        <v/>
      </c>
      <c r="K47" s="114">
        <f>IF($S47="","",IF(INDEX('Master Tracker'!$Y$6:$Y$400,$S47)="","",INDEX('Master Tracker'!$Y$6:$Y$400,$S47)))</f>
        <v/>
      </c>
      <c r="L47" s="114">
        <f>IF($S47="","",IF(INDEX('Master Tracker'!$M$6:$M$400,$S47)="","",INDEX('Master Tracker'!$M$6:$M$400,$S47)))</f>
        <v/>
      </c>
      <c r="M47" s="114">
        <f>IF($S47="","",IF(INDEX('Master Tracker'!$O$6:$O$400,$S47)="","",INDEX('Master Tracker'!$O$6:$O$400,$S47)))</f>
        <v/>
      </c>
      <c r="N47" s="114">
        <f>IF($S47="","",IF(INDEX('Master Tracker'!$N$6:$N$400,$S47)="","",INDEX('Master Tracker'!$N$6:$N$400,$S47)))</f>
        <v/>
      </c>
      <c r="O47" s="53">
        <f>IF($S47="","",IF(INDEX('Master Tracker'!$T$6:$T$400,$S47)="","",INDEX('Master Tracker'!$T$6:$T$400,$S47)))</f>
        <v/>
      </c>
      <c r="P47" s="53">
        <f>IF($S47="","",IF(INDEX('Master Tracker'!$AC$6:$AC$400,$S47)="","",INDEX('Master Tracker'!$AC$6:$AC$400,$S47)))</f>
        <v/>
      </c>
      <c r="S47">
        <f>IFERROR(MATCH("Phase 4|"&amp;A47,'Master Tracker'!$Z$6:$Z$400,0),"")</f>
        <v/>
      </c>
    </row>
    <row r="48" ht="48" customHeight="1">
      <c r="A48" s="53" t="n">
        <v>11</v>
      </c>
      <c r="B48" s="113">
        <f>IF($S48="","",IF(INDEX('Master Tracker'!$A$6:$A$400,$S48)="","",INDEX('Master Tracker'!$A$6:$A$400,$S48)))</f>
        <v/>
      </c>
      <c r="C48" s="114">
        <f>IF($S48="","",IF(INDEX('Master Tracker'!$C$6:$C$400,$S48)="","",INDEX('Master Tracker'!$C$6:$C$400,$S48)))</f>
        <v/>
      </c>
      <c r="D48" s="114">
        <f>IF($S48="","",IF(INDEX('Master Tracker'!$D$6:$D$400,$S48)="","",INDEX('Master Tracker'!$D$6:$D$400,$S48)))</f>
        <v/>
      </c>
      <c r="E48" s="53">
        <f>IF($S48="","",IF(INDEX('Master Tracker'!$F$6:$F$400,$S48)="","",INDEX('Master Tracker'!$F$6:$F$400,$S48)))</f>
        <v/>
      </c>
      <c r="F48" s="53">
        <f>IF($S48="","",IF(INDEX('Master Tracker'!$G$6:$G$400,$S48)="","",INDEX('Master Tracker'!$G$6:$G$400,$S48)))</f>
        <v/>
      </c>
      <c r="G48" s="70">
        <f>IF($S48="","",IF(INDEX('Master Tracker'!$H$6:$H$400,$S48)="","",INDEX('Master Tracker'!$H$6:$H$400,$S48)))</f>
        <v/>
      </c>
      <c r="H48" s="70">
        <f>IF($S48="","",IF(INDEX('Master Tracker'!$I$6:$I$400,$S48)="","",INDEX('Master Tracker'!$I$6:$I$400,$S48)))</f>
        <v/>
      </c>
      <c r="I48" s="115">
        <f>IF($S48="","",IF(INDEX('Master Tracker'!$U$6:$U$400,$S48)="","",INDEX('Master Tracker'!$U$6:$U$400,$S48)))</f>
        <v/>
      </c>
      <c r="J48" s="114">
        <f>IF($S48="","",IF(INDEX('Master Tracker'!$K$6:$K$400,$S48)="","",INDEX('Master Tracker'!$K$6:$K$400,$S48)))</f>
        <v/>
      </c>
      <c r="K48" s="114">
        <f>IF($S48="","",IF(INDEX('Master Tracker'!$Y$6:$Y$400,$S48)="","",INDEX('Master Tracker'!$Y$6:$Y$400,$S48)))</f>
        <v/>
      </c>
      <c r="L48" s="114">
        <f>IF($S48="","",IF(INDEX('Master Tracker'!$M$6:$M$400,$S48)="","",INDEX('Master Tracker'!$M$6:$M$400,$S48)))</f>
        <v/>
      </c>
      <c r="M48" s="114">
        <f>IF($S48="","",IF(INDEX('Master Tracker'!$O$6:$O$400,$S48)="","",INDEX('Master Tracker'!$O$6:$O$400,$S48)))</f>
        <v/>
      </c>
      <c r="N48" s="114">
        <f>IF($S48="","",IF(INDEX('Master Tracker'!$N$6:$N$400,$S48)="","",INDEX('Master Tracker'!$N$6:$N$400,$S48)))</f>
        <v/>
      </c>
      <c r="O48" s="53">
        <f>IF($S48="","",IF(INDEX('Master Tracker'!$T$6:$T$400,$S48)="","",INDEX('Master Tracker'!$T$6:$T$400,$S48)))</f>
        <v/>
      </c>
      <c r="P48" s="53">
        <f>IF($S48="","",IF(INDEX('Master Tracker'!$AC$6:$AC$400,$S48)="","",INDEX('Master Tracker'!$AC$6:$AC$400,$S48)))</f>
        <v/>
      </c>
      <c r="S48">
        <f>IFERROR(MATCH("Phase 4|"&amp;A48,'Master Tracker'!$Z$6:$Z$400,0),"")</f>
        <v/>
      </c>
    </row>
    <row r="49" ht="48" customHeight="1">
      <c r="A49" s="53" t="n">
        <v>12</v>
      </c>
      <c r="B49" s="113">
        <f>IF($S49="","",IF(INDEX('Master Tracker'!$A$6:$A$400,$S49)="","",INDEX('Master Tracker'!$A$6:$A$400,$S49)))</f>
        <v/>
      </c>
      <c r="C49" s="114">
        <f>IF($S49="","",IF(INDEX('Master Tracker'!$C$6:$C$400,$S49)="","",INDEX('Master Tracker'!$C$6:$C$400,$S49)))</f>
        <v/>
      </c>
      <c r="D49" s="114">
        <f>IF($S49="","",IF(INDEX('Master Tracker'!$D$6:$D$400,$S49)="","",INDEX('Master Tracker'!$D$6:$D$400,$S49)))</f>
        <v/>
      </c>
      <c r="E49" s="53">
        <f>IF($S49="","",IF(INDEX('Master Tracker'!$F$6:$F$400,$S49)="","",INDEX('Master Tracker'!$F$6:$F$400,$S49)))</f>
        <v/>
      </c>
      <c r="F49" s="53">
        <f>IF($S49="","",IF(INDEX('Master Tracker'!$G$6:$G$400,$S49)="","",INDEX('Master Tracker'!$G$6:$G$400,$S49)))</f>
        <v/>
      </c>
      <c r="G49" s="70">
        <f>IF($S49="","",IF(INDEX('Master Tracker'!$H$6:$H$400,$S49)="","",INDEX('Master Tracker'!$H$6:$H$400,$S49)))</f>
        <v/>
      </c>
      <c r="H49" s="70">
        <f>IF($S49="","",IF(INDEX('Master Tracker'!$I$6:$I$400,$S49)="","",INDEX('Master Tracker'!$I$6:$I$400,$S49)))</f>
        <v/>
      </c>
      <c r="I49" s="115">
        <f>IF($S49="","",IF(INDEX('Master Tracker'!$U$6:$U$400,$S49)="","",INDEX('Master Tracker'!$U$6:$U$400,$S49)))</f>
        <v/>
      </c>
      <c r="J49" s="114">
        <f>IF($S49="","",IF(INDEX('Master Tracker'!$K$6:$K$400,$S49)="","",INDEX('Master Tracker'!$K$6:$K$400,$S49)))</f>
        <v/>
      </c>
      <c r="K49" s="114">
        <f>IF($S49="","",IF(INDEX('Master Tracker'!$Y$6:$Y$400,$S49)="","",INDEX('Master Tracker'!$Y$6:$Y$400,$S49)))</f>
        <v/>
      </c>
      <c r="L49" s="114">
        <f>IF($S49="","",IF(INDEX('Master Tracker'!$M$6:$M$400,$S49)="","",INDEX('Master Tracker'!$M$6:$M$400,$S49)))</f>
        <v/>
      </c>
      <c r="M49" s="114">
        <f>IF($S49="","",IF(INDEX('Master Tracker'!$O$6:$O$400,$S49)="","",INDEX('Master Tracker'!$O$6:$O$400,$S49)))</f>
        <v/>
      </c>
      <c r="N49" s="114">
        <f>IF($S49="","",IF(INDEX('Master Tracker'!$N$6:$N$400,$S49)="","",INDEX('Master Tracker'!$N$6:$N$400,$S49)))</f>
        <v/>
      </c>
      <c r="O49" s="53">
        <f>IF($S49="","",IF(INDEX('Master Tracker'!$T$6:$T$400,$S49)="","",INDEX('Master Tracker'!$T$6:$T$400,$S49)))</f>
        <v/>
      </c>
      <c r="P49" s="53">
        <f>IF($S49="","",IF(INDEX('Master Tracker'!$AC$6:$AC$400,$S49)="","",INDEX('Master Tracker'!$AC$6:$AC$400,$S49)))</f>
        <v/>
      </c>
      <c r="S49">
        <f>IFERROR(MATCH("Phase 4|"&amp;A49,'Master Tracker'!$Z$6:$Z$400,0),"")</f>
        <v/>
      </c>
    </row>
    <row r="50" ht="15" customHeight="1">
      <c r="A50" s="53" t="n">
        <v>13</v>
      </c>
      <c r="B50" s="113">
        <f>IF($S50="","",IF(INDEX('Master Tracker'!$A$6:$A$400,$S50)="","",INDEX('Master Tracker'!$A$6:$A$400,$S50)))</f>
        <v/>
      </c>
      <c r="C50" s="114">
        <f>IF($S50="","",IF(INDEX('Master Tracker'!$C$6:$C$400,$S50)="","",INDEX('Master Tracker'!$C$6:$C$400,$S50)))</f>
        <v/>
      </c>
      <c r="D50" s="114">
        <f>IF($S50="","",IF(INDEX('Master Tracker'!$D$6:$D$400,$S50)="","",INDEX('Master Tracker'!$D$6:$D$400,$S50)))</f>
        <v/>
      </c>
      <c r="E50" s="53">
        <f>IF($S50="","",IF(INDEX('Master Tracker'!$F$6:$F$400,$S50)="","",INDEX('Master Tracker'!$F$6:$F$400,$S50)))</f>
        <v/>
      </c>
      <c r="F50" s="53">
        <f>IF($S50="","",IF(INDEX('Master Tracker'!$G$6:$G$400,$S50)="","",INDEX('Master Tracker'!$G$6:$G$400,$S50)))</f>
        <v/>
      </c>
      <c r="G50" s="70">
        <f>IF($S50="","",IF(INDEX('Master Tracker'!$H$6:$H$400,$S50)="","",INDEX('Master Tracker'!$H$6:$H$400,$S50)))</f>
        <v/>
      </c>
      <c r="H50" s="70">
        <f>IF($S50="","",IF(INDEX('Master Tracker'!$I$6:$I$400,$S50)="","",INDEX('Master Tracker'!$I$6:$I$400,$S50)))</f>
        <v/>
      </c>
      <c r="I50" s="115">
        <f>IF($S50="","",IF(INDEX('Master Tracker'!$U$6:$U$400,$S50)="","",INDEX('Master Tracker'!$U$6:$U$400,$S50)))</f>
        <v/>
      </c>
      <c r="J50" s="114">
        <f>IF($S50="","",IF(INDEX('Master Tracker'!$K$6:$K$400,$S50)="","",INDEX('Master Tracker'!$K$6:$K$400,$S50)))</f>
        <v/>
      </c>
      <c r="K50" s="114">
        <f>IF($S50="","",IF(INDEX('Master Tracker'!$Y$6:$Y$400,$S50)="","",INDEX('Master Tracker'!$Y$6:$Y$400,$S50)))</f>
        <v/>
      </c>
      <c r="L50" s="114">
        <f>IF($S50="","",IF(INDEX('Master Tracker'!$M$6:$M$400,$S50)="","",INDEX('Master Tracker'!$M$6:$M$400,$S50)))</f>
        <v/>
      </c>
      <c r="M50" s="114">
        <f>IF($S50="","",IF(INDEX('Master Tracker'!$O$6:$O$400,$S50)="","",INDEX('Master Tracker'!$O$6:$O$400,$S50)))</f>
        <v/>
      </c>
      <c r="N50" s="114">
        <f>IF($S50="","",IF(INDEX('Master Tracker'!$N$6:$N$400,$S50)="","",INDEX('Master Tracker'!$N$6:$N$400,$S50)))</f>
        <v/>
      </c>
      <c r="O50" s="53">
        <f>IF($S50="","",IF(INDEX('Master Tracker'!$T$6:$T$400,$S50)="","",INDEX('Master Tracker'!$T$6:$T$400,$S50)))</f>
        <v/>
      </c>
      <c r="P50" s="53">
        <f>IF($S50="","",IF(INDEX('Master Tracker'!$AC$6:$AC$400,$S50)="","",INDEX('Master Tracker'!$AC$6:$AC$400,$S50)))</f>
        <v/>
      </c>
      <c r="S50">
        <f>IFERROR(MATCH("Phase 4|"&amp;A50,'Master Tracker'!$Z$6:$Z$400,0),"")</f>
        <v/>
      </c>
    </row>
    <row r="51" ht="15" customHeight="1">
      <c r="A51" s="53" t="n">
        <v>14</v>
      </c>
      <c r="B51" s="113">
        <f>IF($S51="","",IF(INDEX('Master Tracker'!$A$6:$A$400,$S51)="","",INDEX('Master Tracker'!$A$6:$A$400,$S51)))</f>
        <v/>
      </c>
      <c r="C51" s="114">
        <f>IF($S51="","",IF(INDEX('Master Tracker'!$C$6:$C$400,$S51)="","",INDEX('Master Tracker'!$C$6:$C$400,$S51)))</f>
        <v/>
      </c>
      <c r="D51" s="114">
        <f>IF($S51="","",IF(INDEX('Master Tracker'!$D$6:$D$400,$S51)="","",INDEX('Master Tracker'!$D$6:$D$400,$S51)))</f>
        <v/>
      </c>
      <c r="E51" s="53">
        <f>IF($S51="","",IF(INDEX('Master Tracker'!$F$6:$F$400,$S51)="","",INDEX('Master Tracker'!$F$6:$F$400,$S51)))</f>
        <v/>
      </c>
      <c r="F51" s="53">
        <f>IF($S51="","",IF(INDEX('Master Tracker'!$G$6:$G$400,$S51)="","",INDEX('Master Tracker'!$G$6:$G$400,$S51)))</f>
        <v/>
      </c>
      <c r="G51" s="70">
        <f>IF($S51="","",IF(INDEX('Master Tracker'!$H$6:$H$400,$S51)="","",INDEX('Master Tracker'!$H$6:$H$400,$S51)))</f>
        <v/>
      </c>
      <c r="H51" s="70">
        <f>IF($S51="","",IF(INDEX('Master Tracker'!$I$6:$I$400,$S51)="","",INDEX('Master Tracker'!$I$6:$I$400,$S51)))</f>
        <v/>
      </c>
      <c r="I51" s="115">
        <f>IF($S51="","",IF(INDEX('Master Tracker'!$U$6:$U$400,$S51)="","",INDEX('Master Tracker'!$U$6:$U$400,$S51)))</f>
        <v/>
      </c>
      <c r="J51" s="114">
        <f>IF($S51="","",IF(INDEX('Master Tracker'!$K$6:$K$400,$S51)="","",INDEX('Master Tracker'!$K$6:$K$400,$S51)))</f>
        <v/>
      </c>
      <c r="K51" s="114">
        <f>IF($S51="","",IF(INDEX('Master Tracker'!$Y$6:$Y$400,$S51)="","",INDEX('Master Tracker'!$Y$6:$Y$400,$S51)))</f>
        <v/>
      </c>
      <c r="L51" s="114">
        <f>IF($S51="","",IF(INDEX('Master Tracker'!$M$6:$M$400,$S51)="","",INDEX('Master Tracker'!$M$6:$M$400,$S51)))</f>
        <v/>
      </c>
      <c r="M51" s="114">
        <f>IF($S51="","",IF(INDEX('Master Tracker'!$O$6:$O$400,$S51)="","",INDEX('Master Tracker'!$O$6:$O$400,$S51)))</f>
        <v/>
      </c>
      <c r="N51" s="114">
        <f>IF($S51="","",IF(INDEX('Master Tracker'!$N$6:$N$400,$S51)="","",INDEX('Master Tracker'!$N$6:$N$400,$S51)))</f>
        <v/>
      </c>
      <c r="O51" s="53">
        <f>IF($S51="","",IF(INDEX('Master Tracker'!$T$6:$T$400,$S51)="","",INDEX('Master Tracker'!$T$6:$T$400,$S51)))</f>
        <v/>
      </c>
      <c r="P51" s="53">
        <f>IF($S51="","",IF(INDEX('Master Tracker'!$AC$6:$AC$400,$S51)="","",INDEX('Master Tracker'!$AC$6:$AC$400,$S51)))</f>
        <v/>
      </c>
      <c r="S51">
        <f>IFERROR(MATCH("Phase 4|"&amp;A51,'Master Tracker'!$Z$6:$Z$400,0),"")</f>
        <v/>
      </c>
    </row>
    <row r="52" ht="15" customHeight="1">
      <c r="A52" s="53" t="n">
        <v>15</v>
      </c>
      <c r="B52" s="113">
        <f>IF($S52="","",IF(INDEX('Master Tracker'!$A$6:$A$400,$S52)="","",INDEX('Master Tracker'!$A$6:$A$400,$S52)))</f>
        <v/>
      </c>
      <c r="C52" s="114">
        <f>IF($S52="","",IF(INDEX('Master Tracker'!$C$6:$C$400,$S52)="","",INDEX('Master Tracker'!$C$6:$C$400,$S52)))</f>
        <v/>
      </c>
      <c r="D52" s="114">
        <f>IF($S52="","",IF(INDEX('Master Tracker'!$D$6:$D$400,$S52)="","",INDEX('Master Tracker'!$D$6:$D$400,$S52)))</f>
        <v/>
      </c>
      <c r="E52" s="53">
        <f>IF($S52="","",IF(INDEX('Master Tracker'!$F$6:$F$400,$S52)="","",INDEX('Master Tracker'!$F$6:$F$400,$S52)))</f>
        <v/>
      </c>
      <c r="F52" s="53">
        <f>IF($S52="","",IF(INDEX('Master Tracker'!$G$6:$G$400,$S52)="","",INDEX('Master Tracker'!$G$6:$G$400,$S52)))</f>
        <v/>
      </c>
      <c r="G52" s="70">
        <f>IF($S52="","",IF(INDEX('Master Tracker'!$H$6:$H$400,$S52)="","",INDEX('Master Tracker'!$H$6:$H$400,$S52)))</f>
        <v/>
      </c>
      <c r="H52" s="70">
        <f>IF($S52="","",IF(INDEX('Master Tracker'!$I$6:$I$400,$S52)="","",INDEX('Master Tracker'!$I$6:$I$400,$S52)))</f>
        <v/>
      </c>
      <c r="I52" s="115">
        <f>IF($S52="","",IF(INDEX('Master Tracker'!$U$6:$U$400,$S52)="","",INDEX('Master Tracker'!$U$6:$U$400,$S52)))</f>
        <v/>
      </c>
      <c r="J52" s="114">
        <f>IF($S52="","",IF(INDEX('Master Tracker'!$K$6:$K$400,$S52)="","",INDEX('Master Tracker'!$K$6:$K$400,$S52)))</f>
        <v/>
      </c>
      <c r="K52" s="114">
        <f>IF($S52="","",IF(INDEX('Master Tracker'!$Y$6:$Y$400,$S52)="","",INDEX('Master Tracker'!$Y$6:$Y$400,$S52)))</f>
        <v/>
      </c>
      <c r="L52" s="114">
        <f>IF($S52="","",IF(INDEX('Master Tracker'!$M$6:$M$400,$S52)="","",INDEX('Master Tracker'!$M$6:$M$400,$S52)))</f>
        <v/>
      </c>
      <c r="M52" s="114">
        <f>IF($S52="","",IF(INDEX('Master Tracker'!$O$6:$O$400,$S52)="","",INDEX('Master Tracker'!$O$6:$O$400,$S52)))</f>
        <v/>
      </c>
      <c r="N52" s="114">
        <f>IF($S52="","",IF(INDEX('Master Tracker'!$N$6:$N$400,$S52)="","",INDEX('Master Tracker'!$N$6:$N$400,$S52)))</f>
        <v/>
      </c>
      <c r="O52" s="53">
        <f>IF($S52="","",IF(INDEX('Master Tracker'!$T$6:$T$400,$S52)="","",INDEX('Master Tracker'!$T$6:$T$400,$S52)))</f>
        <v/>
      </c>
      <c r="P52" s="53">
        <f>IF($S52="","",IF(INDEX('Master Tracker'!$AC$6:$AC$400,$S52)="","",INDEX('Master Tracker'!$AC$6:$AC$400,$S52)))</f>
        <v/>
      </c>
      <c r="S52">
        <f>IFERROR(MATCH("Phase 4|"&amp;A52,'Master Tracker'!$Z$6:$Z$400,0),"")</f>
        <v/>
      </c>
    </row>
    <row r="53" ht="15" customHeight="1">
      <c r="A53" s="53" t="n">
        <v>16</v>
      </c>
      <c r="B53" s="113">
        <f>IF($S53="","",IF(INDEX('Master Tracker'!$A$6:$A$400,$S53)="","",INDEX('Master Tracker'!$A$6:$A$400,$S53)))</f>
        <v/>
      </c>
      <c r="C53" s="114">
        <f>IF($S53="","",IF(INDEX('Master Tracker'!$C$6:$C$400,$S53)="","",INDEX('Master Tracker'!$C$6:$C$400,$S53)))</f>
        <v/>
      </c>
      <c r="D53" s="114">
        <f>IF($S53="","",IF(INDEX('Master Tracker'!$D$6:$D$400,$S53)="","",INDEX('Master Tracker'!$D$6:$D$400,$S53)))</f>
        <v/>
      </c>
      <c r="E53" s="53">
        <f>IF($S53="","",IF(INDEX('Master Tracker'!$F$6:$F$400,$S53)="","",INDEX('Master Tracker'!$F$6:$F$400,$S53)))</f>
        <v/>
      </c>
      <c r="F53" s="53">
        <f>IF($S53="","",IF(INDEX('Master Tracker'!$G$6:$G$400,$S53)="","",INDEX('Master Tracker'!$G$6:$G$400,$S53)))</f>
        <v/>
      </c>
      <c r="G53" s="70">
        <f>IF($S53="","",IF(INDEX('Master Tracker'!$H$6:$H$400,$S53)="","",INDEX('Master Tracker'!$H$6:$H$400,$S53)))</f>
        <v/>
      </c>
      <c r="H53" s="70">
        <f>IF($S53="","",IF(INDEX('Master Tracker'!$I$6:$I$400,$S53)="","",INDEX('Master Tracker'!$I$6:$I$400,$S53)))</f>
        <v/>
      </c>
      <c r="I53" s="115">
        <f>IF($S53="","",IF(INDEX('Master Tracker'!$U$6:$U$400,$S53)="","",INDEX('Master Tracker'!$U$6:$U$400,$S53)))</f>
        <v/>
      </c>
      <c r="J53" s="114">
        <f>IF($S53="","",IF(INDEX('Master Tracker'!$K$6:$K$400,$S53)="","",INDEX('Master Tracker'!$K$6:$K$400,$S53)))</f>
        <v/>
      </c>
      <c r="K53" s="114">
        <f>IF($S53="","",IF(INDEX('Master Tracker'!$Y$6:$Y$400,$S53)="","",INDEX('Master Tracker'!$Y$6:$Y$400,$S53)))</f>
        <v/>
      </c>
      <c r="L53" s="114">
        <f>IF($S53="","",IF(INDEX('Master Tracker'!$M$6:$M$400,$S53)="","",INDEX('Master Tracker'!$M$6:$M$400,$S53)))</f>
        <v/>
      </c>
      <c r="M53" s="114">
        <f>IF($S53="","",IF(INDEX('Master Tracker'!$O$6:$O$400,$S53)="","",INDEX('Master Tracker'!$O$6:$O$400,$S53)))</f>
        <v/>
      </c>
      <c r="N53" s="114">
        <f>IF($S53="","",IF(INDEX('Master Tracker'!$N$6:$N$400,$S53)="","",INDEX('Master Tracker'!$N$6:$N$400,$S53)))</f>
        <v/>
      </c>
      <c r="O53" s="53">
        <f>IF($S53="","",IF(INDEX('Master Tracker'!$T$6:$T$400,$S53)="","",INDEX('Master Tracker'!$T$6:$T$400,$S53)))</f>
        <v/>
      </c>
      <c r="P53" s="53">
        <f>IF($S53="","",IF(INDEX('Master Tracker'!$AC$6:$AC$400,$S53)="","",INDEX('Master Tracker'!$AC$6:$AC$400,$S53)))</f>
        <v/>
      </c>
      <c r="S53">
        <f>IFERROR(MATCH("Phase 4|"&amp;A53,'Master Tracker'!$Z$6:$Z$400,0),"")</f>
        <v/>
      </c>
    </row>
    <row r="54" ht="15" customHeight="1">
      <c r="A54" s="53" t="n">
        <v>17</v>
      </c>
      <c r="B54" s="113">
        <f>IF($S54="","",IF(INDEX('Master Tracker'!$A$6:$A$400,$S54)="","",INDEX('Master Tracker'!$A$6:$A$400,$S54)))</f>
        <v/>
      </c>
      <c r="C54" s="114">
        <f>IF($S54="","",IF(INDEX('Master Tracker'!$C$6:$C$400,$S54)="","",INDEX('Master Tracker'!$C$6:$C$400,$S54)))</f>
        <v/>
      </c>
      <c r="D54" s="114">
        <f>IF($S54="","",IF(INDEX('Master Tracker'!$D$6:$D$400,$S54)="","",INDEX('Master Tracker'!$D$6:$D$400,$S54)))</f>
        <v/>
      </c>
      <c r="E54" s="53">
        <f>IF($S54="","",IF(INDEX('Master Tracker'!$F$6:$F$400,$S54)="","",INDEX('Master Tracker'!$F$6:$F$400,$S54)))</f>
        <v/>
      </c>
      <c r="F54" s="53">
        <f>IF($S54="","",IF(INDEX('Master Tracker'!$G$6:$G$400,$S54)="","",INDEX('Master Tracker'!$G$6:$G$400,$S54)))</f>
        <v/>
      </c>
      <c r="G54" s="70">
        <f>IF($S54="","",IF(INDEX('Master Tracker'!$H$6:$H$400,$S54)="","",INDEX('Master Tracker'!$H$6:$H$400,$S54)))</f>
        <v/>
      </c>
      <c r="H54" s="70">
        <f>IF($S54="","",IF(INDEX('Master Tracker'!$I$6:$I$400,$S54)="","",INDEX('Master Tracker'!$I$6:$I$400,$S54)))</f>
        <v/>
      </c>
      <c r="I54" s="115">
        <f>IF($S54="","",IF(INDEX('Master Tracker'!$U$6:$U$400,$S54)="","",INDEX('Master Tracker'!$U$6:$U$400,$S54)))</f>
        <v/>
      </c>
      <c r="J54" s="114">
        <f>IF($S54="","",IF(INDEX('Master Tracker'!$K$6:$K$400,$S54)="","",INDEX('Master Tracker'!$K$6:$K$400,$S54)))</f>
        <v/>
      </c>
      <c r="K54" s="114">
        <f>IF($S54="","",IF(INDEX('Master Tracker'!$Y$6:$Y$400,$S54)="","",INDEX('Master Tracker'!$Y$6:$Y$400,$S54)))</f>
        <v/>
      </c>
      <c r="L54" s="114">
        <f>IF($S54="","",IF(INDEX('Master Tracker'!$M$6:$M$400,$S54)="","",INDEX('Master Tracker'!$M$6:$M$400,$S54)))</f>
        <v/>
      </c>
      <c r="M54" s="114">
        <f>IF($S54="","",IF(INDEX('Master Tracker'!$O$6:$O$400,$S54)="","",INDEX('Master Tracker'!$O$6:$O$400,$S54)))</f>
        <v/>
      </c>
      <c r="N54" s="114">
        <f>IF($S54="","",IF(INDEX('Master Tracker'!$N$6:$N$400,$S54)="","",INDEX('Master Tracker'!$N$6:$N$400,$S54)))</f>
        <v/>
      </c>
      <c r="O54" s="53">
        <f>IF($S54="","",IF(INDEX('Master Tracker'!$T$6:$T$400,$S54)="","",INDEX('Master Tracker'!$T$6:$T$400,$S54)))</f>
        <v/>
      </c>
      <c r="P54" s="53">
        <f>IF($S54="","",IF(INDEX('Master Tracker'!$AC$6:$AC$400,$S54)="","",INDEX('Master Tracker'!$AC$6:$AC$400,$S54)))</f>
        <v/>
      </c>
      <c r="S54">
        <f>IFERROR(MATCH("Phase 4|"&amp;A54,'Master Tracker'!$Z$6:$Z$400,0),"")</f>
        <v/>
      </c>
    </row>
    <row r="55" ht="15" customHeight="1">
      <c r="A55" s="53" t="n">
        <v>18</v>
      </c>
      <c r="B55" s="113">
        <f>IF($S55="","",IF(INDEX('Master Tracker'!$A$6:$A$400,$S55)="","",INDEX('Master Tracker'!$A$6:$A$400,$S55)))</f>
        <v/>
      </c>
      <c r="C55" s="114">
        <f>IF($S55="","",IF(INDEX('Master Tracker'!$C$6:$C$400,$S55)="","",INDEX('Master Tracker'!$C$6:$C$400,$S55)))</f>
        <v/>
      </c>
      <c r="D55" s="114">
        <f>IF($S55="","",IF(INDEX('Master Tracker'!$D$6:$D$400,$S55)="","",INDEX('Master Tracker'!$D$6:$D$400,$S55)))</f>
        <v/>
      </c>
      <c r="E55" s="53">
        <f>IF($S55="","",IF(INDEX('Master Tracker'!$F$6:$F$400,$S55)="","",INDEX('Master Tracker'!$F$6:$F$400,$S55)))</f>
        <v/>
      </c>
      <c r="F55" s="53">
        <f>IF($S55="","",IF(INDEX('Master Tracker'!$G$6:$G$400,$S55)="","",INDEX('Master Tracker'!$G$6:$G$400,$S55)))</f>
        <v/>
      </c>
      <c r="G55" s="70">
        <f>IF($S55="","",IF(INDEX('Master Tracker'!$H$6:$H$400,$S55)="","",INDEX('Master Tracker'!$H$6:$H$400,$S55)))</f>
        <v/>
      </c>
      <c r="H55" s="70">
        <f>IF($S55="","",IF(INDEX('Master Tracker'!$I$6:$I$400,$S55)="","",INDEX('Master Tracker'!$I$6:$I$400,$S55)))</f>
        <v/>
      </c>
      <c r="I55" s="115">
        <f>IF($S55="","",IF(INDEX('Master Tracker'!$U$6:$U$400,$S55)="","",INDEX('Master Tracker'!$U$6:$U$400,$S55)))</f>
        <v/>
      </c>
      <c r="J55" s="114">
        <f>IF($S55="","",IF(INDEX('Master Tracker'!$K$6:$K$400,$S55)="","",INDEX('Master Tracker'!$K$6:$K$400,$S55)))</f>
        <v/>
      </c>
      <c r="K55" s="114">
        <f>IF($S55="","",IF(INDEX('Master Tracker'!$Y$6:$Y$400,$S55)="","",INDEX('Master Tracker'!$Y$6:$Y$400,$S55)))</f>
        <v/>
      </c>
      <c r="L55" s="114">
        <f>IF($S55="","",IF(INDEX('Master Tracker'!$M$6:$M$400,$S55)="","",INDEX('Master Tracker'!$M$6:$M$400,$S55)))</f>
        <v/>
      </c>
      <c r="M55" s="114">
        <f>IF($S55="","",IF(INDEX('Master Tracker'!$O$6:$O$400,$S55)="","",INDEX('Master Tracker'!$O$6:$O$400,$S55)))</f>
        <v/>
      </c>
      <c r="N55" s="114">
        <f>IF($S55="","",IF(INDEX('Master Tracker'!$N$6:$N$400,$S55)="","",INDEX('Master Tracker'!$N$6:$N$400,$S55)))</f>
        <v/>
      </c>
      <c r="O55" s="53">
        <f>IF($S55="","",IF(INDEX('Master Tracker'!$T$6:$T$400,$S55)="","",INDEX('Master Tracker'!$T$6:$T$400,$S55)))</f>
        <v/>
      </c>
      <c r="P55" s="53">
        <f>IF($S55="","",IF(INDEX('Master Tracker'!$AC$6:$AC$400,$S55)="","",INDEX('Master Tracker'!$AC$6:$AC$400,$S55)))</f>
        <v/>
      </c>
      <c r="S55">
        <f>IFERROR(MATCH("Phase 4|"&amp;A55,'Master Tracker'!$Z$6:$Z$400,0),"")</f>
        <v/>
      </c>
    </row>
    <row r="56" ht="15" customHeight="1">
      <c r="A56" s="53" t="n">
        <v>19</v>
      </c>
      <c r="B56" s="113">
        <f>IF($S56="","",IF(INDEX('Master Tracker'!$A$6:$A$400,$S56)="","",INDEX('Master Tracker'!$A$6:$A$400,$S56)))</f>
        <v/>
      </c>
      <c r="C56" s="114">
        <f>IF($S56="","",IF(INDEX('Master Tracker'!$C$6:$C$400,$S56)="","",INDEX('Master Tracker'!$C$6:$C$400,$S56)))</f>
        <v/>
      </c>
      <c r="D56" s="114">
        <f>IF($S56="","",IF(INDEX('Master Tracker'!$D$6:$D$400,$S56)="","",INDEX('Master Tracker'!$D$6:$D$400,$S56)))</f>
        <v/>
      </c>
      <c r="E56" s="53">
        <f>IF($S56="","",IF(INDEX('Master Tracker'!$F$6:$F$400,$S56)="","",INDEX('Master Tracker'!$F$6:$F$400,$S56)))</f>
        <v/>
      </c>
      <c r="F56" s="53">
        <f>IF($S56="","",IF(INDEX('Master Tracker'!$G$6:$G$400,$S56)="","",INDEX('Master Tracker'!$G$6:$G$400,$S56)))</f>
        <v/>
      </c>
      <c r="G56" s="70">
        <f>IF($S56="","",IF(INDEX('Master Tracker'!$H$6:$H$400,$S56)="","",INDEX('Master Tracker'!$H$6:$H$400,$S56)))</f>
        <v/>
      </c>
      <c r="H56" s="70">
        <f>IF($S56="","",IF(INDEX('Master Tracker'!$I$6:$I$400,$S56)="","",INDEX('Master Tracker'!$I$6:$I$400,$S56)))</f>
        <v/>
      </c>
      <c r="I56" s="115">
        <f>IF($S56="","",IF(INDEX('Master Tracker'!$U$6:$U$400,$S56)="","",INDEX('Master Tracker'!$U$6:$U$400,$S56)))</f>
        <v/>
      </c>
      <c r="J56" s="114">
        <f>IF($S56="","",IF(INDEX('Master Tracker'!$K$6:$K$400,$S56)="","",INDEX('Master Tracker'!$K$6:$K$400,$S56)))</f>
        <v/>
      </c>
      <c r="K56" s="114">
        <f>IF($S56="","",IF(INDEX('Master Tracker'!$Y$6:$Y$400,$S56)="","",INDEX('Master Tracker'!$Y$6:$Y$400,$S56)))</f>
        <v/>
      </c>
      <c r="L56" s="114">
        <f>IF($S56="","",IF(INDEX('Master Tracker'!$M$6:$M$400,$S56)="","",INDEX('Master Tracker'!$M$6:$M$400,$S56)))</f>
        <v/>
      </c>
      <c r="M56" s="114">
        <f>IF($S56="","",IF(INDEX('Master Tracker'!$O$6:$O$400,$S56)="","",INDEX('Master Tracker'!$O$6:$O$400,$S56)))</f>
        <v/>
      </c>
      <c r="N56" s="114">
        <f>IF($S56="","",IF(INDEX('Master Tracker'!$N$6:$N$400,$S56)="","",INDEX('Master Tracker'!$N$6:$N$400,$S56)))</f>
        <v/>
      </c>
      <c r="O56" s="53">
        <f>IF($S56="","",IF(INDEX('Master Tracker'!$T$6:$T$400,$S56)="","",INDEX('Master Tracker'!$T$6:$T$400,$S56)))</f>
        <v/>
      </c>
      <c r="P56" s="53">
        <f>IF($S56="","",IF(INDEX('Master Tracker'!$AC$6:$AC$400,$S56)="","",INDEX('Master Tracker'!$AC$6:$AC$400,$S56)))</f>
        <v/>
      </c>
      <c r="S56">
        <f>IFERROR(MATCH("Phase 4|"&amp;A56,'Master Tracker'!$Z$6:$Z$400,0),"")</f>
        <v/>
      </c>
    </row>
    <row r="57" ht="15" customHeight="1">
      <c r="A57" s="53" t="n">
        <v>20</v>
      </c>
      <c r="B57" s="113">
        <f>IF($S57="","",IF(INDEX('Master Tracker'!$A$6:$A$400,$S57)="","",INDEX('Master Tracker'!$A$6:$A$400,$S57)))</f>
        <v/>
      </c>
      <c r="C57" s="114">
        <f>IF($S57="","",IF(INDEX('Master Tracker'!$C$6:$C$400,$S57)="","",INDEX('Master Tracker'!$C$6:$C$400,$S57)))</f>
        <v/>
      </c>
      <c r="D57" s="114">
        <f>IF($S57="","",IF(INDEX('Master Tracker'!$D$6:$D$400,$S57)="","",INDEX('Master Tracker'!$D$6:$D$400,$S57)))</f>
        <v/>
      </c>
      <c r="E57" s="53">
        <f>IF($S57="","",IF(INDEX('Master Tracker'!$F$6:$F$400,$S57)="","",INDEX('Master Tracker'!$F$6:$F$400,$S57)))</f>
        <v/>
      </c>
      <c r="F57" s="53">
        <f>IF($S57="","",IF(INDEX('Master Tracker'!$G$6:$G$400,$S57)="","",INDEX('Master Tracker'!$G$6:$G$400,$S57)))</f>
        <v/>
      </c>
      <c r="G57" s="70">
        <f>IF($S57="","",IF(INDEX('Master Tracker'!$H$6:$H$400,$S57)="","",INDEX('Master Tracker'!$H$6:$H$400,$S57)))</f>
        <v/>
      </c>
      <c r="H57" s="70">
        <f>IF($S57="","",IF(INDEX('Master Tracker'!$I$6:$I$400,$S57)="","",INDEX('Master Tracker'!$I$6:$I$400,$S57)))</f>
        <v/>
      </c>
      <c r="I57" s="115">
        <f>IF($S57="","",IF(INDEX('Master Tracker'!$U$6:$U$400,$S57)="","",INDEX('Master Tracker'!$U$6:$U$400,$S57)))</f>
        <v/>
      </c>
      <c r="J57" s="114">
        <f>IF($S57="","",IF(INDEX('Master Tracker'!$K$6:$K$400,$S57)="","",INDEX('Master Tracker'!$K$6:$K$400,$S57)))</f>
        <v/>
      </c>
      <c r="K57" s="114">
        <f>IF($S57="","",IF(INDEX('Master Tracker'!$Y$6:$Y$400,$S57)="","",INDEX('Master Tracker'!$Y$6:$Y$400,$S57)))</f>
        <v/>
      </c>
      <c r="L57" s="114">
        <f>IF($S57="","",IF(INDEX('Master Tracker'!$M$6:$M$400,$S57)="","",INDEX('Master Tracker'!$M$6:$M$400,$S57)))</f>
        <v/>
      </c>
      <c r="M57" s="114">
        <f>IF($S57="","",IF(INDEX('Master Tracker'!$O$6:$O$400,$S57)="","",INDEX('Master Tracker'!$O$6:$O$400,$S57)))</f>
        <v/>
      </c>
      <c r="N57" s="114">
        <f>IF($S57="","",IF(INDEX('Master Tracker'!$N$6:$N$400,$S57)="","",INDEX('Master Tracker'!$N$6:$N$400,$S57)))</f>
        <v/>
      </c>
      <c r="O57" s="53">
        <f>IF($S57="","",IF(INDEX('Master Tracker'!$T$6:$T$400,$S57)="","",INDEX('Master Tracker'!$T$6:$T$400,$S57)))</f>
        <v/>
      </c>
      <c r="P57" s="53">
        <f>IF($S57="","",IF(INDEX('Master Tracker'!$AC$6:$AC$400,$S57)="","",INDEX('Master Tracker'!$AC$6:$AC$400,$S57)))</f>
        <v/>
      </c>
      <c r="S57">
        <f>IFERROR(MATCH("Phase 4|"&amp;A57,'Master Tracker'!$Z$6:$Z$400,0),"")</f>
        <v/>
      </c>
    </row>
  </sheetData>
  <mergeCells count="50">
    <mergeCell ref="B32:R32"/>
    <mergeCell ref="B26:R26"/>
    <mergeCell ref="A7:R7"/>
    <mergeCell ref="A15:H15"/>
    <mergeCell ref="J5:K5"/>
    <mergeCell ref="J15:R15"/>
    <mergeCell ref="E5:F5"/>
    <mergeCell ref="A3:C3"/>
    <mergeCell ref="B25:R25"/>
    <mergeCell ref="B31:R31"/>
    <mergeCell ref="J20:R20"/>
    <mergeCell ref="J16:R16"/>
    <mergeCell ref="H6:I6"/>
    <mergeCell ref="B27:R27"/>
    <mergeCell ref="A5:C5"/>
    <mergeCell ref="J6:K6"/>
    <mergeCell ref="A2:R2"/>
    <mergeCell ref="A16:H16"/>
    <mergeCell ref="J22:R22"/>
    <mergeCell ref="J21:R21"/>
    <mergeCell ref="A12:H12"/>
    <mergeCell ref="J12:R12"/>
    <mergeCell ref="A18:H18"/>
    <mergeCell ref="E6:F6"/>
    <mergeCell ref="A21:H21"/>
    <mergeCell ref="P5:R5"/>
    <mergeCell ref="J18:R18"/>
    <mergeCell ref="B29:R29"/>
    <mergeCell ref="A10:R10"/>
    <mergeCell ref="B34:R34"/>
    <mergeCell ref="A14:H14"/>
    <mergeCell ref="B28:R28"/>
    <mergeCell ref="A9:R9"/>
    <mergeCell ref="J17:R17"/>
    <mergeCell ref="A22:H22"/>
    <mergeCell ref="A17:H17"/>
    <mergeCell ref="J14:R14"/>
    <mergeCell ref="A24:R24"/>
    <mergeCell ref="A20:H20"/>
    <mergeCell ref="B30:R30"/>
    <mergeCell ref="J19:R19"/>
    <mergeCell ref="A6:C6"/>
    <mergeCell ref="A36:R36"/>
    <mergeCell ref="H5:I5"/>
    <mergeCell ref="A13:H13"/>
    <mergeCell ref="A1:R1"/>
    <mergeCell ref="J13:R13"/>
    <mergeCell ref="A19:H19"/>
    <mergeCell ref="B33:R33"/>
    <mergeCell ref="P6:R6"/>
  </mergeCells>
  <conditionalFormatting sqref="P6">
    <cfRule type="expression" priority="1" dxfId="20">
      <formula>$P$6="Complete"</formula>
    </cfRule>
    <cfRule type="expression" priority="2" dxfId="21">
      <formula>$P$6="On Track"</formula>
    </cfRule>
    <cfRule type="expression" priority="3" dxfId="22">
      <formula>$P$6="Behind"</formula>
    </cfRule>
    <cfRule type="expression" priority="4" dxfId="22">
      <formula>$P$6="Blocked"</formula>
    </cfRule>
  </conditionalFormatting>
  <conditionalFormatting sqref="F38:F57">
    <cfRule type="expression" priority="5" dxfId="4">
      <formula>$F38="Completed"</formula>
    </cfRule>
    <cfRule type="expression" priority="6" dxfId="5">
      <formula>$F38="In Progress"</formula>
    </cfRule>
    <cfRule type="expression" priority="7" dxfId="11">
      <formula>$F38="Testing"</formula>
    </cfRule>
    <cfRule type="expression" priority="8" dxfId="11">
      <formula>$F38="In Review"</formula>
    </cfRule>
    <cfRule type="expression" priority="9" dxfId="6">
      <formula>$F38="Blocked"</formula>
    </cfRule>
    <cfRule type="expression" priority="10" dxfId="7">
      <formula>$F38="Not Started"</formula>
    </cfRule>
  </conditionalFormatting>
  <conditionalFormatting sqref="I38:I57">
    <cfRule type="dataBar" priority="11">
      <dataBar>
        <cfvo type="num" val="0"/>
        <cfvo type="num" val="1"/>
        <color rgb="0010B981"/>
      </dataBar>
    </cfRule>
  </conditionalFormatting>
  <conditionalFormatting sqref="P38:P57">
    <cfRule type="expression" priority="12" dxfId="16">
      <formula>$P38="Overdue"</formula>
    </cfRule>
    <cfRule type="expression" priority="13" dxfId="16">
      <formula>$P38="Blocked"</formula>
    </cfRule>
    <cfRule type="expression" priority="14" dxfId="19">
      <formula>$P38="Due soon"</formula>
    </cfRule>
    <cfRule type="expression" priority="15" dxfId="4">
      <formula>$P38="Done"</formula>
    </cfRule>
    <cfRule type="expression" priority="16" dxfId="11">
      <formula>$P38="Dependency open"</formula>
    </cfRule>
    <cfRule type="expression" priority="17" dxfId="11">
      <formula>$P38="External req."</formula>
    </cfRule>
    <cfRule type="expression" priority="18" dxfId="5">
      <formula>$P38="On track"</formula>
    </cfRule>
  </conditionalFormatting>
  <conditionalFormatting sqref="O38:O57">
    <cfRule type="expression" priority="19" dxfId="4">
      <formula>$O38="Pass"</formula>
    </cfRule>
    <cfRule type="expression" priority="20" dxfId="6">
      <formula>$O38="Fail"</formula>
    </cfRule>
    <cfRule type="expression" priority="21" dxfId="11">
      <formula>$O38="Partial"</formula>
    </cfRule>
  </conditionalFormatting>
  <hyperlinks>
    <hyperlink xmlns:r="http://schemas.openxmlformats.org/officeDocument/2006/relationships" ref="A3" r:id="rId1"/>
    <hyperlink xmlns:r="http://schemas.openxmlformats.org/officeDocument/2006/relationships" ref="D3" r:id="rId2"/>
    <hyperlink xmlns:r="http://schemas.openxmlformats.org/officeDocument/2006/relationships" ref="F3" r:id="rId3"/>
  </hyperlinks>
  <pageMargins left="0.75" right="0.75" top="1" bottom="1" header="0.5" footer="0.5"/>
  <pageSetup orientation="landscape" fitToHeight="0" fitToWidth="1"/>
</worksheet>
</file>

<file path=xl/worksheets/sheet7.xml><?xml version="1.0" encoding="utf-8"?>
<worksheet xmlns="http://schemas.openxmlformats.org/spreadsheetml/2006/main">
  <sheetPr>
    <tabColor rgb="00334155"/>
    <outlinePr summaryBelow="1" summaryRight="1"/>
    <pageSetUpPr fitToPage="1"/>
  </sheetPr>
  <dimension ref="A1:S67"/>
  <sheetViews>
    <sheetView showGridLines="0" zoomScale="90" workbookViewId="0">
      <pane ySplit="3" topLeftCell="A4" activePane="bottomLeft" state="frozen"/>
      <selection pane="bottomLeft" activeCell="A1" sqref="A1"/>
    </sheetView>
  </sheetViews>
  <sheetFormatPr baseColWidth="8" defaultRowHeight="15"/>
  <cols>
    <col width="5" customWidth="1" min="1" max="1"/>
    <col width="9" customWidth="1" min="2" max="2"/>
    <col width="15" customWidth="1" min="3" max="3"/>
    <col width="32" customWidth="1" min="4" max="4"/>
    <col width="8" customWidth="1" min="5" max="5"/>
    <col width="12" customWidth="1" min="6" max="6"/>
    <col width="10" customWidth="1" min="7" max="7"/>
    <col width="10" customWidth="1" min="8" max="8"/>
    <col width="10" customWidth="1" min="9" max="9"/>
    <col width="16" customWidth="1" min="10" max="10"/>
    <col width="12" customWidth="1" min="11" max="11"/>
    <col width="30" customWidth="1" min="12" max="12"/>
    <col width="38" customWidth="1" min="13" max="13"/>
    <col width="38" customWidth="1" min="14" max="14"/>
    <col width="10" customWidth="1" min="15" max="15"/>
    <col width="13" customWidth="1" min="16" max="16"/>
    <col width="12" customWidth="1" min="17" max="17"/>
    <col width="12" customWidth="1" min="18" max="18"/>
    <col hidden="1" width="4" customWidth="1" min="19" max="19"/>
  </cols>
  <sheetData>
    <row r="1" ht="34" customHeight="1">
      <c r="A1" s="1" t="inlineStr">
        <is>
          <t xml:space="preserve">  PHASE 5 — AUTH, SUBSCRIPTIONS, ADOPS &amp; LEADS</t>
        </is>
      </c>
      <c r="B1" s="2" t="n"/>
      <c r="C1" s="2" t="n"/>
      <c r="D1" s="2" t="n"/>
      <c r="E1" s="2" t="n"/>
      <c r="F1" s="2" t="n"/>
      <c r="G1" s="2" t="n"/>
      <c r="H1" s="2" t="n"/>
      <c r="I1" s="2" t="n"/>
      <c r="J1" s="2" t="n"/>
      <c r="K1" s="2" t="n"/>
      <c r="L1" s="2" t="n"/>
      <c r="M1" s="2" t="n"/>
      <c r="N1" s="2" t="n"/>
      <c r="O1" s="2" t="n"/>
      <c r="P1" s="2" t="n"/>
      <c r="Q1" s="2" t="n"/>
      <c r="R1" s="2" t="n"/>
    </row>
    <row r="2" ht="20" customHeight="1">
      <c r="A2" s="3" t="inlineStr">
        <is>
          <t xml:space="preserve">  Window 23 Oct – 25 Oct 2026   ·   Status is read live from the Master Tracker (edit there)</t>
        </is>
      </c>
      <c r="B2" s="4" t="n"/>
      <c r="C2" s="4" t="n"/>
      <c r="D2" s="4" t="n"/>
      <c r="E2" s="4" t="n"/>
      <c r="F2" s="4" t="n"/>
      <c r="G2" s="4" t="n"/>
      <c r="H2" s="4" t="n"/>
      <c r="I2" s="4" t="n"/>
      <c r="J2" s="4" t="n"/>
      <c r="K2" s="4" t="n"/>
      <c r="L2" s="4" t="n"/>
      <c r="M2" s="4" t="n"/>
      <c r="N2" s="4" t="n"/>
      <c r="O2" s="4" t="n"/>
      <c r="P2" s="4" t="n"/>
      <c r="Q2" s="4" t="n"/>
      <c r="R2" s="4" t="n"/>
    </row>
    <row r="3">
      <c r="A3" s="87" t="inlineStr">
        <is>
          <t>← Dashboard</t>
        </is>
      </c>
      <c r="D3" s="87" t="inlineStr">
        <is>
          <t>Open Master Tracker →</t>
        </is>
      </c>
      <c r="F3" s="7" t="inlineStr">
        <is>
          <t>Staging ↗</t>
        </is>
      </c>
    </row>
    <row r="5">
      <c r="A5" s="100" t="inlineStr">
        <is>
          <t>COMPLETION</t>
        </is>
      </c>
      <c r="B5" s="101" t="n"/>
      <c r="C5" s="101" t="n"/>
      <c r="D5" s="100" t="inlineStr">
        <is>
          <t>PLANNED</t>
        </is>
      </c>
      <c r="E5" s="100" t="inlineStr">
        <is>
          <t>TASKS</t>
        </is>
      </c>
      <c r="F5" s="101" t="n"/>
      <c r="G5" s="100" t="inlineStr">
        <is>
          <t>DONE</t>
        </is>
      </c>
      <c r="H5" s="100" t="inlineStr">
        <is>
          <t>IN PROGRESS</t>
        </is>
      </c>
      <c r="I5" s="101" t="n"/>
      <c r="J5" s="100" t="inlineStr">
        <is>
          <t>BLOCKED</t>
        </is>
      </c>
      <c r="K5" s="101" t="n"/>
      <c r="L5" s="100" t="inlineStr">
        <is>
          <t>OVERDUE</t>
        </is>
      </c>
      <c r="M5" s="100" t="inlineStr">
        <is>
          <t>IN REVIEW / TEST</t>
        </is>
      </c>
      <c r="N5" s="100" t="inlineStr">
        <is>
          <t>OPEN P0</t>
        </is>
      </c>
      <c r="O5" s="100" t="inlineStr">
        <is>
          <t>DEADLINE</t>
        </is>
      </c>
      <c r="P5" s="102" t="inlineStr">
        <is>
          <t>PHASE STATUS</t>
        </is>
      </c>
    </row>
    <row r="6" ht="32" customHeight="1">
      <c r="A6" s="103">
        <f>IFERROR(SUMPRODUCT(('Master Tracker'!$B$6:$B$400="Phase 5")*'Master Tracker'!$U$6:$U$400)/COUNTIFS('Master Tracker'!$B$6:$B$400,"Phase 5",'Master Tracker'!$A$6:$A$400,"?*"),0)</f>
        <v/>
      </c>
      <c r="B6" s="104" t="n"/>
      <c r="C6" s="104" t="n"/>
      <c r="D6" s="103">
        <f>IFERROR(SUMPRODUCT(('Master Tracker'!$B$6:$B$400="Phase 5")*'Master Tracker'!$V$6:$V$400)/COUNTIFS('Master Tracker'!$B$6:$B$400,"Phase 5",'Master Tracker'!$A$6:$A$400,"?*"),0)</f>
        <v/>
      </c>
      <c r="E6" s="105">
        <f>COUNTIFS('Master Tracker'!$B$6:$B$400,"Phase 5",'Master Tracker'!$A$6:$A$400,"?*")</f>
        <v/>
      </c>
      <c r="F6" s="104" t="n"/>
      <c r="G6" s="105">
        <f>COUNTIFS('Master Tracker'!$B$6:$B$400,"Phase 5",'Master Tracker'!$G$6:$G$400,"Completed")</f>
        <v/>
      </c>
      <c r="H6" s="105">
        <f>COUNTIFS('Master Tracker'!$B$6:$B$400,"Phase 5",'Master Tracker'!$G$6:$G$400,"In Progress")</f>
        <v/>
      </c>
      <c r="I6" s="104" t="n"/>
      <c r="J6" s="105">
        <f>COUNTIFS('Master Tracker'!$B$6:$B$400,"Phase 5",'Master Tracker'!$G$6:$G$400,"Blocked")</f>
        <v/>
      </c>
      <c r="K6" s="104" t="n"/>
      <c r="L6" s="105">
        <f>COUNTIFS('Master Tracker'!$B$6:$B$400,"Phase 5",'Master Tracker'!$X$6:$X$400,"OVERDUE")</f>
        <v/>
      </c>
      <c r="M6" s="105">
        <f>COUNTIFS('Master Tracker'!$B$6:$B$400,"Phase 5",'Master Tracker'!$G$6:$G$400,"In Review")+COUNTIFS('Master Tracker'!$B$6:$B$400,"Phase 5",'Master Tracker'!$G$6:$G$400,"Testing")</f>
        <v/>
      </c>
      <c r="N6" s="105">
        <f>COUNTIFS('Master Tracker'!$B$6:$B$400,"Phase 5",'Master Tracker'!$F$6:$F$400,"P0",'Master Tracker'!$G$6:$G$400,"&lt;&gt;Completed",'Master Tracker'!$A$6:$A$400,"?*")</f>
        <v/>
      </c>
      <c r="O6" s="106">
        <f>_xlfn.MAXIFS('Master Tracker'!$I$6:$I$400,'Master Tracker'!$B$6:$B$400,"Phase 5")</f>
        <v/>
      </c>
      <c r="P6" s="107">
        <f>IF(E6=0,"—",IF(G6=E6,"Complete",IF(J6&gt;0,"Blocked",IF(L6&gt;0,"Behind",IF(A6+0.1&lt;D6,"Behind",IF(A6&gt;0,"On Track","Not Started"))))))</f>
        <v/>
      </c>
    </row>
    <row r="7" ht="22" customHeight="1">
      <c r="A7" s="108">
        <f>"Progress  "&amp;REPT("█",ROUND(A6*50,0))&amp;REPT("░",50-ROUND(A6*50,0))&amp;"  "&amp;TEXT(A6,"0%")&amp;"  (planned "&amp;TEXT(D6,"0%")&amp;")"</f>
        <v/>
      </c>
    </row>
    <row r="9" ht="22" customHeight="1">
      <c r="A9" s="9" t="inlineStr">
        <is>
          <t xml:space="preserve">  PHASE GOAL</t>
        </is>
      </c>
      <c r="B9" s="10" t="n"/>
      <c r="C9" s="10" t="n"/>
      <c r="D9" s="10" t="n"/>
      <c r="E9" s="10" t="n"/>
      <c r="F9" s="10" t="n"/>
      <c r="G9" s="10" t="n"/>
      <c r="H9" s="10" t="n"/>
      <c r="I9" s="10" t="n"/>
      <c r="J9" s="10" t="n"/>
      <c r="K9" s="10" t="n"/>
      <c r="L9" s="10" t="n"/>
      <c r="M9" s="10" t="n"/>
      <c r="N9" s="10" t="n"/>
      <c r="O9" s="10" t="n"/>
      <c r="P9" s="10" t="n"/>
      <c r="Q9" s="10" t="n"/>
      <c r="R9" s="10" t="n"/>
    </row>
    <row r="10" ht="46" customHeight="1">
      <c r="A10" s="109" t="inlineStr">
        <is>
          <t>Enable reader accounts (email, Google, Apple), paid subscription tiers with verified payment webhooks, a member dashboard, and revenue pages (advertising, rate calculator, media kit, lead capture) plus About/Contact and editorial role permissions — all hardened against abuse.</t>
        </is>
      </c>
    </row>
    <row r="12" ht="22" customHeight="1">
      <c r="A12" s="9" t="inlineStr">
        <is>
          <t xml:space="preserve">  DELIVERABLES</t>
        </is>
      </c>
      <c r="B12" s="10" t="n"/>
      <c r="C12" s="10" t="n"/>
      <c r="D12" s="10" t="n"/>
      <c r="E12" s="10" t="n"/>
      <c r="F12" s="10" t="n"/>
      <c r="G12" s="10" t="n"/>
      <c r="H12" s="10" t="n"/>
      <c r="J12" s="9" t="inlineStr">
        <is>
          <t xml:space="preserve">  REQUIRED WORDPRESS FILES</t>
        </is>
      </c>
      <c r="K12" s="10" t="n"/>
      <c r="L12" s="10" t="n"/>
      <c r="M12" s="10" t="n"/>
      <c r="N12" s="10" t="n"/>
      <c r="O12" s="10" t="n"/>
      <c r="P12" s="10" t="n"/>
      <c r="Q12" s="10" t="n"/>
      <c r="R12" s="10" t="n"/>
    </row>
    <row r="13">
      <c r="A13" s="110" t="inlineStr">
        <is>
          <t>▸ Login, registration, password reset</t>
        </is>
      </c>
      <c r="J13" s="110" t="inlineStr">
        <is>
          <t>▸ page-templates/page-login.php, page-register.php, page-reset.php</t>
        </is>
      </c>
    </row>
    <row r="14">
      <c r="A14" s="111" t="inlineStr">
        <is>
          <t>▸ Google and Apple sign-in</t>
        </is>
      </c>
      <c r="J14" s="111" t="inlineStr">
        <is>
          <t>▸ page-templates/page-account.php</t>
        </is>
      </c>
    </row>
    <row r="15">
      <c r="A15" s="110" t="inlineStr">
        <is>
          <t>▸ Member dashboard</t>
        </is>
      </c>
      <c r="J15" s="110" t="inlineStr">
        <is>
          <t>▸ inc/auth/*.php</t>
        </is>
      </c>
    </row>
    <row r="16">
      <c r="A16" s="111" t="inlineStr">
        <is>
          <t>▸ Security hardening &amp; rate limiting</t>
        </is>
      </c>
      <c r="J16" s="111" t="inlineStr">
        <is>
          <t>▸ inc/auth/social-google.php, social-apple.php</t>
        </is>
      </c>
    </row>
    <row r="17">
      <c r="A17" s="110" t="inlineStr">
        <is>
          <t>▸ Subscription tiers + payment gateway + verified webhooks</t>
        </is>
      </c>
      <c r="J17" s="110" t="inlineStr">
        <is>
          <t>▸ inc/subscriptions/*.php</t>
        </is>
      </c>
    </row>
    <row r="18">
      <c r="A18" s="111" t="inlineStr">
        <is>
          <t>▸ Advertising page, rate calculator, media kit</t>
        </is>
      </c>
      <c r="J18" s="111" t="inlineStr">
        <is>
          <t>▸ inc/payments/gateway.php, webhook.php</t>
        </is>
      </c>
    </row>
    <row r="19">
      <c r="A19" s="110" t="inlineStr">
        <is>
          <t>▸ Lead capture forms</t>
        </is>
      </c>
      <c r="J19" s="110" t="inlineStr">
        <is>
          <t>▸ page-templates/page-advertise.php</t>
        </is>
      </c>
    </row>
    <row r="20">
      <c r="A20" s="111" t="inlineStr">
        <is>
          <t>▸ About and Contact pages</t>
        </is>
      </c>
      <c r="J20" s="111" t="inlineStr">
        <is>
          <t>▸ assets/js/modules/rate-calculator.js</t>
        </is>
      </c>
    </row>
    <row r="21">
      <c r="A21" s="110" t="inlineStr">
        <is>
          <t>▸ Editorial roles &amp; permissions</t>
        </is>
      </c>
      <c r="J21" s="110" t="inlineStr">
        <is>
          <t>▸ inc/leads.php</t>
        </is>
      </c>
    </row>
    <row r="22">
      <c r="A22" s="111" t="n"/>
      <c r="J22" s="111" t="inlineStr">
        <is>
          <t>▸ page-templates/page-about.php, page-contact.php</t>
        </is>
      </c>
    </row>
    <row r="23">
      <c r="A23" s="110" t="n"/>
      <c r="J23" s="110" t="inlineStr">
        <is>
          <t>▸ inc/roles.php</t>
        </is>
      </c>
    </row>
    <row r="24">
      <c r="A24" s="111" t="n"/>
      <c r="J24" s="111" t="inlineStr">
        <is>
          <t>▸ inc/security.php</t>
        </is>
      </c>
    </row>
    <row r="26" ht="22" customHeight="1">
      <c r="A26" s="9" t="inlineStr">
        <is>
          <t xml:space="preserve">  TECHNICAL IMPLEMENTATION STEPS</t>
        </is>
      </c>
      <c r="B26" s="10" t="n"/>
      <c r="C26" s="10" t="n"/>
      <c r="D26" s="10" t="n"/>
      <c r="E26" s="10" t="n"/>
      <c r="F26" s="10" t="n"/>
      <c r="G26" s="10" t="n"/>
      <c r="H26" s="10" t="n"/>
      <c r="I26" s="10" t="n"/>
      <c r="J26" s="10" t="n"/>
      <c r="K26" s="10" t="n"/>
      <c r="L26" s="10" t="n"/>
      <c r="M26" s="10" t="n"/>
      <c r="N26" s="10" t="n"/>
      <c r="O26" s="10" t="n"/>
      <c r="P26" s="10" t="n"/>
      <c r="Q26" s="10" t="n"/>
      <c r="R26" s="10" t="n"/>
    </row>
    <row r="27">
      <c r="A27" s="112" t="n">
        <v>1</v>
      </c>
      <c r="B27" s="111" t="inlineStr">
        <is>
          <t>Day 1: request Google OAuth, Apple Developer and payment-provider credentials</t>
        </is>
      </c>
    </row>
    <row r="28">
      <c r="A28" s="112" t="n">
        <v>2</v>
      </c>
      <c r="B28" s="110" t="inlineStr">
        <is>
          <t>Build custom auth templates (wp_signon, registration, reset, email verification)</t>
        </is>
      </c>
    </row>
    <row r="29">
      <c r="A29" s="112" t="n">
        <v>3</v>
      </c>
      <c r="B29" s="111" t="inlineStr">
        <is>
          <t>Integrate Google OAuth 2.0 and Sign in with Apple</t>
        </is>
      </c>
    </row>
    <row r="30">
      <c r="A30" s="112" t="n">
        <v>4</v>
      </c>
      <c r="B30" s="110" t="inlineStr">
        <is>
          <t>Model tiers (roles/capabilities + user meta expiry)</t>
        </is>
      </c>
    </row>
    <row r="31">
      <c r="A31" s="112" t="n">
        <v>5</v>
      </c>
      <c r="B31" s="111" t="inlineStr">
        <is>
          <t>Integrate gateway hosted checkout (sandbox first)</t>
        </is>
      </c>
    </row>
    <row r="32">
      <c r="A32" s="112" t="n">
        <v>6</v>
      </c>
      <c r="B32" s="110" t="inlineStr">
        <is>
          <t>Implement webhook endpoint with signature check + idempotency</t>
        </is>
      </c>
    </row>
    <row r="33">
      <c r="A33" s="112" t="n">
        <v>7</v>
      </c>
      <c r="B33" s="111" t="inlineStr">
        <is>
          <t>Build member dashboard (profile, plan, downloads)</t>
        </is>
      </c>
    </row>
    <row r="34">
      <c r="A34" s="112" t="n">
        <v>8</v>
      </c>
      <c r="B34" s="110" t="inlineStr">
        <is>
          <t>Add rate limiting, nonces, CAPTCHA/honeypot</t>
        </is>
      </c>
    </row>
    <row r="35">
      <c r="A35" s="112" t="n">
        <v>9</v>
      </c>
      <c r="B35" s="111" t="inlineStr">
        <is>
          <t>Build advertising page, calculator, media kit, lead forms (stored + emailed)</t>
        </is>
      </c>
    </row>
    <row r="36">
      <c r="A36" s="112" t="n">
        <v>10</v>
      </c>
      <c r="B36" s="110" t="inlineStr">
        <is>
          <t>Build About/Contact; configure SMTP; define editorial roles</t>
        </is>
      </c>
    </row>
    <row r="38" ht="22" customHeight="1">
      <c r="A38" s="9" t="inlineStr">
        <is>
          <t xml:space="preserve">  DETAILED TASK CHECKLIST   (live from Master Tracker — change Status / % there)</t>
        </is>
      </c>
      <c r="B38" s="10" t="n"/>
      <c r="C38" s="10" t="n"/>
      <c r="D38" s="10" t="n"/>
      <c r="E38" s="10" t="n"/>
      <c r="F38" s="10" t="n"/>
      <c r="G38" s="10" t="n"/>
      <c r="H38" s="10" t="n"/>
      <c r="I38" s="10" t="n"/>
      <c r="J38" s="10" t="n"/>
      <c r="K38" s="10" t="n"/>
      <c r="L38" s="10" t="n"/>
      <c r="M38" s="10" t="n"/>
      <c r="N38" s="10" t="n"/>
      <c r="O38" s="10" t="n"/>
      <c r="P38" s="10" t="n"/>
      <c r="Q38" s="10" t="n"/>
      <c r="R38" s="10" t="n"/>
    </row>
    <row r="39">
      <c r="A39" s="61" t="inlineStr">
        <is>
          <t>#</t>
        </is>
      </c>
      <c r="B39" s="61" t="inlineStr">
        <is>
          <t>Task ID</t>
        </is>
      </c>
      <c r="C39" s="61" t="inlineStr">
        <is>
          <t>Module</t>
        </is>
      </c>
      <c r="D39" s="61" t="inlineStr">
        <is>
          <t>Task</t>
        </is>
      </c>
      <c r="E39" s="61" t="inlineStr">
        <is>
          <t>Priority</t>
        </is>
      </c>
      <c r="F39" s="61" t="inlineStr">
        <is>
          <t>Status</t>
        </is>
      </c>
      <c r="G39" s="61" t="inlineStr">
        <is>
          <t>Start</t>
        </is>
      </c>
      <c r="H39" s="61" t="inlineStr">
        <is>
          <t>Due</t>
        </is>
      </c>
      <c r="I39" s="61" t="inlineStr">
        <is>
          <t>Complete</t>
        </is>
      </c>
      <c r="J39" s="61" t="inlineStr">
        <is>
          <t>Dependencies</t>
        </is>
      </c>
      <c r="K39" s="61" t="inlineStr">
        <is>
          <t>Dep. check</t>
        </is>
      </c>
      <c r="L39" s="61" t="inlineStr">
        <is>
          <t>WordPress files</t>
        </is>
      </c>
      <c r="M39" s="61" t="inlineStr">
        <is>
          <t>Acceptance criteria</t>
        </is>
      </c>
      <c r="N39" s="61" t="inlineStr">
        <is>
          <t>Testing checklist</t>
        </is>
      </c>
      <c r="O39" s="61" t="inlineStr">
        <is>
          <t>Test result</t>
        </is>
      </c>
      <c r="P39" s="61" t="inlineStr">
        <is>
          <t>Alert</t>
        </is>
      </c>
    </row>
    <row r="40" ht="48" customHeight="1">
      <c r="A40" s="53" t="n">
        <v>1</v>
      </c>
      <c r="B40" s="113">
        <f>IF($S40="","",IF(INDEX('Master Tracker'!$A$6:$A$400,$S40)="","",INDEX('Master Tracker'!$A$6:$A$400,$S40)))</f>
        <v/>
      </c>
      <c r="C40" s="114">
        <f>IF($S40="","",IF(INDEX('Master Tracker'!$C$6:$C$400,$S40)="","",INDEX('Master Tracker'!$C$6:$C$400,$S40)))</f>
        <v/>
      </c>
      <c r="D40" s="114">
        <f>IF($S40="","",IF(INDEX('Master Tracker'!$D$6:$D$400,$S40)="","",INDEX('Master Tracker'!$D$6:$D$400,$S40)))</f>
        <v/>
      </c>
      <c r="E40" s="53">
        <f>IF($S40="","",IF(INDEX('Master Tracker'!$F$6:$F$400,$S40)="","",INDEX('Master Tracker'!$F$6:$F$400,$S40)))</f>
        <v/>
      </c>
      <c r="F40" s="53">
        <f>IF($S40="","",IF(INDEX('Master Tracker'!$G$6:$G$400,$S40)="","",INDEX('Master Tracker'!$G$6:$G$400,$S40)))</f>
        <v/>
      </c>
      <c r="G40" s="70">
        <f>IF($S40="","",IF(INDEX('Master Tracker'!$H$6:$H$400,$S40)="","",INDEX('Master Tracker'!$H$6:$H$400,$S40)))</f>
        <v/>
      </c>
      <c r="H40" s="70">
        <f>IF($S40="","",IF(INDEX('Master Tracker'!$I$6:$I$400,$S40)="","",INDEX('Master Tracker'!$I$6:$I$400,$S40)))</f>
        <v/>
      </c>
      <c r="I40" s="115">
        <f>IF($S40="","",IF(INDEX('Master Tracker'!$U$6:$U$400,$S40)="","",INDEX('Master Tracker'!$U$6:$U$400,$S40)))</f>
        <v/>
      </c>
      <c r="J40" s="114">
        <f>IF($S40="","",IF(INDEX('Master Tracker'!$K$6:$K$400,$S40)="","",INDEX('Master Tracker'!$K$6:$K$400,$S40)))</f>
        <v/>
      </c>
      <c r="K40" s="114">
        <f>IF($S40="","",IF(INDEX('Master Tracker'!$Y$6:$Y$400,$S40)="","",INDEX('Master Tracker'!$Y$6:$Y$400,$S40)))</f>
        <v/>
      </c>
      <c r="L40" s="114">
        <f>IF($S40="","",IF(INDEX('Master Tracker'!$M$6:$M$400,$S40)="","",INDEX('Master Tracker'!$M$6:$M$400,$S40)))</f>
        <v/>
      </c>
      <c r="M40" s="114">
        <f>IF($S40="","",IF(INDEX('Master Tracker'!$O$6:$O$400,$S40)="","",INDEX('Master Tracker'!$O$6:$O$400,$S40)))</f>
        <v/>
      </c>
      <c r="N40" s="114">
        <f>IF($S40="","",IF(INDEX('Master Tracker'!$N$6:$N$400,$S40)="","",INDEX('Master Tracker'!$N$6:$N$400,$S40)))</f>
        <v/>
      </c>
      <c r="O40" s="53">
        <f>IF($S40="","",IF(INDEX('Master Tracker'!$T$6:$T$400,$S40)="","",INDEX('Master Tracker'!$T$6:$T$400,$S40)))</f>
        <v/>
      </c>
      <c r="P40" s="53">
        <f>IF($S40="","",IF(INDEX('Master Tracker'!$AC$6:$AC$400,$S40)="","",INDEX('Master Tracker'!$AC$6:$AC$400,$S40)))</f>
        <v/>
      </c>
      <c r="S40">
        <f>IFERROR(MATCH("Phase 5|"&amp;A40,'Master Tracker'!$Z$6:$Z$400,0),"")</f>
        <v/>
      </c>
    </row>
    <row r="41" ht="48" customHeight="1">
      <c r="A41" s="53" t="n">
        <v>2</v>
      </c>
      <c r="B41" s="113">
        <f>IF($S41="","",IF(INDEX('Master Tracker'!$A$6:$A$400,$S41)="","",INDEX('Master Tracker'!$A$6:$A$400,$S41)))</f>
        <v/>
      </c>
      <c r="C41" s="114">
        <f>IF($S41="","",IF(INDEX('Master Tracker'!$C$6:$C$400,$S41)="","",INDEX('Master Tracker'!$C$6:$C$400,$S41)))</f>
        <v/>
      </c>
      <c r="D41" s="114">
        <f>IF($S41="","",IF(INDEX('Master Tracker'!$D$6:$D$400,$S41)="","",INDEX('Master Tracker'!$D$6:$D$400,$S41)))</f>
        <v/>
      </c>
      <c r="E41" s="53">
        <f>IF($S41="","",IF(INDEX('Master Tracker'!$F$6:$F$400,$S41)="","",INDEX('Master Tracker'!$F$6:$F$400,$S41)))</f>
        <v/>
      </c>
      <c r="F41" s="53">
        <f>IF($S41="","",IF(INDEX('Master Tracker'!$G$6:$G$400,$S41)="","",INDEX('Master Tracker'!$G$6:$G$400,$S41)))</f>
        <v/>
      </c>
      <c r="G41" s="70">
        <f>IF($S41="","",IF(INDEX('Master Tracker'!$H$6:$H$400,$S41)="","",INDEX('Master Tracker'!$H$6:$H$400,$S41)))</f>
        <v/>
      </c>
      <c r="H41" s="70">
        <f>IF($S41="","",IF(INDEX('Master Tracker'!$I$6:$I$400,$S41)="","",INDEX('Master Tracker'!$I$6:$I$400,$S41)))</f>
        <v/>
      </c>
      <c r="I41" s="115">
        <f>IF($S41="","",IF(INDEX('Master Tracker'!$U$6:$U$400,$S41)="","",INDEX('Master Tracker'!$U$6:$U$400,$S41)))</f>
        <v/>
      </c>
      <c r="J41" s="114">
        <f>IF($S41="","",IF(INDEX('Master Tracker'!$K$6:$K$400,$S41)="","",INDEX('Master Tracker'!$K$6:$K$400,$S41)))</f>
        <v/>
      </c>
      <c r="K41" s="114">
        <f>IF($S41="","",IF(INDEX('Master Tracker'!$Y$6:$Y$400,$S41)="","",INDEX('Master Tracker'!$Y$6:$Y$400,$S41)))</f>
        <v/>
      </c>
      <c r="L41" s="114">
        <f>IF($S41="","",IF(INDEX('Master Tracker'!$M$6:$M$400,$S41)="","",INDEX('Master Tracker'!$M$6:$M$400,$S41)))</f>
        <v/>
      </c>
      <c r="M41" s="114">
        <f>IF($S41="","",IF(INDEX('Master Tracker'!$O$6:$O$400,$S41)="","",INDEX('Master Tracker'!$O$6:$O$400,$S41)))</f>
        <v/>
      </c>
      <c r="N41" s="114">
        <f>IF($S41="","",IF(INDEX('Master Tracker'!$N$6:$N$400,$S41)="","",INDEX('Master Tracker'!$N$6:$N$400,$S41)))</f>
        <v/>
      </c>
      <c r="O41" s="53">
        <f>IF($S41="","",IF(INDEX('Master Tracker'!$T$6:$T$400,$S41)="","",INDEX('Master Tracker'!$T$6:$T$400,$S41)))</f>
        <v/>
      </c>
      <c r="P41" s="53">
        <f>IF($S41="","",IF(INDEX('Master Tracker'!$AC$6:$AC$400,$S41)="","",INDEX('Master Tracker'!$AC$6:$AC$400,$S41)))</f>
        <v/>
      </c>
      <c r="S41">
        <f>IFERROR(MATCH("Phase 5|"&amp;A41,'Master Tracker'!$Z$6:$Z$400,0),"")</f>
        <v/>
      </c>
    </row>
    <row r="42" ht="48" customHeight="1">
      <c r="A42" s="53" t="n">
        <v>3</v>
      </c>
      <c r="B42" s="113">
        <f>IF($S42="","",IF(INDEX('Master Tracker'!$A$6:$A$400,$S42)="","",INDEX('Master Tracker'!$A$6:$A$400,$S42)))</f>
        <v/>
      </c>
      <c r="C42" s="114">
        <f>IF($S42="","",IF(INDEX('Master Tracker'!$C$6:$C$400,$S42)="","",INDEX('Master Tracker'!$C$6:$C$400,$S42)))</f>
        <v/>
      </c>
      <c r="D42" s="114">
        <f>IF($S42="","",IF(INDEX('Master Tracker'!$D$6:$D$400,$S42)="","",INDEX('Master Tracker'!$D$6:$D$400,$S42)))</f>
        <v/>
      </c>
      <c r="E42" s="53">
        <f>IF($S42="","",IF(INDEX('Master Tracker'!$F$6:$F$400,$S42)="","",INDEX('Master Tracker'!$F$6:$F$400,$S42)))</f>
        <v/>
      </c>
      <c r="F42" s="53">
        <f>IF($S42="","",IF(INDEX('Master Tracker'!$G$6:$G$400,$S42)="","",INDEX('Master Tracker'!$G$6:$G$400,$S42)))</f>
        <v/>
      </c>
      <c r="G42" s="70">
        <f>IF($S42="","",IF(INDEX('Master Tracker'!$H$6:$H$400,$S42)="","",INDEX('Master Tracker'!$H$6:$H$400,$S42)))</f>
        <v/>
      </c>
      <c r="H42" s="70">
        <f>IF($S42="","",IF(INDEX('Master Tracker'!$I$6:$I$400,$S42)="","",INDEX('Master Tracker'!$I$6:$I$400,$S42)))</f>
        <v/>
      </c>
      <c r="I42" s="115">
        <f>IF($S42="","",IF(INDEX('Master Tracker'!$U$6:$U$400,$S42)="","",INDEX('Master Tracker'!$U$6:$U$400,$S42)))</f>
        <v/>
      </c>
      <c r="J42" s="114">
        <f>IF($S42="","",IF(INDEX('Master Tracker'!$K$6:$K$400,$S42)="","",INDEX('Master Tracker'!$K$6:$K$400,$S42)))</f>
        <v/>
      </c>
      <c r="K42" s="114">
        <f>IF($S42="","",IF(INDEX('Master Tracker'!$Y$6:$Y$400,$S42)="","",INDEX('Master Tracker'!$Y$6:$Y$400,$S42)))</f>
        <v/>
      </c>
      <c r="L42" s="114">
        <f>IF($S42="","",IF(INDEX('Master Tracker'!$M$6:$M$400,$S42)="","",INDEX('Master Tracker'!$M$6:$M$400,$S42)))</f>
        <v/>
      </c>
      <c r="M42" s="114">
        <f>IF($S42="","",IF(INDEX('Master Tracker'!$O$6:$O$400,$S42)="","",INDEX('Master Tracker'!$O$6:$O$400,$S42)))</f>
        <v/>
      </c>
      <c r="N42" s="114">
        <f>IF($S42="","",IF(INDEX('Master Tracker'!$N$6:$N$400,$S42)="","",INDEX('Master Tracker'!$N$6:$N$400,$S42)))</f>
        <v/>
      </c>
      <c r="O42" s="53">
        <f>IF($S42="","",IF(INDEX('Master Tracker'!$T$6:$T$400,$S42)="","",INDEX('Master Tracker'!$T$6:$T$400,$S42)))</f>
        <v/>
      </c>
      <c r="P42" s="53">
        <f>IF($S42="","",IF(INDEX('Master Tracker'!$AC$6:$AC$400,$S42)="","",INDEX('Master Tracker'!$AC$6:$AC$400,$S42)))</f>
        <v/>
      </c>
      <c r="S42">
        <f>IFERROR(MATCH("Phase 5|"&amp;A42,'Master Tracker'!$Z$6:$Z$400,0),"")</f>
        <v/>
      </c>
    </row>
    <row r="43" ht="48" customHeight="1">
      <c r="A43" s="53" t="n">
        <v>4</v>
      </c>
      <c r="B43" s="113">
        <f>IF($S43="","",IF(INDEX('Master Tracker'!$A$6:$A$400,$S43)="","",INDEX('Master Tracker'!$A$6:$A$400,$S43)))</f>
        <v/>
      </c>
      <c r="C43" s="114">
        <f>IF($S43="","",IF(INDEX('Master Tracker'!$C$6:$C$400,$S43)="","",INDEX('Master Tracker'!$C$6:$C$400,$S43)))</f>
        <v/>
      </c>
      <c r="D43" s="114">
        <f>IF($S43="","",IF(INDEX('Master Tracker'!$D$6:$D$400,$S43)="","",INDEX('Master Tracker'!$D$6:$D$400,$S43)))</f>
        <v/>
      </c>
      <c r="E43" s="53">
        <f>IF($S43="","",IF(INDEX('Master Tracker'!$F$6:$F$400,$S43)="","",INDEX('Master Tracker'!$F$6:$F$400,$S43)))</f>
        <v/>
      </c>
      <c r="F43" s="53">
        <f>IF($S43="","",IF(INDEX('Master Tracker'!$G$6:$G$400,$S43)="","",INDEX('Master Tracker'!$G$6:$G$400,$S43)))</f>
        <v/>
      </c>
      <c r="G43" s="70">
        <f>IF($S43="","",IF(INDEX('Master Tracker'!$H$6:$H$400,$S43)="","",INDEX('Master Tracker'!$H$6:$H$400,$S43)))</f>
        <v/>
      </c>
      <c r="H43" s="70">
        <f>IF($S43="","",IF(INDEX('Master Tracker'!$I$6:$I$400,$S43)="","",INDEX('Master Tracker'!$I$6:$I$400,$S43)))</f>
        <v/>
      </c>
      <c r="I43" s="115">
        <f>IF($S43="","",IF(INDEX('Master Tracker'!$U$6:$U$400,$S43)="","",INDEX('Master Tracker'!$U$6:$U$400,$S43)))</f>
        <v/>
      </c>
      <c r="J43" s="114">
        <f>IF($S43="","",IF(INDEX('Master Tracker'!$K$6:$K$400,$S43)="","",INDEX('Master Tracker'!$K$6:$K$400,$S43)))</f>
        <v/>
      </c>
      <c r="K43" s="114">
        <f>IF($S43="","",IF(INDEX('Master Tracker'!$Y$6:$Y$400,$S43)="","",INDEX('Master Tracker'!$Y$6:$Y$400,$S43)))</f>
        <v/>
      </c>
      <c r="L43" s="114">
        <f>IF($S43="","",IF(INDEX('Master Tracker'!$M$6:$M$400,$S43)="","",INDEX('Master Tracker'!$M$6:$M$400,$S43)))</f>
        <v/>
      </c>
      <c r="M43" s="114">
        <f>IF($S43="","",IF(INDEX('Master Tracker'!$O$6:$O$400,$S43)="","",INDEX('Master Tracker'!$O$6:$O$400,$S43)))</f>
        <v/>
      </c>
      <c r="N43" s="114">
        <f>IF($S43="","",IF(INDEX('Master Tracker'!$N$6:$N$400,$S43)="","",INDEX('Master Tracker'!$N$6:$N$400,$S43)))</f>
        <v/>
      </c>
      <c r="O43" s="53">
        <f>IF($S43="","",IF(INDEX('Master Tracker'!$T$6:$T$400,$S43)="","",INDEX('Master Tracker'!$T$6:$T$400,$S43)))</f>
        <v/>
      </c>
      <c r="P43" s="53">
        <f>IF($S43="","",IF(INDEX('Master Tracker'!$AC$6:$AC$400,$S43)="","",INDEX('Master Tracker'!$AC$6:$AC$400,$S43)))</f>
        <v/>
      </c>
      <c r="S43">
        <f>IFERROR(MATCH("Phase 5|"&amp;A43,'Master Tracker'!$Z$6:$Z$400,0),"")</f>
        <v/>
      </c>
    </row>
    <row r="44" ht="48" customHeight="1">
      <c r="A44" s="53" t="n">
        <v>5</v>
      </c>
      <c r="B44" s="113">
        <f>IF($S44="","",IF(INDEX('Master Tracker'!$A$6:$A$400,$S44)="","",INDEX('Master Tracker'!$A$6:$A$400,$S44)))</f>
        <v/>
      </c>
      <c r="C44" s="114">
        <f>IF($S44="","",IF(INDEX('Master Tracker'!$C$6:$C$400,$S44)="","",INDEX('Master Tracker'!$C$6:$C$400,$S44)))</f>
        <v/>
      </c>
      <c r="D44" s="114">
        <f>IF($S44="","",IF(INDEX('Master Tracker'!$D$6:$D$400,$S44)="","",INDEX('Master Tracker'!$D$6:$D$400,$S44)))</f>
        <v/>
      </c>
      <c r="E44" s="53">
        <f>IF($S44="","",IF(INDEX('Master Tracker'!$F$6:$F$400,$S44)="","",INDEX('Master Tracker'!$F$6:$F$400,$S44)))</f>
        <v/>
      </c>
      <c r="F44" s="53">
        <f>IF($S44="","",IF(INDEX('Master Tracker'!$G$6:$G$400,$S44)="","",INDEX('Master Tracker'!$G$6:$G$400,$S44)))</f>
        <v/>
      </c>
      <c r="G44" s="70">
        <f>IF($S44="","",IF(INDEX('Master Tracker'!$H$6:$H$400,$S44)="","",INDEX('Master Tracker'!$H$6:$H$400,$S44)))</f>
        <v/>
      </c>
      <c r="H44" s="70">
        <f>IF($S44="","",IF(INDEX('Master Tracker'!$I$6:$I$400,$S44)="","",INDEX('Master Tracker'!$I$6:$I$400,$S44)))</f>
        <v/>
      </c>
      <c r="I44" s="115">
        <f>IF($S44="","",IF(INDEX('Master Tracker'!$U$6:$U$400,$S44)="","",INDEX('Master Tracker'!$U$6:$U$400,$S44)))</f>
        <v/>
      </c>
      <c r="J44" s="114">
        <f>IF($S44="","",IF(INDEX('Master Tracker'!$K$6:$K$400,$S44)="","",INDEX('Master Tracker'!$K$6:$K$400,$S44)))</f>
        <v/>
      </c>
      <c r="K44" s="114">
        <f>IF($S44="","",IF(INDEX('Master Tracker'!$Y$6:$Y$400,$S44)="","",INDEX('Master Tracker'!$Y$6:$Y$400,$S44)))</f>
        <v/>
      </c>
      <c r="L44" s="114">
        <f>IF($S44="","",IF(INDEX('Master Tracker'!$M$6:$M$400,$S44)="","",INDEX('Master Tracker'!$M$6:$M$400,$S44)))</f>
        <v/>
      </c>
      <c r="M44" s="114">
        <f>IF($S44="","",IF(INDEX('Master Tracker'!$O$6:$O$400,$S44)="","",INDEX('Master Tracker'!$O$6:$O$400,$S44)))</f>
        <v/>
      </c>
      <c r="N44" s="114">
        <f>IF($S44="","",IF(INDEX('Master Tracker'!$N$6:$N$400,$S44)="","",INDEX('Master Tracker'!$N$6:$N$400,$S44)))</f>
        <v/>
      </c>
      <c r="O44" s="53">
        <f>IF($S44="","",IF(INDEX('Master Tracker'!$T$6:$T$400,$S44)="","",INDEX('Master Tracker'!$T$6:$T$400,$S44)))</f>
        <v/>
      </c>
      <c r="P44" s="53">
        <f>IF($S44="","",IF(INDEX('Master Tracker'!$AC$6:$AC$400,$S44)="","",INDEX('Master Tracker'!$AC$6:$AC$400,$S44)))</f>
        <v/>
      </c>
      <c r="S44">
        <f>IFERROR(MATCH("Phase 5|"&amp;A44,'Master Tracker'!$Z$6:$Z$400,0),"")</f>
        <v/>
      </c>
    </row>
    <row r="45" ht="48" customHeight="1">
      <c r="A45" s="53" t="n">
        <v>6</v>
      </c>
      <c r="B45" s="113">
        <f>IF($S45="","",IF(INDEX('Master Tracker'!$A$6:$A$400,$S45)="","",INDEX('Master Tracker'!$A$6:$A$400,$S45)))</f>
        <v/>
      </c>
      <c r="C45" s="114">
        <f>IF($S45="","",IF(INDEX('Master Tracker'!$C$6:$C$400,$S45)="","",INDEX('Master Tracker'!$C$6:$C$400,$S45)))</f>
        <v/>
      </c>
      <c r="D45" s="114">
        <f>IF($S45="","",IF(INDEX('Master Tracker'!$D$6:$D$400,$S45)="","",INDEX('Master Tracker'!$D$6:$D$400,$S45)))</f>
        <v/>
      </c>
      <c r="E45" s="53">
        <f>IF($S45="","",IF(INDEX('Master Tracker'!$F$6:$F$400,$S45)="","",INDEX('Master Tracker'!$F$6:$F$400,$S45)))</f>
        <v/>
      </c>
      <c r="F45" s="53">
        <f>IF($S45="","",IF(INDEX('Master Tracker'!$G$6:$G$400,$S45)="","",INDEX('Master Tracker'!$G$6:$G$400,$S45)))</f>
        <v/>
      </c>
      <c r="G45" s="70">
        <f>IF($S45="","",IF(INDEX('Master Tracker'!$H$6:$H$400,$S45)="","",INDEX('Master Tracker'!$H$6:$H$400,$S45)))</f>
        <v/>
      </c>
      <c r="H45" s="70">
        <f>IF($S45="","",IF(INDEX('Master Tracker'!$I$6:$I$400,$S45)="","",INDEX('Master Tracker'!$I$6:$I$400,$S45)))</f>
        <v/>
      </c>
      <c r="I45" s="115">
        <f>IF($S45="","",IF(INDEX('Master Tracker'!$U$6:$U$400,$S45)="","",INDEX('Master Tracker'!$U$6:$U$400,$S45)))</f>
        <v/>
      </c>
      <c r="J45" s="114">
        <f>IF($S45="","",IF(INDEX('Master Tracker'!$K$6:$K$400,$S45)="","",INDEX('Master Tracker'!$K$6:$K$400,$S45)))</f>
        <v/>
      </c>
      <c r="K45" s="114">
        <f>IF($S45="","",IF(INDEX('Master Tracker'!$Y$6:$Y$400,$S45)="","",INDEX('Master Tracker'!$Y$6:$Y$400,$S45)))</f>
        <v/>
      </c>
      <c r="L45" s="114">
        <f>IF($S45="","",IF(INDEX('Master Tracker'!$M$6:$M$400,$S45)="","",INDEX('Master Tracker'!$M$6:$M$400,$S45)))</f>
        <v/>
      </c>
      <c r="M45" s="114">
        <f>IF($S45="","",IF(INDEX('Master Tracker'!$O$6:$O$400,$S45)="","",INDEX('Master Tracker'!$O$6:$O$400,$S45)))</f>
        <v/>
      </c>
      <c r="N45" s="114">
        <f>IF($S45="","",IF(INDEX('Master Tracker'!$N$6:$N$400,$S45)="","",INDEX('Master Tracker'!$N$6:$N$400,$S45)))</f>
        <v/>
      </c>
      <c r="O45" s="53">
        <f>IF($S45="","",IF(INDEX('Master Tracker'!$T$6:$T$400,$S45)="","",INDEX('Master Tracker'!$T$6:$T$400,$S45)))</f>
        <v/>
      </c>
      <c r="P45" s="53">
        <f>IF($S45="","",IF(INDEX('Master Tracker'!$AC$6:$AC$400,$S45)="","",INDEX('Master Tracker'!$AC$6:$AC$400,$S45)))</f>
        <v/>
      </c>
      <c r="S45">
        <f>IFERROR(MATCH("Phase 5|"&amp;A45,'Master Tracker'!$Z$6:$Z$400,0),"")</f>
        <v/>
      </c>
    </row>
    <row r="46" ht="48" customHeight="1">
      <c r="A46" s="53" t="n">
        <v>7</v>
      </c>
      <c r="B46" s="113">
        <f>IF($S46="","",IF(INDEX('Master Tracker'!$A$6:$A$400,$S46)="","",INDEX('Master Tracker'!$A$6:$A$400,$S46)))</f>
        <v/>
      </c>
      <c r="C46" s="114">
        <f>IF($S46="","",IF(INDEX('Master Tracker'!$C$6:$C$400,$S46)="","",INDEX('Master Tracker'!$C$6:$C$400,$S46)))</f>
        <v/>
      </c>
      <c r="D46" s="114">
        <f>IF($S46="","",IF(INDEX('Master Tracker'!$D$6:$D$400,$S46)="","",INDEX('Master Tracker'!$D$6:$D$400,$S46)))</f>
        <v/>
      </c>
      <c r="E46" s="53">
        <f>IF($S46="","",IF(INDEX('Master Tracker'!$F$6:$F$400,$S46)="","",INDEX('Master Tracker'!$F$6:$F$400,$S46)))</f>
        <v/>
      </c>
      <c r="F46" s="53">
        <f>IF($S46="","",IF(INDEX('Master Tracker'!$G$6:$G$400,$S46)="","",INDEX('Master Tracker'!$G$6:$G$400,$S46)))</f>
        <v/>
      </c>
      <c r="G46" s="70">
        <f>IF($S46="","",IF(INDEX('Master Tracker'!$H$6:$H$400,$S46)="","",INDEX('Master Tracker'!$H$6:$H$400,$S46)))</f>
        <v/>
      </c>
      <c r="H46" s="70">
        <f>IF($S46="","",IF(INDEX('Master Tracker'!$I$6:$I$400,$S46)="","",INDEX('Master Tracker'!$I$6:$I$400,$S46)))</f>
        <v/>
      </c>
      <c r="I46" s="115">
        <f>IF($S46="","",IF(INDEX('Master Tracker'!$U$6:$U$400,$S46)="","",INDEX('Master Tracker'!$U$6:$U$400,$S46)))</f>
        <v/>
      </c>
      <c r="J46" s="114">
        <f>IF($S46="","",IF(INDEX('Master Tracker'!$K$6:$K$400,$S46)="","",INDEX('Master Tracker'!$K$6:$K$400,$S46)))</f>
        <v/>
      </c>
      <c r="K46" s="114">
        <f>IF($S46="","",IF(INDEX('Master Tracker'!$Y$6:$Y$400,$S46)="","",INDEX('Master Tracker'!$Y$6:$Y$400,$S46)))</f>
        <v/>
      </c>
      <c r="L46" s="114">
        <f>IF($S46="","",IF(INDEX('Master Tracker'!$M$6:$M$400,$S46)="","",INDEX('Master Tracker'!$M$6:$M$400,$S46)))</f>
        <v/>
      </c>
      <c r="M46" s="114">
        <f>IF($S46="","",IF(INDEX('Master Tracker'!$O$6:$O$400,$S46)="","",INDEX('Master Tracker'!$O$6:$O$400,$S46)))</f>
        <v/>
      </c>
      <c r="N46" s="114">
        <f>IF($S46="","",IF(INDEX('Master Tracker'!$N$6:$N$400,$S46)="","",INDEX('Master Tracker'!$N$6:$N$400,$S46)))</f>
        <v/>
      </c>
      <c r="O46" s="53">
        <f>IF($S46="","",IF(INDEX('Master Tracker'!$T$6:$T$400,$S46)="","",INDEX('Master Tracker'!$T$6:$T$400,$S46)))</f>
        <v/>
      </c>
      <c r="P46" s="53">
        <f>IF($S46="","",IF(INDEX('Master Tracker'!$AC$6:$AC$400,$S46)="","",INDEX('Master Tracker'!$AC$6:$AC$400,$S46)))</f>
        <v/>
      </c>
      <c r="S46">
        <f>IFERROR(MATCH("Phase 5|"&amp;A46,'Master Tracker'!$Z$6:$Z$400,0),"")</f>
        <v/>
      </c>
    </row>
    <row r="47" ht="48" customHeight="1">
      <c r="A47" s="53" t="n">
        <v>8</v>
      </c>
      <c r="B47" s="113">
        <f>IF($S47="","",IF(INDEX('Master Tracker'!$A$6:$A$400,$S47)="","",INDEX('Master Tracker'!$A$6:$A$400,$S47)))</f>
        <v/>
      </c>
      <c r="C47" s="114">
        <f>IF($S47="","",IF(INDEX('Master Tracker'!$C$6:$C$400,$S47)="","",INDEX('Master Tracker'!$C$6:$C$400,$S47)))</f>
        <v/>
      </c>
      <c r="D47" s="114">
        <f>IF($S47="","",IF(INDEX('Master Tracker'!$D$6:$D$400,$S47)="","",INDEX('Master Tracker'!$D$6:$D$400,$S47)))</f>
        <v/>
      </c>
      <c r="E47" s="53">
        <f>IF($S47="","",IF(INDEX('Master Tracker'!$F$6:$F$400,$S47)="","",INDEX('Master Tracker'!$F$6:$F$400,$S47)))</f>
        <v/>
      </c>
      <c r="F47" s="53">
        <f>IF($S47="","",IF(INDEX('Master Tracker'!$G$6:$G$400,$S47)="","",INDEX('Master Tracker'!$G$6:$G$400,$S47)))</f>
        <v/>
      </c>
      <c r="G47" s="70">
        <f>IF($S47="","",IF(INDEX('Master Tracker'!$H$6:$H$400,$S47)="","",INDEX('Master Tracker'!$H$6:$H$400,$S47)))</f>
        <v/>
      </c>
      <c r="H47" s="70">
        <f>IF($S47="","",IF(INDEX('Master Tracker'!$I$6:$I$400,$S47)="","",INDEX('Master Tracker'!$I$6:$I$400,$S47)))</f>
        <v/>
      </c>
      <c r="I47" s="115">
        <f>IF($S47="","",IF(INDEX('Master Tracker'!$U$6:$U$400,$S47)="","",INDEX('Master Tracker'!$U$6:$U$400,$S47)))</f>
        <v/>
      </c>
      <c r="J47" s="114">
        <f>IF($S47="","",IF(INDEX('Master Tracker'!$K$6:$K$400,$S47)="","",INDEX('Master Tracker'!$K$6:$K$400,$S47)))</f>
        <v/>
      </c>
      <c r="K47" s="114">
        <f>IF($S47="","",IF(INDEX('Master Tracker'!$Y$6:$Y$400,$S47)="","",INDEX('Master Tracker'!$Y$6:$Y$400,$S47)))</f>
        <v/>
      </c>
      <c r="L47" s="114">
        <f>IF($S47="","",IF(INDEX('Master Tracker'!$M$6:$M$400,$S47)="","",INDEX('Master Tracker'!$M$6:$M$400,$S47)))</f>
        <v/>
      </c>
      <c r="M47" s="114">
        <f>IF($S47="","",IF(INDEX('Master Tracker'!$O$6:$O$400,$S47)="","",INDEX('Master Tracker'!$O$6:$O$400,$S47)))</f>
        <v/>
      </c>
      <c r="N47" s="114">
        <f>IF($S47="","",IF(INDEX('Master Tracker'!$N$6:$N$400,$S47)="","",INDEX('Master Tracker'!$N$6:$N$400,$S47)))</f>
        <v/>
      </c>
      <c r="O47" s="53">
        <f>IF($S47="","",IF(INDEX('Master Tracker'!$T$6:$T$400,$S47)="","",INDEX('Master Tracker'!$T$6:$T$400,$S47)))</f>
        <v/>
      </c>
      <c r="P47" s="53">
        <f>IF($S47="","",IF(INDEX('Master Tracker'!$AC$6:$AC$400,$S47)="","",INDEX('Master Tracker'!$AC$6:$AC$400,$S47)))</f>
        <v/>
      </c>
      <c r="S47">
        <f>IFERROR(MATCH("Phase 5|"&amp;A47,'Master Tracker'!$Z$6:$Z$400,0),"")</f>
        <v/>
      </c>
    </row>
    <row r="48" ht="48" customHeight="1">
      <c r="A48" s="53" t="n">
        <v>9</v>
      </c>
      <c r="B48" s="113">
        <f>IF($S48="","",IF(INDEX('Master Tracker'!$A$6:$A$400,$S48)="","",INDEX('Master Tracker'!$A$6:$A$400,$S48)))</f>
        <v/>
      </c>
      <c r="C48" s="114">
        <f>IF($S48="","",IF(INDEX('Master Tracker'!$C$6:$C$400,$S48)="","",INDEX('Master Tracker'!$C$6:$C$400,$S48)))</f>
        <v/>
      </c>
      <c r="D48" s="114">
        <f>IF($S48="","",IF(INDEX('Master Tracker'!$D$6:$D$400,$S48)="","",INDEX('Master Tracker'!$D$6:$D$400,$S48)))</f>
        <v/>
      </c>
      <c r="E48" s="53">
        <f>IF($S48="","",IF(INDEX('Master Tracker'!$F$6:$F$400,$S48)="","",INDEX('Master Tracker'!$F$6:$F$400,$S48)))</f>
        <v/>
      </c>
      <c r="F48" s="53">
        <f>IF($S48="","",IF(INDEX('Master Tracker'!$G$6:$G$400,$S48)="","",INDEX('Master Tracker'!$G$6:$G$400,$S48)))</f>
        <v/>
      </c>
      <c r="G48" s="70">
        <f>IF($S48="","",IF(INDEX('Master Tracker'!$H$6:$H$400,$S48)="","",INDEX('Master Tracker'!$H$6:$H$400,$S48)))</f>
        <v/>
      </c>
      <c r="H48" s="70">
        <f>IF($S48="","",IF(INDEX('Master Tracker'!$I$6:$I$400,$S48)="","",INDEX('Master Tracker'!$I$6:$I$400,$S48)))</f>
        <v/>
      </c>
      <c r="I48" s="115">
        <f>IF($S48="","",IF(INDEX('Master Tracker'!$U$6:$U$400,$S48)="","",INDEX('Master Tracker'!$U$6:$U$400,$S48)))</f>
        <v/>
      </c>
      <c r="J48" s="114">
        <f>IF($S48="","",IF(INDEX('Master Tracker'!$K$6:$K$400,$S48)="","",INDEX('Master Tracker'!$K$6:$K$400,$S48)))</f>
        <v/>
      </c>
      <c r="K48" s="114">
        <f>IF($S48="","",IF(INDEX('Master Tracker'!$Y$6:$Y$400,$S48)="","",INDEX('Master Tracker'!$Y$6:$Y$400,$S48)))</f>
        <v/>
      </c>
      <c r="L48" s="114">
        <f>IF($S48="","",IF(INDEX('Master Tracker'!$M$6:$M$400,$S48)="","",INDEX('Master Tracker'!$M$6:$M$400,$S48)))</f>
        <v/>
      </c>
      <c r="M48" s="114">
        <f>IF($S48="","",IF(INDEX('Master Tracker'!$O$6:$O$400,$S48)="","",INDEX('Master Tracker'!$O$6:$O$400,$S48)))</f>
        <v/>
      </c>
      <c r="N48" s="114">
        <f>IF($S48="","",IF(INDEX('Master Tracker'!$N$6:$N$400,$S48)="","",INDEX('Master Tracker'!$N$6:$N$400,$S48)))</f>
        <v/>
      </c>
      <c r="O48" s="53">
        <f>IF($S48="","",IF(INDEX('Master Tracker'!$T$6:$T$400,$S48)="","",INDEX('Master Tracker'!$T$6:$T$400,$S48)))</f>
        <v/>
      </c>
      <c r="P48" s="53">
        <f>IF($S48="","",IF(INDEX('Master Tracker'!$AC$6:$AC$400,$S48)="","",INDEX('Master Tracker'!$AC$6:$AC$400,$S48)))</f>
        <v/>
      </c>
      <c r="S48">
        <f>IFERROR(MATCH("Phase 5|"&amp;A48,'Master Tracker'!$Z$6:$Z$400,0),"")</f>
        <v/>
      </c>
    </row>
    <row r="49" ht="48" customHeight="1">
      <c r="A49" s="53" t="n">
        <v>10</v>
      </c>
      <c r="B49" s="113">
        <f>IF($S49="","",IF(INDEX('Master Tracker'!$A$6:$A$400,$S49)="","",INDEX('Master Tracker'!$A$6:$A$400,$S49)))</f>
        <v/>
      </c>
      <c r="C49" s="114">
        <f>IF($S49="","",IF(INDEX('Master Tracker'!$C$6:$C$400,$S49)="","",INDEX('Master Tracker'!$C$6:$C$400,$S49)))</f>
        <v/>
      </c>
      <c r="D49" s="114">
        <f>IF($S49="","",IF(INDEX('Master Tracker'!$D$6:$D$400,$S49)="","",INDEX('Master Tracker'!$D$6:$D$400,$S49)))</f>
        <v/>
      </c>
      <c r="E49" s="53">
        <f>IF($S49="","",IF(INDEX('Master Tracker'!$F$6:$F$400,$S49)="","",INDEX('Master Tracker'!$F$6:$F$400,$S49)))</f>
        <v/>
      </c>
      <c r="F49" s="53">
        <f>IF($S49="","",IF(INDEX('Master Tracker'!$G$6:$G$400,$S49)="","",INDEX('Master Tracker'!$G$6:$G$400,$S49)))</f>
        <v/>
      </c>
      <c r="G49" s="70">
        <f>IF($S49="","",IF(INDEX('Master Tracker'!$H$6:$H$400,$S49)="","",INDEX('Master Tracker'!$H$6:$H$400,$S49)))</f>
        <v/>
      </c>
      <c r="H49" s="70">
        <f>IF($S49="","",IF(INDEX('Master Tracker'!$I$6:$I$400,$S49)="","",INDEX('Master Tracker'!$I$6:$I$400,$S49)))</f>
        <v/>
      </c>
      <c r="I49" s="115">
        <f>IF($S49="","",IF(INDEX('Master Tracker'!$U$6:$U$400,$S49)="","",INDEX('Master Tracker'!$U$6:$U$400,$S49)))</f>
        <v/>
      </c>
      <c r="J49" s="114">
        <f>IF($S49="","",IF(INDEX('Master Tracker'!$K$6:$K$400,$S49)="","",INDEX('Master Tracker'!$K$6:$K$400,$S49)))</f>
        <v/>
      </c>
      <c r="K49" s="114">
        <f>IF($S49="","",IF(INDEX('Master Tracker'!$Y$6:$Y$400,$S49)="","",INDEX('Master Tracker'!$Y$6:$Y$400,$S49)))</f>
        <v/>
      </c>
      <c r="L49" s="114">
        <f>IF($S49="","",IF(INDEX('Master Tracker'!$M$6:$M$400,$S49)="","",INDEX('Master Tracker'!$M$6:$M$400,$S49)))</f>
        <v/>
      </c>
      <c r="M49" s="114">
        <f>IF($S49="","",IF(INDEX('Master Tracker'!$O$6:$O$400,$S49)="","",INDEX('Master Tracker'!$O$6:$O$400,$S49)))</f>
        <v/>
      </c>
      <c r="N49" s="114">
        <f>IF($S49="","",IF(INDEX('Master Tracker'!$N$6:$N$400,$S49)="","",INDEX('Master Tracker'!$N$6:$N$400,$S49)))</f>
        <v/>
      </c>
      <c r="O49" s="53">
        <f>IF($S49="","",IF(INDEX('Master Tracker'!$T$6:$T$400,$S49)="","",INDEX('Master Tracker'!$T$6:$T$400,$S49)))</f>
        <v/>
      </c>
      <c r="P49" s="53">
        <f>IF($S49="","",IF(INDEX('Master Tracker'!$AC$6:$AC$400,$S49)="","",INDEX('Master Tracker'!$AC$6:$AC$400,$S49)))</f>
        <v/>
      </c>
      <c r="S49">
        <f>IFERROR(MATCH("Phase 5|"&amp;A49,'Master Tracker'!$Z$6:$Z$400,0),"")</f>
        <v/>
      </c>
    </row>
    <row r="50" ht="48" customHeight="1">
      <c r="A50" s="53" t="n">
        <v>11</v>
      </c>
      <c r="B50" s="113">
        <f>IF($S50="","",IF(INDEX('Master Tracker'!$A$6:$A$400,$S50)="","",INDEX('Master Tracker'!$A$6:$A$400,$S50)))</f>
        <v/>
      </c>
      <c r="C50" s="114">
        <f>IF($S50="","",IF(INDEX('Master Tracker'!$C$6:$C$400,$S50)="","",INDEX('Master Tracker'!$C$6:$C$400,$S50)))</f>
        <v/>
      </c>
      <c r="D50" s="114">
        <f>IF($S50="","",IF(INDEX('Master Tracker'!$D$6:$D$400,$S50)="","",INDEX('Master Tracker'!$D$6:$D$400,$S50)))</f>
        <v/>
      </c>
      <c r="E50" s="53">
        <f>IF($S50="","",IF(INDEX('Master Tracker'!$F$6:$F$400,$S50)="","",INDEX('Master Tracker'!$F$6:$F$400,$S50)))</f>
        <v/>
      </c>
      <c r="F50" s="53">
        <f>IF($S50="","",IF(INDEX('Master Tracker'!$G$6:$G$400,$S50)="","",INDEX('Master Tracker'!$G$6:$G$400,$S50)))</f>
        <v/>
      </c>
      <c r="G50" s="70">
        <f>IF($S50="","",IF(INDEX('Master Tracker'!$H$6:$H$400,$S50)="","",INDEX('Master Tracker'!$H$6:$H$400,$S50)))</f>
        <v/>
      </c>
      <c r="H50" s="70">
        <f>IF($S50="","",IF(INDEX('Master Tracker'!$I$6:$I$400,$S50)="","",INDEX('Master Tracker'!$I$6:$I$400,$S50)))</f>
        <v/>
      </c>
      <c r="I50" s="115">
        <f>IF($S50="","",IF(INDEX('Master Tracker'!$U$6:$U$400,$S50)="","",INDEX('Master Tracker'!$U$6:$U$400,$S50)))</f>
        <v/>
      </c>
      <c r="J50" s="114">
        <f>IF($S50="","",IF(INDEX('Master Tracker'!$K$6:$K$400,$S50)="","",INDEX('Master Tracker'!$K$6:$K$400,$S50)))</f>
        <v/>
      </c>
      <c r="K50" s="114">
        <f>IF($S50="","",IF(INDEX('Master Tracker'!$Y$6:$Y$400,$S50)="","",INDEX('Master Tracker'!$Y$6:$Y$400,$S50)))</f>
        <v/>
      </c>
      <c r="L50" s="114">
        <f>IF($S50="","",IF(INDEX('Master Tracker'!$M$6:$M$400,$S50)="","",INDEX('Master Tracker'!$M$6:$M$400,$S50)))</f>
        <v/>
      </c>
      <c r="M50" s="114">
        <f>IF($S50="","",IF(INDEX('Master Tracker'!$O$6:$O$400,$S50)="","",INDEX('Master Tracker'!$O$6:$O$400,$S50)))</f>
        <v/>
      </c>
      <c r="N50" s="114">
        <f>IF($S50="","",IF(INDEX('Master Tracker'!$N$6:$N$400,$S50)="","",INDEX('Master Tracker'!$N$6:$N$400,$S50)))</f>
        <v/>
      </c>
      <c r="O50" s="53">
        <f>IF($S50="","",IF(INDEX('Master Tracker'!$T$6:$T$400,$S50)="","",INDEX('Master Tracker'!$T$6:$T$400,$S50)))</f>
        <v/>
      </c>
      <c r="P50" s="53">
        <f>IF($S50="","",IF(INDEX('Master Tracker'!$AC$6:$AC$400,$S50)="","",INDEX('Master Tracker'!$AC$6:$AC$400,$S50)))</f>
        <v/>
      </c>
      <c r="S50">
        <f>IFERROR(MATCH("Phase 5|"&amp;A50,'Master Tracker'!$Z$6:$Z$400,0),"")</f>
        <v/>
      </c>
    </row>
    <row r="51" ht="48" customHeight="1">
      <c r="A51" s="53" t="n">
        <v>12</v>
      </c>
      <c r="B51" s="113">
        <f>IF($S51="","",IF(INDEX('Master Tracker'!$A$6:$A$400,$S51)="","",INDEX('Master Tracker'!$A$6:$A$400,$S51)))</f>
        <v/>
      </c>
      <c r="C51" s="114">
        <f>IF($S51="","",IF(INDEX('Master Tracker'!$C$6:$C$400,$S51)="","",INDEX('Master Tracker'!$C$6:$C$400,$S51)))</f>
        <v/>
      </c>
      <c r="D51" s="114">
        <f>IF($S51="","",IF(INDEX('Master Tracker'!$D$6:$D$400,$S51)="","",INDEX('Master Tracker'!$D$6:$D$400,$S51)))</f>
        <v/>
      </c>
      <c r="E51" s="53">
        <f>IF($S51="","",IF(INDEX('Master Tracker'!$F$6:$F$400,$S51)="","",INDEX('Master Tracker'!$F$6:$F$400,$S51)))</f>
        <v/>
      </c>
      <c r="F51" s="53">
        <f>IF($S51="","",IF(INDEX('Master Tracker'!$G$6:$G$400,$S51)="","",INDEX('Master Tracker'!$G$6:$G$400,$S51)))</f>
        <v/>
      </c>
      <c r="G51" s="70">
        <f>IF($S51="","",IF(INDEX('Master Tracker'!$H$6:$H$400,$S51)="","",INDEX('Master Tracker'!$H$6:$H$400,$S51)))</f>
        <v/>
      </c>
      <c r="H51" s="70">
        <f>IF($S51="","",IF(INDEX('Master Tracker'!$I$6:$I$400,$S51)="","",INDEX('Master Tracker'!$I$6:$I$400,$S51)))</f>
        <v/>
      </c>
      <c r="I51" s="115">
        <f>IF($S51="","",IF(INDEX('Master Tracker'!$U$6:$U$400,$S51)="","",INDEX('Master Tracker'!$U$6:$U$400,$S51)))</f>
        <v/>
      </c>
      <c r="J51" s="114">
        <f>IF($S51="","",IF(INDEX('Master Tracker'!$K$6:$K$400,$S51)="","",INDEX('Master Tracker'!$K$6:$K$400,$S51)))</f>
        <v/>
      </c>
      <c r="K51" s="114">
        <f>IF($S51="","",IF(INDEX('Master Tracker'!$Y$6:$Y$400,$S51)="","",INDEX('Master Tracker'!$Y$6:$Y$400,$S51)))</f>
        <v/>
      </c>
      <c r="L51" s="114">
        <f>IF($S51="","",IF(INDEX('Master Tracker'!$M$6:$M$400,$S51)="","",INDEX('Master Tracker'!$M$6:$M$400,$S51)))</f>
        <v/>
      </c>
      <c r="M51" s="114">
        <f>IF($S51="","",IF(INDEX('Master Tracker'!$O$6:$O$400,$S51)="","",INDEX('Master Tracker'!$O$6:$O$400,$S51)))</f>
        <v/>
      </c>
      <c r="N51" s="114">
        <f>IF($S51="","",IF(INDEX('Master Tracker'!$N$6:$N$400,$S51)="","",INDEX('Master Tracker'!$N$6:$N$400,$S51)))</f>
        <v/>
      </c>
      <c r="O51" s="53">
        <f>IF($S51="","",IF(INDEX('Master Tracker'!$T$6:$T$400,$S51)="","",INDEX('Master Tracker'!$T$6:$T$400,$S51)))</f>
        <v/>
      </c>
      <c r="P51" s="53">
        <f>IF($S51="","",IF(INDEX('Master Tracker'!$AC$6:$AC$400,$S51)="","",INDEX('Master Tracker'!$AC$6:$AC$400,$S51)))</f>
        <v/>
      </c>
      <c r="S51">
        <f>IFERROR(MATCH("Phase 5|"&amp;A51,'Master Tracker'!$Z$6:$Z$400,0),"")</f>
        <v/>
      </c>
    </row>
    <row r="52" ht="48" customHeight="1">
      <c r="A52" s="53" t="n">
        <v>13</v>
      </c>
      <c r="B52" s="113">
        <f>IF($S52="","",IF(INDEX('Master Tracker'!$A$6:$A$400,$S52)="","",INDEX('Master Tracker'!$A$6:$A$400,$S52)))</f>
        <v/>
      </c>
      <c r="C52" s="114">
        <f>IF($S52="","",IF(INDEX('Master Tracker'!$C$6:$C$400,$S52)="","",INDEX('Master Tracker'!$C$6:$C$400,$S52)))</f>
        <v/>
      </c>
      <c r="D52" s="114">
        <f>IF($S52="","",IF(INDEX('Master Tracker'!$D$6:$D$400,$S52)="","",INDEX('Master Tracker'!$D$6:$D$400,$S52)))</f>
        <v/>
      </c>
      <c r="E52" s="53">
        <f>IF($S52="","",IF(INDEX('Master Tracker'!$F$6:$F$400,$S52)="","",INDEX('Master Tracker'!$F$6:$F$400,$S52)))</f>
        <v/>
      </c>
      <c r="F52" s="53">
        <f>IF($S52="","",IF(INDEX('Master Tracker'!$G$6:$G$400,$S52)="","",INDEX('Master Tracker'!$G$6:$G$400,$S52)))</f>
        <v/>
      </c>
      <c r="G52" s="70">
        <f>IF($S52="","",IF(INDEX('Master Tracker'!$H$6:$H$400,$S52)="","",INDEX('Master Tracker'!$H$6:$H$400,$S52)))</f>
        <v/>
      </c>
      <c r="H52" s="70">
        <f>IF($S52="","",IF(INDEX('Master Tracker'!$I$6:$I$400,$S52)="","",INDEX('Master Tracker'!$I$6:$I$400,$S52)))</f>
        <v/>
      </c>
      <c r="I52" s="115">
        <f>IF($S52="","",IF(INDEX('Master Tracker'!$U$6:$U$400,$S52)="","",INDEX('Master Tracker'!$U$6:$U$400,$S52)))</f>
        <v/>
      </c>
      <c r="J52" s="114">
        <f>IF($S52="","",IF(INDEX('Master Tracker'!$K$6:$K$400,$S52)="","",INDEX('Master Tracker'!$K$6:$K$400,$S52)))</f>
        <v/>
      </c>
      <c r="K52" s="114">
        <f>IF($S52="","",IF(INDEX('Master Tracker'!$Y$6:$Y$400,$S52)="","",INDEX('Master Tracker'!$Y$6:$Y$400,$S52)))</f>
        <v/>
      </c>
      <c r="L52" s="114">
        <f>IF($S52="","",IF(INDEX('Master Tracker'!$M$6:$M$400,$S52)="","",INDEX('Master Tracker'!$M$6:$M$400,$S52)))</f>
        <v/>
      </c>
      <c r="M52" s="114">
        <f>IF($S52="","",IF(INDEX('Master Tracker'!$O$6:$O$400,$S52)="","",INDEX('Master Tracker'!$O$6:$O$400,$S52)))</f>
        <v/>
      </c>
      <c r="N52" s="114">
        <f>IF($S52="","",IF(INDEX('Master Tracker'!$N$6:$N$400,$S52)="","",INDEX('Master Tracker'!$N$6:$N$400,$S52)))</f>
        <v/>
      </c>
      <c r="O52" s="53">
        <f>IF($S52="","",IF(INDEX('Master Tracker'!$T$6:$T$400,$S52)="","",INDEX('Master Tracker'!$T$6:$T$400,$S52)))</f>
        <v/>
      </c>
      <c r="P52" s="53">
        <f>IF($S52="","",IF(INDEX('Master Tracker'!$AC$6:$AC$400,$S52)="","",INDEX('Master Tracker'!$AC$6:$AC$400,$S52)))</f>
        <v/>
      </c>
      <c r="S52">
        <f>IFERROR(MATCH("Phase 5|"&amp;A52,'Master Tracker'!$Z$6:$Z$400,0),"")</f>
        <v/>
      </c>
    </row>
    <row r="53" ht="48" customHeight="1">
      <c r="A53" s="53" t="n">
        <v>14</v>
      </c>
      <c r="B53" s="113">
        <f>IF($S53="","",IF(INDEX('Master Tracker'!$A$6:$A$400,$S53)="","",INDEX('Master Tracker'!$A$6:$A$400,$S53)))</f>
        <v/>
      </c>
      <c r="C53" s="114">
        <f>IF($S53="","",IF(INDEX('Master Tracker'!$C$6:$C$400,$S53)="","",INDEX('Master Tracker'!$C$6:$C$400,$S53)))</f>
        <v/>
      </c>
      <c r="D53" s="114">
        <f>IF($S53="","",IF(INDEX('Master Tracker'!$D$6:$D$400,$S53)="","",INDEX('Master Tracker'!$D$6:$D$400,$S53)))</f>
        <v/>
      </c>
      <c r="E53" s="53">
        <f>IF($S53="","",IF(INDEX('Master Tracker'!$F$6:$F$400,$S53)="","",INDEX('Master Tracker'!$F$6:$F$400,$S53)))</f>
        <v/>
      </c>
      <c r="F53" s="53">
        <f>IF($S53="","",IF(INDEX('Master Tracker'!$G$6:$G$400,$S53)="","",INDEX('Master Tracker'!$G$6:$G$400,$S53)))</f>
        <v/>
      </c>
      <c r="G53" s="70">
        <f>IF($S53="","",IF(INDEX('Master Tracker'!$H$6:$H$400,$S53)="","",INDEX('Master Tracker'!$H$6:$H$400,$S53)))</f>
        <v/>
      </c>
      <c r="H53" s="70">
        <f>IF($S53="","",IF(INDEX('Master Tracker'!$I$6:$I$400,$S53)="","",INDEX('Master Tracker'!$I$6:$I$400,$S53)))</f>
        <v/>
      </c>
      <c r="I53" s="115">
        <f>IF($S53="","",IF(INDEX('Master Tracker'!$U$6:$U$400,$S53)="","",INDEX('Master Tracker'!$U$6:$U$400,$S53)))</f>
        <v/>
      </c>
      <c r="J53" s="114">
        <f>IF($S53="","",IF(INDEX('Master Tracker'!$K$6:$K$400,$S53)="","",INDEX('Master Tracker'!$K$6:$K$400,$S53)))</f>
        <v/>
      </c>
      <c r="K53" s="114">
        <f>IF($S53="","",IF(INDEX('Master Tracker'!$Y$6:$Y$400,$S53)="","",INDEX('Master Tracker'!$Y$6:$Y$400,$S53)))</f>
        <v/>
      </c>
      <c r="L53" s="114">
        <f>IF($S53="","",IF(INDEX('Master Tracker'!$M$6:$M$400,$S53)="","",INDEX('Master Tracker'!$M$6:$M$400,$S53)))</f>
        <v/>
      </c>
      <c r="M53" s="114">
        <f>IF($S53="","",IF(INDEX('Master Tracker'!$O$6:$O$400,$S53)="","",INDEX('Master Tracker'!$O$6:$O$400,$S53)))</f>
        <v/>
      </c>
      <c r="N53" s="114">
        <f>IF($S53="","",IF(INDEX('Master Tracker'!$N$6:$N$400,$S53)="","",INDEX('Master Tracker'!$N$6:$N$400,$S53)))</f>
        <v/>
      </c>
      <c r="O53" s="53">
        <f>IF($S53="","",IF(INDEX('Master Tracker'!$T$6:$T$400,$S53)="","",INDEX('Master Tracker'!$T$6:$T$400,$S53)))</f>
        <v/>
      </c>
      <c r="P53" s="53">
        <f>IF($S53="","",IF(INDEX('Master Tracker'!$AC$6:$AC$400,$S53)="","",INDEX('Master Tracker'!$AC$6:$AC$400,$S53)))</f>
        <v/>
      </c>
      <c r="S53">
        <f>IFERROR(MATCH("Phase 5|"&amp;A53,'Master Tracker'!$Z$6:$Z$400,0),"")</f>
        <v/>
      </c>
    </row>
    <row r="54" ht="48" customHeight="1">
      <c r="A54" s="53" t="n">
        <v>15</v>
      </c>
      <c r="B54" s="113">
        <f>IF($S54="","",IF(INDEX('Master Tracker'!$A$6:$A$400,$S54)="","",INDEX('Master Tracker'!$A$6:$A$400,$S54)))</f>
        <v/>
      </c>
      <c r="C54" s="114">
        <f>IF($S54="","",IF(INDEX('Master Tracker'!$C$6:$C$400,$S54)="","",INDEX('Master Tracker'!$C$6:$C$400,$S54)))</f>
        <v/>
      </c>
      <c r="D54" s="114">
        <f>IF($S54="","",IF(INDEX('Master Tracker'!$D$6:$D$400,$S54)="","",INDEX('Master Tracker'!$D$6:$D$400,$S54)))</f>
        <v/>
      </c>
      <c r="E54" s="53">
        <f>IF($S54="","",IF(INDEX('Master Tracker'!$F$6:$F$400,$S54)="","",INDEX('Master Tracker'!$F$6:$F$400,$S54)))</f>
        <v/>
      </c>
      <c r="F54" s="53">
        <f>IF($S54="","",IF(INDEX('Master Tracker'!$G$6:$G$400,$S54)="","",INDEX('Master Tracker'!$G$6:$G$400,$S54)))</f>
        <v/>
      </c>
      <c r="G54" s="70">
        <f>IF($S54="","",IF(INDEX('Master Tracker'!$H$6:$H$400,$S54)="","",INDEX('Master Tracker'!$H$6:$H$400,$S54)))</f>
        <v/>
      </c>
      <c r="H54" s="70">
        <f>IF($S54="","",IF(INDEX('Master Tracker'!$I$6:$I$400,$S54)="","",INDEX('Master Tracker'!$I$6:$I$400,$S54)))</f>
        <v/>
      </c>
      <c r="I54" s="115">
        <f>IF($S54="","",IF(INDEX('Master Tracker'!$U$6:$U$400,$S54)="","",INDEX('Master Tracker'!$U$6:$U$400,$S54)))</f>
        <v/>
      </c>
      <c r="J54" s="114">
        <f>IF($S54="","",IF(INDEX('Master Tracker'!$K$6:$K$400,$S54)="","",INDEX('Master Tracker'!$K$6:$K$400,$S54)))</f>
        <v/>
      </c>
      <c r="K54" s="114">
        <f>IF($S54="","",IF(INDEX('Master Tracker'!$Y$6:$Y$400,$S54)="","",INDEX('Master Tracker'!$Y$6:$Y$400,$S54)))</f>
        <v/>
      </c>
      <c r="L54" s="114">
        <f>IF($S54="","",IF(INDEX('Master Tracker'!$M$6:$M$400,$S54)="","",INDEX('Master Tracker'!$M$6:$M$400,$S54)))</f>
        <v/>
      </c>
      <c r="M54" s="114">
        <f>IF($S54="","",IF(INDEX('Master Tracker'!$O$6:$O$400,$S54)="","",INDEX('Master Tracker'!$O$6:$O$400,$S54)))</f>
        <v/>
      </c>
      <c r="N54" s="114">
        <f>IF($S54="","",IF(INDEX('Master Tracker'!$N$6:$N$400,$S54)="","",INDEX('Master Tracker'!$N$6:$N$400,$S54)))</f>
        <v/>
      </c>
      <c r="O54" s="53">
        <f>IF($S54="","",IF(INDEX('Master Tracker'!$T$6:$T$400,$S54)="","",INDEX('Master Tracker'!$T$6:$T$400,$S54)))</f>
        <v/>
      </c>
      <c r="P54" s="53">
        <f>IF($S54="","",IF(INDEX('Master Tracker'!$AC$6:$AC$400,$S54)="","",INDEX('Master Tracker'!$AC$6:$AC$400,$S54)))</f>
        <v/>
      </c>
      <c r="S54">
        <f>IFERROR(MATCH("Phase 5|"&amp;A54,'Master Tracker'!$Z$6:$Z$400,0),"")</f>
        <v/>
      </c>
    </row>
    <row r="55" ht="48" customHeight="1">
      <c r="A55" s="53" t="n">
        <v>16</v>
      </c>
      <c r="B55" s="113">
        <f>IF($S55="","",IF(INDEX('Master Tracker'!$A$6:$A$400,$S55)="","",INDEX('Master Tracker'!$A$6:$A$400,$S55)))</f>
        <v/>
      </c>
      <c r="C55" s="114">
        <f>IF($S55="","",IF(INDEX('Master Tracker'!$C$6:$C$400,$S55)="","",INDEX('Master Tracker'!$C$6:$C$400,$S55)))</f>
        <v/>
      </c>
      <c r="D55" s="114">
        <f>IF($S55="","",IF(INDEX('Master Tracker'!$D$6:$D$400,$S55)="","",INDEX('Master Tracker'!$D$6:$D$400,$S55)))</f>
        <v/>
      </c>
      <c r="E55" s="53">
        <f>IF($S55="","",IF(INDEX('Master Tracker'!$F$6:$F$400,$S55)="","",INDEX('Master Tracker'!$F$6:$F$400,$S55)))</f>
        <v/>
      </c>
      <c r="F55" s="53">
        <f>IF($S55="","",IF(INDEX('Master Tracker'!$G$6:$G$400,$S55)="","",INDEX('Master Tracker'!$G$6:$G$400,$S55)))</f>
        <v/>
      </c>
      <c r="G55" s="70">
        <f>IF($S55="","",IF(INDEX('Master Tracker'!$H$6:$H$400,$S55)="","",INDEX('Master Tracker'!$H$6:$H$400,$S55)))</f>
        <v/>
      </c>
      <c r="H55" s="70">
        <f>IF($S55="","",IF(INDEX('Master Tracker'!$I$6:$I$400,$S55)="","",INDEX('Master Tracker'!$I$6:$I$400,$S55)))</f>
        <v/>
      </c>
      <c r="I55" s="115">
        <f>IF($S55="","",IF(INDEX('Master Tracker'!$U$6:$U$400,$S55)="","",INDEX('Master Tracker'!$U$6:$U$400,$S55)))</f>
        <v/>
      </c>
      <c r="J55" s="114">
        <f>IF($S55="","",IF(INDEX('Master Tracker'!$K$6:$K$400,$S55)="","",INDEX('Master Tracker'!$K$6:$K$400,$S55)))</f>
        <v/>
      </c>
      <c r="K55" s="114">
        <f>IF($S55="","",IF(INDEX('Master Tracker'!$Y$6:$Y$400,$S55)="","",INDEX('Master Tracker'!$Y$6:$Y$400,$S55)))</f>
        <v/>
      </c>
      <c r="L55" s="114">
        <f>IF($S55="","",IF(INDEX('Master Tracker'!$M$6:$M$400,$S55)="","",INDEX('Master Tracker'!$M$6:$M$400,$S55)))</f>
        <v/>
      </c>
      <c r="M55" s="114">
        <f>IF($S55="","",IF(INDEX('Master Tracker'!$O$6:$O$400,$S55)="","",INDEX('Master Tracker'!$O$6:$O$400,$S55)))</f>
        <v/>
      </c>
      <c r="N55" s="114">
        <f>IF($S55="","",IF(INDEX('Master Tracker'!$N$6:$N$400,$S55)="","",INDEX('Master Tracker'!$N$6:$N$400,$S55)))</f>
        <v/>
      </c>
      <c r="O55" s="53">
        <f>IF($S55="","",IF(INDEX('Master Tracker'!$T$6:$T$400,$S55)="","",INDEX('Master Tracker'!$T$6:$T$400,$S55)))</f>
        <v/>
      </c>
      <c r="P55" s="53">
        <f>IF($S55="","",IF(INDEX('Master Tracker'!$AC$6:$AC$400,$S55)="","",INDEX('Master Tracker'!$AC$6:$AC$400,$S55)))</f>
        <v/>
      </c>
      <c r="S55">
        <f>IFERROR(MATCH("Phase 5|"&amp;A55,'Master Tracker'!$Z$6:$Z$400,0),"")</f>
        <v/>
      </c>
    </row>
    <row r="56" ht="48" customHeight="1">
      <c r="A56" s="53" t="n">
        <v>17</v>
      </c>
      <c r="B56" s="113">
        <f>IF($S56="","",IF(INDEX('Master Tracker'!$A$6:$A$400,$S56)="","",INDEX('Master Tracker'!$A$6:$A$400,$S56)))</f>
        <v/>
      </c>
      <c r="C56" s="114">
        <f>IF($S56="","",IF(INDEX('Master Tracker'!$C$6:$C$400,$S56)="","",INDEX('Master Tracker'!$C$6:$C$400,$S56)))</f>
        <v/>
      </c>
      <c r="D56" s="114">
        <f>IF($S56="","",IF(INDEX('Master Tracker'!$D$6:$D$400,$S56)="","",INDEX('Master Tracker'!$D$6:$D$400,$S56)))</f>
        <v/>
      </c>
      <c r="E56" s="53">
        <f>IF($S56="","",IF(INDEX('Master Tracker'!$F$6:$F$400,$S56)="","",INDEX('Master Tracker'!$F$6:$F$400,$S56)))</f>
        <v/>
      </c>
      <c r="F56" s="53">
        <f>IF($S56="","",IF(INDEX('Master Tracker'!$G$6:$G$400,$S56)="","",INDEX('Master Tracker'!$G$6:$G$400,$S56)))</f>
        <v/>
      </c>
      <c r="G56" s="70">
        <f>IF($S56="","",IF(INDEX('Master Tracker'!$H$6:$H$400,$S56)="","",INDEX('Master Tracker'!$H$6:$H$400,$S56)))</f>
        <v/>
      </c>
      <c r="H56" s="70">
        <f>IF($S56="","",IF(INDEX('Master Tracker'!$I$6:$I$400,$S56)="","",INDEX('Master Tracker'!$I$6:$I$400,$S56)))</f>
        <v/>
      </c>
      <c r="I56" s="115">
        <f>IF($S56="","",IF(INDEX('Master Tracker'!$U$6:$U$400,$S56)="","",INDEX('Master Tracker'!$U$6:$U$400,$S56)))</f>
        <v/>
      </c>
      <c r="J56" s="114">
        <f>IF($S56="","",IF(INDEX('Master Tracker'!$K$6:$K$400,$S56)="","",INDEX('Master Tracker'!$K$6:$K$400,$S56)))</f>
        <v/>
      </c>
      <c r="K56" s="114">
        <f>IF($S56="","",IF(INDEX('Master Tracker'!$Y$6:$Y$400,$S56)="","",INDEX('Master Tracker'!$Y$6:$Y$400,$S56)))</f>
        <v/>
      </c>
      <c r="L56" s="114">
        <f>IF($S56="","",IF(INDEX('Master Tracker'!$M$6:$M$400,$S56)="","",INDEX('Master Tracker'!$M$6:$M$400,$S56)))</f>
        <v/>
      </c>
      <c r="M56" s="114">
        <f>IF($S56="","",IF(INDEX('Master Tracker'!$O$6:$O$400,$S56)="","",INDEX('Master Tracker'!$O$6:$O$400,$S56)))</f>
        <v/>
      </c>
      <c r="N56" s="114">
        <f>IF($S56="","",IF(INDEX('Master Tracker'!$N$6:$N$400,$S56)="","",INDEX('Master Tracker'!$N$6:$N$400,$S56)))</f>
        <v/>
      </c>
      <c r="O56" s="53">
        <f>IF($S56="","",IF(INDEX('Master Tracker'!$T$6:$T$400,$S56)="","",INDEX('Master Tracker'!$T$6:$T$400,$S56)))</f>
        <v/>
      </c>
      <c r="P56" s="53">
        <f>IF($S56="","",IF(INDEX('Master Tracker'!$AC$6:$AC$400,$S56)="","",INDEX('Master Tracker'!$AC$6:$AC$400,$S56)))</f>
        <v/>
      </c>
      <c r="S56">
        <f>IFERROR(MATCH("Phase 5|"&amp;A56,'Master Tracker'!$Z$6:$Z$400,0),"")</f>
        <v/>
      </c>
    </row>
    <row r="57" ht="48" customHeight="1">
      <c r="A57" s="53" t="n">
        <v>18</v>
      </c>
      <c r="B57" s="113">
        <f>IF($S57="","",IF(INDEX('Master Tracker'!$A$6:$A$400,$S57)="","",INDEX('Master Tracker'!$A$6:$A$400,$S57)))</f>
        <v/>
      </c>
      <c r="C57" s="114">
        <f>IF($S57="","",IF(INDEX('Master Tracker'!$C$6:$C$400,$S57)="","",INDEX('Master Tracker'!$C$6:$C$400,$S57)))</f>
        <v/>
      </c>
      <c r="D57" s="114">
        <f>IF($S57="","",IF(INDEX('Master Tracker'!$D$6:$D$400,$S57)="","",INDEX('Master Tracker'!$D$6:$D$400,$S57)))</f>
        <v/>
      </c>
      <c r="E57" s="53">
        <f>IF($S57="","",IF(INDEX('Master Tracker'!$F$6:$F$400,$S57)="","",INDEX('Master Tracker'!$F$6:$F$400,$S57)))</f>
        <v/>
      </c>
      <c r="F57" s="53">
        <f>IF($S57="","",IF(INDEX('Master Tracker'!$G$6:$G$400,$S57)="","",INDEX('Master Tracker'!$G$6:$G$400,$S57)))</f>
        <v/>
      </c>
      <c r="G57" s="70">
        <f>IF($S57="","",IF(INDEX('Master Tracker'!$H$6:$H$400,$S57)="","",INDEX('Master Tracker'!$H$6:$H$400,$S57)))</f>
        <v/>
      </c>
      <c r="H57" s="70">
        <f>IF($S57="","",IF(INDEX('Master Tracker'!$I$6:$I$400,$S57)="","",INDEX('Master Tracker'!$I$6:$I$400,$S57)))</f>
        <v/>
      </c>
      <c r="I57" s="115">
        <f>IF($S57="","",IF(INDEX('Master Tracker'!$U$6:$U$400,$S57)="","",INDEX('Master Tracker'!$U$6:$U$400,$S57)))</f>
        <v/>
      </c>
      <c r="J57" s="114">
        <f>IF($S57="","",IF(INDEX('Master Tracker'!$K$6:$K$400,$S57)="","",INDEX('Master Tracker'!$K$6:$K$400,$S57)))</f>
        <v/>
      </c>
      <c r="K57" s="114">
        <f>IF($S57="","",IF(INDEX('Master Tracker'!$Y$6:$Y$400,$S57)="","",INDEX('Master Tracker'!$Y$6:$Y$400,$S57)))</f>
        <v/>
      </c>
      <c r="L57" s="114">
        <f>IF($S57="","",IF(INDEX('Master Tracker'!$M$6:$M$400,$S57)="","",INDEX('Master Tracker'!$M$6:$M$400,$S57)))</f>
        <v/>
      </c>
      <c r="M57" s="114">
        <f>IF($S57="","",IF(INDEX('Master Tracker'!$O$6:$O$400,$S57)="","",INDEX('Master Tracker'!$O$6:$O$400,$S57)))</f>
        <v/>
      </c>
      <c r="N57" s="114">
        <f>IF($S57="","",IF(INDEX('Master Tracker'!$N$6:$N$400,$S57)="","",INDEX('Master Tracker'!$N$6:$N$400,$S57)))</f>
        <v/>
      </c>
      <c r="O57" s="53">
        <f>IF($S57="","",IF(INDEX('Master Tracker'!$T$6:$T$400,$S57)="","",INDEX('Master Tracker'!$T$6:$T$400,$S57)))</f>
        <v/>
      </c>
      <c r="P57" s="53">
        <f>IF($S57="","",IF(INDEX('Master Tracker'!$AC$6:$AC$400,$S57)="","",INDEX('Master Tracker'!$AC$6:$AC$400,$S57)))</f>
        <v/>
      </c>
      <c r="S57">
        <f>IFERROR(MATCH("Phase 5|"&amp;A57,'Master Tracker'!$Z$6:$Z$400,0),"")</f>
        <v/>
      </c>
    </row>
    <row r="58" ht="48" customHeight="1">
      <c r="A58" s="53" t="n">
        <v>19</v>
      </c>
      <c r="B58" s="113">
        <f>IF($S58="","",IF(INDEX('Master Tracker'!$A$6:$A$400,$S58)="","",INDEX('Master Tracker'!$A$6:$A$400,$S58)))</f>
        <v/>
      </c>
      <c r="C58" s="114">
        <f>IF($S58="","",IF(INDEX('Master Tracker'!$C$6:$C$400,$S58)="","",INDEX('Master Tracker'!$C$6:$C$400,$S58)))</f>
        <v/>
      </c>
      <c r="D58" s="114">
        <f>IF($S58="","",IF(INDEX('Master Tracker'!$D$6:$D$400,$S58)="","",INDEX('Master Tracker'!$D$6:$D$400,$S58)))</f>
        <v/>
      </c>
      <c r="E58" s="53">
        <f>IF($S58="","",IF(INDEX('Master Tracker'!$F$6:$F$400,$S58)="","",INDEX('Master Tracker'!$F$6:$F$400,$S58)))</f>
        <v/>
      </c>
      <c r="F58" s="53">
        <f>IF($S58="","",IF(INDEX('Master Tracker'!$G$6:$G$400,$S58)="","",INDEX('Master Tracker'!$G$6:$G$400,$S58)))</f>
        <v/>
      </c>
      <c r="G58" s="70">
        <f>IF($S58="","",IF(INDEX('Master Tracker'!$H$6:$H$400,$S58)="","",INDEX('Master Tracker'!$H$6:$H$400,$S58)))</f>
        <v/>
      </c>
      <c r="H58" s="70">
        <f>IF($S58="","",IF(INDEX('Master Tracker'!$I$6:$I$400,$S58)="","",INDEX('Master Tracker'!$I$6:$I$400,$S58)))</f>
        <v/>
      </c>
      <c r="I58" s="115">
        <f>IF($S58="","",IF(INDEX('Master Tracker'!$U$6:$U$400,$S58)="","",INDEX('Master Tracker'!$U$6:$U$400,$S58)))</f>
        <v/>
      </c>
      <c r="J58" s="114">
        <f>IF($S58="","",IF(INDEX('Master Tracker'!$K$6:$K$400,$S58)="","",INDEX('Master Tracker'!$K$6:$K$400,$S58)))</f>
        <v/>
      </c>
      <c r="K58" s="114">
        <f>IF($S58="","",IF(INDEX('Master Tracker'!$Y$6:$Y$400,$S58)="","",INDEX('Master Tracker'!$Y$6:$Y$400,$S58)))</f>
        <v/>
      </c>
      <c r="L58" s="114">
        <f>IF($S58="","",IF(INDEX('Master Tracker'!$M$6:$M$400,$S58)="","",INDEX('Master Tracker'!$M$6:$M$400,$S58)))</f>
        <v/>
      </c>
      <c r="M58" s="114">
        <f>IF($S58="","",IF(INDEX('Master Tracker'!$O$6:$O$400,$S58)="","",INDEX('Master Tracker'!$O$6:$O$400,$S58)))</f>
        <v/>
      </c>
      <c r="N58" s="114">
        <f>IF($S58="","",IF(INDEX('Master Tracker'!$N$6:$N$400,$S58)="","",INDEX('Master Tracker'!$N$6:$N$400,$S58)))</f>
        <v/>
      </c>
      <c r="O58" s="53">
        <f>IF($S58="","",IF(INDEX('Master Tracker'!$T$6:$T$400,$S58)="","",INDEX('Master Tracker'!$T$6:$T$400,$S58)))</f>
        <v/>
      </c>
      <c r="P58" s="53">
        <f>IF($S58="","",IF(INDEX('Master Tracker'!$AC$6:$AC$400,$S58)="","",INDEX('Master Tracker'!$AC$6:$AC$400,$S58)))</f>
        <v/>
      </c>
      <c r="S58">
        <f>IFERROR(MATCH("Phase 5|"&amp;A58,'Master Tracker'!$Z$6:$Z$400,0),"")</f>
        <v/>
      </c>
    </row>
    <row r="59" ht="48" customHeight="1">
      <c r="A59" s="53" t="n">
        <v>20</v>
      </c>
      <c r="B59" s="113">
        <f>IF($S59="","",IF(INDEX('Master Tracker'!$A$6:$A$400,$S59)="","",INDEX('Master Tracker'!$A$6:$A$400,$S59)))</f>
        <v/>
      </c>
      <c r="C59" s="114">
        <f>IF($S59="","",IF(INDEX('Master Tracker'!$C$6:$C$400,$S59)="","",INDEX('Master Tracker'!$C$6:$C$400,$S59)))</f>
        <v/>
      </c>
      <c r="D59" s="114">
        <f>IF($S59="","",IF(INDEX('Master Tracker'!$D$6:$D$400,$S59)="","",INDEX('Master Tracker'!$D$6:$D$400,$S59)))</f>
        <v/>
      </c>
      <c r="E59" s="53">
        <f>IF($S59="","",IF(INDEX('Master Tracker'!$F$6:$F$400,$S59)="","",INDEX('Master Tracker'!$F$6:$F$400,$S59)))</f>
        <v/>
      </c>
      <c r="F59" s="53">
        <f>IF($S59="","",IF(INDEX('Master Tracker'!$G$6:$G$400,$S59)="","",INDEX('Master Tracker'!$G$6:$G$400,$S59)))</f>
        <v/>
      </c>
      <c r="G59" s="70">
        <f>IF($S59="","",IF(INDEX('Master Tracker'!$H$6:$H$400,$S59)="","",INDEX('Master Tracker'!$H$6:$H$400,$S59)))</f>
        <v/>
      </c>
      <c r="H59" s="70">
        <f>IF($S59="","",IF(INDEX('Master Tracker'!$I$6:$I$400,$S59)="","",INDEX('Master Tracker'!$I$6:$I$400,$S59)))</f>
        <v/>
      </c>
      <c r="I59" s="115">
        <f>IF($S59="","",IF(INDEX('Master Tracker'!$U$6:$U$400,$S59)="","",INDEX('Master Tracker'!$U$6:$U$400,$S59)))</f>
        <v/>
      </c>
      <c r="J59" s="114">
        <f>IF($S59="","",IF(INDEX('Master Tracker'!$K$6:$K$400,$S59)="","",INDEX('Master Tracker'!$K$6:$K$400,$S59)))</f>
        <v/>
      </c>
      <c r="K59" s="114">
        <f>IF($S59="","",IF(INDEX('Master Tracker'!$Y$6:$Y$400,$S59)="","",INDEX('Master Tracker'!$Y$6:$Y$400,$S59)))</f>
        <v/>
      </c>
      <c r="L59" s="114">
        <f>IF($S59="","",IF(INDEX('Master Tracker'!$M$6:$M$400,$S59)="","",INDEX('Master Tracker'!$M$6:$M$400,$S59)))</f>
        <v/>
      </c>
      <c r="M59" s="114">
        <f>IF($S59="","",IF(INDEX('Master Tracker'!$O$6:$O$400,$S59)="","",INDEX('Master Tracker'!$O$6:$O$400,$S59)))</f>
        <v/>
      </c>
      <c r="N59" s="114">
        <f>IF($S59="","",IF(INDEX('Master Tracker'!$N$6:$N$400,$S59)="","",INDEX('Master Tracker'!$N$6:$N$400,$S59)))</f>
        <v/>
      </c>
      <c r="O59" s="53">
        <f>IF($S59="","",IF(INDEX('Master Tracker'!$T$6:$T$400,$S59)="","",INDEX('Master Tracker'!$T$6:$T$400,$S59)))</f>
        <v/>
      </c>
      <c r="P59" s="53">
        <f>IF($S59="","",IF(INDEX('Master Tracker'!$AC$6:$AC$400,$S59)="","",INDEX('Master Tracker'!$AC$6:$AC$400,$S59)))</f>
        <v/>
      </c>
      <c r="S59">
        <f>IFERROR(MATCH("Phase 5|"&amp;A59,'Master Tracker'!$Z$6:$Z$400,0),"")</f>
        <v/>
      </c>
    </row>
    <row r="60" ht="15" customHeight="1">
      <c r="A60" s="53" t="n">
        <v>21</v>
      </c>
      <c r="B60" s="113">
        <f>IF($S60="","",IF(INDEX('Master Tracker'!$A$6:$A$400,$S60)="","",INDEX('Master Tracker'!$A$6:$A$400,$S60)))</f>
        <v/>
      </c>
      <c r="C60" s="114">
        <f>IF($S60="","",IF(INDEX('Master Tracker'!$C$6:$C$400,$S60)="","",INDEX('Master Tracker'!$C$6:$C$400,$S60)))</f>
        <v/>
      </c>
      <c r="D60" s="114">
        <f>IF($S60="","",IF(INDEX('Master Tracker'!$D$6:$D$400,$S60)="","",INDEX('Master Tracker'!$D$6:$D$400,$S60)))</f>
        <v/>
      </c>
      <c r="E60" s="53">
        <f>IF($S60="","",IF(INDEX('Master Tracker'!$F$6:$F$400,$S60)="","",INDEX('Master Tracker'!$F$6:$F$400,$S60)))</f>
        <v/>
      </c>
      <c r="F60" s="53">
        <f>IF($S60="","",IF(INDEX('Master Tracker'!$G$6:$G$400,$S60)="","",INDEX('Master Tracker'!$G$6:$G$400,$S60)))</f>
        <v/>
      </c>
      <c r="G60" s="70">
        <f>IF($S60="","",IF(INDEX('Master Tracker'!$H$6:$H$400,$S60)="","",INDEX('Master Tracker'!$H$6:$H$400,$S60)))</f>
        <v/>
      </c>
      <c r="H60" s="70">
        <f>IF($S60="","",IF(INDEX('Master Tracker'!$I$6:$I$400,$S60)="","",INDEX('Master Tracker'!$I$6:$I$400,$S60)))</f>
        <v/>
      </c>
      <c r="I60" s="115">
        <f>IF($S60="","",IF(INDEX('Master Tracker'!$U$6:$U$400,$S60)="","",INDEX('Master Tracker'!$U$6:$U$400,$S60)))</f>
        <v/>
      </c>
      <c r="J60" s="114">
        <f>IF($S60="","",IF(INDEX('Master Tracker'!$K$6:$K$400,$S60)="","",INDEX('Master Tracker'!$K$6:$K$400,$S60)))</f>
        <v/>
      </c>
      <c r="K60" s="114">
        <f>IF($S60="","",IF(INDEX('Master Tracker'!$Y$6:$Y$400,$S60)="","",INDEX('Master Tracker'!$Y$6:$Y$400,$S60)))</f>
        <v/>
      </c>
      <c r="L60" s="114">
        <f>IF($S60="","",IF(INDEX('Master Tracker'!$M$6:$M$400,$S60)="","",INDEX('Master Tracker'!$M$6:$M$400,$S60)))</f>
        <v/>
      </c>
      <c r="M60" s="114">
        <f>IF($S60="","",IF(INDEX('Master Tracker'!$O$6:$O$400,$S60)="","",INDEX('Master Tracker'!$O$6:$O$400,$S60)))</f>
        <v/>
      </c>
      <c r="N60" s="114">
        <f>IF($S60="","",IF(INDEX('Master Tracker'!$N$6:$N$400,$S60)="","",INDEX('Master Tracker'!$N$6:$N$400,$S60)))</f>
        <v/>
      </c>
      <c r="O60" s="53">
        <f>IF($S60="","",IF(INDEX('Master Tracker'!$T$6:$T$400,$S60)="","",INDEX('Master Tracker'!$T$6:$T$400,$S60)))</f>
        <v/>
      </c>
      <c r="P60" s="53">
        <f>IF($S60="","",IF(INDEX('Master Tracker'!$AC$6:$AC$400,$S60)="","",INDEX('Master Tracker'!$AC$6:$AC$400,$S60)))</f>
        <v/>
      </c>
      <c r="S60">
        <f>IFERROR(MATCH("Phase 5|"&amp;A60,'Master Tracker'!$Z$6:$Z$400,0),"")</f>
        <v/>
      </c>
    </row>
    <row r="61" ht="15" customHeight="1">
      <c r="A61" s="53" t="n">
        <v>22</v>
      </c>
      <c r="B61" s="113">
        <f>IF($S61="","",IF(INDEX('Master Tracker'!$A$6:$A$400,$S61)="","",INDEX('Master Tracker'!$A$6:$A$400,$S61)))</f>
        <v/>
      </c>
      <c r="C61" s="114">
        <f>IF($S61="","",IF(INDEX('Master Tracker'!$C$6:$C$400,$S61)="","",INDEX('Master Tracker'!$C$6:$C$400,$S61)))</f>
        <v/>
      </c>
      <c r="D61" s="114">
        <f>IF($S61="","",IF(INDEX('Master Tracker'!$D$6:$D$400,$S61)="","",INDEX('Master Tracker'!$D$6:$D$400,$S61)))</f>
        <v/>
      </c>
      <c r="E61" s="53">
        <f>IF($S61="","",IF(INDEX('Master Tracker'!$F$6:$F$400,$S61)="","",INDEX('Master Tracker'!$F$6:$F$400,$S61)))</f>
        <v/>
      </c>
      <c r="F61" s="53">
        <f>IF($S61="","",IF(INDEX('Master Tracker'!$G$6:$G$400,$S61)="","",INDEX('Master Tracker'!$G$6:$G$400,$S61)))</f>
        <v/>
      </c>
      <c r="G61" s="70">
        <f>IF($S61="","",IF(INDEX('Master Tracker'!$H$6:$H$400,$S61)="","",INDEX('Master Tracker'!$H$6:$H$400,$S61)))</f>
        <v/>
      </c>
      <c r="H61" s="70">
        <f>IF($S61="","",IF(INDEX('Master Tracker'!$I$6:$I$400,$S61)="","",INDEX('Master Tracker'!$I$6:$I$400,$S61)))</f>
        <v/>
      </c>
      <c r="I61" s="115">
        <f>IF($S61="","",IF(INDEX('Master Tracker'!$U$6:$U$400,$S61)="","",INDEX('Master Tracker'!$U$6:$U$400,$S61)))</f>
        <v/>
      </c>
      <c r="J61" s="114">
        <f>IF($S61="","",IF(INDEX('Master Tracker'!$K$6:$K$400,$S61)="","",INDEX('Master Tracker'!$K$6:$K$400,$S61)))</f>
        <v/>
      </c>
      <c r="K61" s="114">
        <f>IF($S61="","",IF(INDEX('Master Tracker'!$Y$6:$Y$400,$S61)="","",INDEX('Master Tracker'!$Y$6:$Y$400,$S61)))</f>
        <v/>
      </c>
      <c r="L61" s="114">
        <f>IF($S61="","",IF(INDEX('Master Tracker'!$M$6:$M$400,$S61)="","",INDEX('Master Tracker'!$M$6:$M$400,$S61)))</f>
        <v/>
      </c>
      <c r="M61" s="114">
        <f>IF($S61="","",IF(INDEX('Master Tracker'!$O$6:$O$400,$S61)="","",INDEX('Master Tracker'!$O$6:$O$400,$S61)))</f>
        <v/>
      </c>
      <c r="N61" s="114">
        <f>IF($S61="","",IF(INDEX('Master Tracker'!$N$6:$N$400,$S61)="","",INDEX('Master Tracker'!$N$6:$N$400,$S61)))</f>
        <v/>
      </c>
      <c r="O61" s="53">
        <f>IF($S61="","",IF(INDEX('Master Tracker'!$T$6:$T$400,$S61)="","",INDEX('Master Tracker'!$T$6:$T$400,$S61)))</f>
        <v/>
      </c>
      <c r="P61" s="53">
        <f>IF($S61="","",IF(INDEX('Master Tracker'!$AC$6:$AC$400,$S61)="","",INDEX('Master Tracker'!$AC$6:$AC$400,$S61)))</f>
        <v/>
      </c>
      <c r="S61">
        <f>IFERROR(MATCH("Phase 5|"&amp;A61,'Master Tracker'!$Z$6:$Z$400,0),"")</f>
        <v/>
      </c>
    </row>
    <row r="62" ht="15" customHeight="1">
      <c r="A62" s="53" t="n">
        <v>23</v>
      </c>
      <c r="B62" s="113">
        <f>IF($S62="","",IF(INDEX('Master Tracker'!$A$6:$A$400,$S62)="","",INDEX('Master Tracker'!$A$6:$A$400,$S62)))</f>
        <v/>
      </c>
      <c r="C62" s="114">
        <f>IF($S62="","",IF(INDEX('Master Tracker'!$C$6:$C$400,$S62)="","",INDEX('Master Tracker'!$C$6:$C$400,$S62)))</f>
        <v/>
      </c>
      <c r="D62" s="114">
        <f>IF($S62="","",IF(INDEX('Master Tracker'!$D$6:$D$400,$S62)="","",INDEX('Master Tracker'!$D$6:$D$400,$S62)))</f>
        <v/>
      </c>
      <c r="E62" s="53">
        <f>IF($S62="","",IF(INDEX('Master Tracker'!$F$6:$F$400,$S62)="","",INDEX('Master Tracker'!$F$6:$F$400,$S62)))</f>
        <v/>
      </c>
      <c r="F62" s="53">
        <f>IF($S62="","",IF(INDEX('Master Tracker'!$G$6:$G$400,$S62)="","",INDEX('Master Tracker'!$G$6:$G$400,$S62)))</f>
        <v/>
      </c>
      <c r="G62" s="70">
        <f>IF($S62="","",IF(INDEX('Master Tracker'!$H$6:$H$400,$S62)="","",INDEX('Master Tracker'!$H$6:$H$400,$S62)))</f>
        <v/>
      </c>
      <c r="H62" s="70">
        <f>IF($S62="","",IF(INDEX('Master Tracker'!$I$6:$I$400,$S62)="","",INDEX('Master Tracker'!$I$6:$I$400,$S62)))</f>
        <v/>
      </c>
      <c r="I62" s="115">
        <f>IF($S62="","",IF(INDEX('Master Tracker'!$U$6:$U$400,$S62)="","",INDEX('Master Tracker'!$U$6:$U$400,$S62)))</f>
        <v/>
      </c>
      <c r="J62" s="114">
        <f>IF($S62="","",IF(INDEX('Master Tracker'!$K$6:$K$400,$S62)="","",INDEX('Master Tracker'!$K$6:$K$400,$S62)))</f>
        <v/>
      </c>
      <c r="K62" s="114">
        <f>IF($S62="","",IF(INDEX('Master Tracker'!$Y$6:$Y$400,$S62)="","",INDEX('Master Tracker'!$Y$6:$Y$400,$S62)))</f>
        <v/>
      </c>
      <c r="L62" s="114">
        <f>IF($S62="","",IF(INDEX('Master Tracker'!$M$6:$M$400,$S62)="","",INDEX('Master Tracker'!$M$6:$M$400,$S62)))</f>
        <v/>
      </c>
      <c r="M62" s="114">
        <f>IF($S62="","",IF(INDEX('Master Tracker'!$O$6:$O$400,$S62)="","",INDEX('Master Tracker'!$O$6:$O$400,$S62)))</f>
        <v/>
      </c>
      <c r="N62" s="114">
        <f>IF($S62="","",IF(INDEX('Master Tracker'!$N$6:$N$400,$S62)="","",INDEX('Master Tracker'!$N$6:$N$400,$S62)))</f>
        <v/>
      </c>
      <c r="O62" s="53">
        <f>IF($S62="","",IF(INDEX('Master Tracker'!$T$6:$T$400,$S62)="","",INDEX('Master Tracker'!$T$6:$T$400,$S62)))</f>
        <v/>
      </c>
      <c r="P62" s="53">
        <f>IF($S62="","",IF(INDEX('Master Tracker'!$AC$6:$AC$400,$S62)="","",INDEX('Master Tracker'!$AC$6:$AC$400,$S62)))</f>
        <v/>
      </c>
      <c r="S62">
        <f>IFERROR(MATCH("Phase 5|"&amp;A62,'Master Tracker'!$Z$6:$Z$400,0),"")</f>
        <v/>
      </c>
    </row>
    <row r="63" ht="15" customHeight="1">
      <c r="A63" s="53" t="n">
        <v>24</v>
      </c>
      <c r="B63" s="113">
        <f>IF($S63="","",IF(INDEX('Master Tracker'!$A$6:$A$400,$S63)="","",INDEX('Master Tracker'!$A$6:$A$400,$S63)))</f>
        <v/>
      </c>
      <c r="C63" s="114">
        <f>IF($S63="","",IF(INDEX('Master Tracker'!$C$6:$C$400,$S63)="","",INDEX('Master Tracker'!$C$6:$C$400,$S63)))</f>
        <v/>
      </c>
      <c r="D63" s="114">
        <f>IF($S63="","",IF(INDEX('Master Tracker'!$D$6:$D$400,$S63)="","",INDEX('Master Tracker'!$D$6:$D$400,$S63)))</f>
        <v/>
      </c>
      <c r="E63" s="53">
        <f>IF($S63="","",IF(INDEX('Master Tracker'!$F$6:$F$400,$S63)="","",INDEX('Master Tracker'!$F$6:$F$400,$S63)))</f>
        <v/>
      </c>
      <c r="F63" s="53">
        <f>IF($S63="","",IF(INDEX('Master Tracker'!$G$6:$G$400,$S63)="","",INDEX('Master Tracker'!$G$6:$G$400,$S63)))</f>
        <v/>
      </c>
      <c r="G63" s="70">
        <f>IF($S63="","",IF(INDEX('Master Tracker'!$H$6:$H$400,$S63)="","",INDEX('Master Tracker'!$H$6:$H$400,$S63)))</f>
        <v/>
      </c>
      <c r="H63" s="70">
        <f>IF($S63="","",IF(INDEX('Master Tracker'!$I$6:$I$400,$S63)="","",INDEX('Master Tracker'!$I$6:$I$400,$S63)))</f>
        <v/>
      </c>
      <c r="I63" s="115">
        <f>IF($S63="","",IF(INDEX('Master Tracker'!$U$6:$U$400,$S63)="","",INDEX('Master Tracker'!$U$6:$U$400,$S63)))</f>
        <v/>
      </c>
      <c r="J63" s="114">
        <f>IF($S63="","",IF(INDEX('Master Tracker'!$K$6:$K$400,$S63)="","",INDEX('Master Tracker'!$K$6:$K$400,$S63)))</f>
        <v/>
      </c>
      <c r="K63" s="114">
        <f>IF($S63="","",IF(INDEX('Master Tracker'!$Y$6:$Y$400,$S63)="","",INDEX('Master Tracker'!$Y$6:$Y$400,$S63)))</f>
        <v/>
      </c>
      <c r="L63" s="114">
        <f>IF($S63="","",IF(INDEX('Master Tracker'!$M$6:$M$400,$S63)="","",INDEX('Master Tracker'!$M$6:$M$400,$S63)))</f>
        <v/>
      </c>
      <c r="M63" s="114">
        <f>IF($S63="","",IF(INDEX('Master Tracker'!$O$6:$O$400,$S63)="","",INDEX('Master Tracker'!$O$6:$O$400,$S63)))</f>
        <v/>
      </c>
      <c r="N63" s="114">
        <f>IF($S63="","",IF(INDEX('Master Tracker'!$N$6:$N$400,$S63)="","",INDEX('Master Tracker'!$N$6:$N$400,$S63)))</f>
        <v/>
      </c>
      <c r="O63" s="53">
        <f>IF($S63="","",IF(INDEX('Master Tracker'!$T$6:$T$400,$S63)="","",INDEX('Master Tracker'!$T$6:$T$400,$S63)))</f>
        <v/>
      </c>
      <c r="P63" s="53">
        <f>IF($S63="","",IF(INDEX('Master Tracker'!$AC$6:$AC$400,$S63)="","",INDEX('Master Tracker'!$AC$6:$AC$400,$S63)))</f>
        <v/>
      </c>
      <c r="S63">
        <f>IFERROR(MATCH("Phase 5|"&amp;A63,'Master Tracker'!$Z$6:$Z$400,0),"")</f>
        <v/>
      </c>
    </row>
    <row r="64" ht="15" customHeight="1">
      <c r="A64" s="53" t="n">
        <v>25</v>
      </c>
      <c r="B64" s="113">
        <f>IF($S64="","",IF(INDEX('Master Tracker'!$A$6:$A$400,$S64)="","",INDEX('Master Tracker'!$A$6:$A$400,$S64)))</f>
        <v/>
      </c>
      <c r="C64" s="114">
        <f>IF($S64="","",IF(INDEX('Master Tracker'!$C$6:$C$400,$S64)="","",INDEX('Master Tracker'!$C$6:$C$400,$S64)))</f>
        <v/>
      </c>
      <c r="D64" s="114">
        <f>IF($S64="","",IF(INDEX('Master Tracker'!$D$6:$D$400,$S64)="","",INDEX('Master Tracker'!$D$6:$D$400,$S64)))</f>
        <v/>
      </c>
      <c r="E64" s="53">
        <f>IF($S64="","",IF(INDEX('Master Tracker'!$F$6:$F$400,$S64)="","",INDEX('Master Tracker'!$F$6:$F$400,$S64)))</f>
        <v/>
      </c>
      <c r="F64" s="53">
        <f>IF($S64="","",IF(INDEX('Master Tracker'!$G$6:$G$400,$S64)="","",INDEX('Master Tracker'!$G$6:$G$400,$S64)))</f>
        <v/>
      </c>
      <c r="G64" s="70">
        <f>IF($S64="","",IF(INDEX('Master Tracker'!$H$6:$H$400,$S64)="","",INDEX('Master Tracker'!$H$6:$H$400,$S64)))</f>
        <v/>
      </c>
      <c r="H64" s="70">
        <f>IF($S64="","",IF(INDEX('Master Tracker'!$I$6:$I$400,$S64)="","",INDEX('Master Tracker'!$I$6:$I$400,$S64)))</f>
        <v/>
      </c>
      <c r="I64" s="115">
        <f>IF($S64="","",IF(INDEX('Master Tracker'!$U$6:$U$400,$S64)="","",INDEX('Master Tracker'!$U$6:$U$400,$S64)))</f>
        <v/>
      </c>
      <c r="J64" s="114">
        <f>IF($S64="","",IF(INDEX('Master Tracker'!$K$6:$K$400,$S64)="","",INDEX('Master Tracker'!$K$6:$K$400,$S64)))</f>
        <v/>
      </c>
      <c r="K64" s="114">
        <f>IF($S64="","",IF(INDEX('Master Tracker'!$Y$6:$Y$400,$S64)="","",INDEX('Master Tracker'!$Y$6:$Y$400,$S64)))</f>
        <v/>
      </c>
      <c r="L64" s="114">
        <f>IF($S64="","",IF(INDEX('Master Tracker'!$M$6:$M$400,$S64)="","",INDEX('Master Tracker'!$M$6:$M$400,$S64)))</f>
        <v/>
      </c>
      <c r="M64" s="114">
        <f>IF($S64="","",IF(INDEX('Master Tracker'!$O$6:$O$400,$S64)="","",INDEX('Master Tracker'!$O$6:$O$400,$S64)))</f>
        <v/>
      </c>
      <c r="N64" s="114">
        <f>IF($S64="","",IF(INDEX('Master Tracker'!$N$6:$N$400,$S64)="","",INDEX('Master Tracker'!$N$6:$N$400,$S64)))</f>
        <v/>
      </c>
      <c r="O64" s="53">
        <f>IF($S64="","",IF(INDEX('Master Tracker'!$T$6:$T$400,$S64)="","",INDEX('Master Tracker'!$T$6:$T$400,$S64)))</f>
        <v/>
      </c>
      <c r="P64" s="53">
        <f>IF($S64="","",IF(INDEX('Master Tracker'!$AC$6:$AC$400,$S64)="","",INDEX('Master Tracker'!$AC$6:$AC$400,$S64)))</f>
        <v/>
      </c>
      <c r="S64">
        <f>IFERROR(MATCH("Phase 5|"&amp;A64,'Master Tracker'!$Z$6:$Z$400,0),"")</f>
        <v/>
      </c>
    </row>
    <row r="65" ht="15" customHeight="1">
      <c r="A65" s="53" t="n">
        <v>26</v>
      </c>
      <c r="B65" s="113">
        <f>IF($S65="","",IF(INDEX('Master Tracker'!$A$6:$A$400,$S65)="","",INDEX('Master Tracker'!$A$6:$A$400,$S65)))</f>
        <v/>
      </c>
      <c r="C65" s="114">
        <f>IF($S65="","",IF(INDEX('Master Tracker'!$C$6:$C$400,$S65)="","",INDEX('Master Tracker'!$C$6:$C$400,$S65)))</f>
        <v/>
      </c>
      <c r="D65" s="114">
        <f>IF($S65="","",IF(INDEX('Master Tracker'!$D$6:$D$400,$S65)="","",INDEX('Master Tracker'!$D$6:$D$400,$S65)))</f>
        <v/>
      </c>
      <c r="E65" s="53">
        <f>IF($S65="","",IF(INDEX('Master Tracker'!$F$6:$F$400,$S65)="","",INDEX('Master Tracker'!$F$6:$F$400,$S65)))</f>
        <v/>
      </c>
      <c r="F65" s="53">
        <f>IF($S65="","",IF(INDEX('Master Tracker'!$G$6:$G$400,$S65)="","",INDEX('Master Tracker'!$G$6:$G$400,$S65)))</f>
        <v/>
      </c>
      <c r="G65" s="70">
        <f>IF($S65="","",IF(INDEX('Master Tracker'!$H$6:$H$400,$S65)="","",INDEX('Master Tracker'!$H$6:$H$400,$S65)))</f>
        <v/>
      </c>
      <c r="H65" s="70">
        <f>IF($S65="","",IF(INDEX('Master Tracker'!$I$6:$I$400,$S65)="","",INDEX('Master Tracker'!$I$6:$I$400,$S65)))</f>
        <v/>
      </c>
      <c r="I65" s="115">
        <f>IF($S65="","",IF(INDEX('Master Tracker'!$U$6:$U$400,$S65)="","",INDEX('Master Tracker'!$U$6:$U$400,$S65)))</f>
        <v/>
      </c>
      <c r="J65" s="114">
        <f>IF($S65="","",IF(INDEX('Master Tracker'!$K$6:$K$400,$S65)="","",INDEX('Master Tracker'!$K$6:$K$400,$S65)))</f>
        <v/>
      </c>
      <c r="K65" s="114">
        <f>IF($S65="","",IF(INDEX('Master Tracker'!$Y$6:$Y$400,$S65)="","",INDEX('Master Tracker'!$Y$6:$Y$400,$S65)))</f>
        <v/>
      </c>
      <c r="L65" s="114">
        <f>IF($S65="","",IF(INDEX('Master Tracker'!$M$6:$M$400,$S65)="","",INDEX('Master Tracker'!$M$6:$M$400,$S65)))</f>
        <v/>
      </c>
      <c r="M65" s="114">
        <f>IF($S65="","",IF(INDEX('Master Tracker'!$O$6:$O$400,$S65)="","",INDEX('Master Tracker'!$O$6:$O$400,$S65)))</f>
        <v/>
      </c>
      <c r="N65" s="114">
        <f>IF($S65="","",IF(INDEX('Master Tracker'!$N$6:$N$400,$S65)="","",INDEX('Master Tracker'!$N$6:$N$400,$S65)))</f>
        <v/>
      </c>
      <c r="O65" s="53">
        <f>IF($S65="","",IF(INDEX('Master Tracker'!$T$6:$T$400,$S65)="","",INDEX('Master Tracker'!$T$6:$T$400,$S65)))</f>
        <v/>
      </c>
      <c r="P65" s="53">
        <f>IF($S65="","",IF(INDEX('Master Tracker'!$AC$6:$AC$400,$S65)="","",INDEX('Master Tracker'!$AC$6:$AC$400,$S65)))</f>
        <v/>
      </c>
      <c r="S65">
        <f>IFERROR(MATCH("Phase 5|"&amp;A65,'Master Tracker'!$Z$6:$Z$400,0),"")</f>
        <v/>
      </c>
    </row>
    <row r="66" ht="15" customHeight="1">
      <c r="A66" s="53" t="n">
        <v>27</v>
      </c>
      <c r="B66" s="113">
        <f>IF($S66="","",IF(INDEX('Master Tracker'!$A$6:$A$400,$S66)="","",INDEX('Master Tracker'!$A$6:$A$400,$S66)))</f>
        <v/>
      </c>
      <c r="C66" s="114">
        <f>IF($S66="","",IF(INDEX('Master Tracker'!$C$6:$C$400,$S66)="","",INDEX('Master Tracker'!$C$6:$C$400,$S66)))</f>
        <v/>
      </c>
      <c r="D66" s="114">
        <f>IF($S66="","",IF(INDEX('Master Tracker'!$D$6:$D$400,$S66)="","",INDEX('Master Tracker'!$D$6:$D$400,$S66)))</f>
        <v/>
      </c>
      <c r="E66" s="53">
        <f>IF($S66="","",IF(INDEX('Master Tracker'!$F$6:$F$400,$S66)="","",INDEX('Master Tracker'!$F$6:$F$400,$S66)))</f>
        <v/>
      </c>
      <c r="F66" s="53">
        <f>IF($S66="","",IF(INDEX('Master Tracker'!$G$6:$G$400,$S66)="","",INDEX('Master Tracker'!$G$6:$G$400,$S66)))</f>
        <v/>
      </c>
      <c r="G66" s="70">
        <f>IF($S66="","",IF(INDEX('Master Tracker'!$H$6:$H$400,$S66)="","",INDEX('Master Tracker'!$H$6:$H$400,$S66)))</f>
        <v/>
      </c>
      <c r="H66" s="70">
        <f>IF($S66="","",IF(INDEX('Master Tracker'!$I$6:$I$400,$S66)="","",INDEX('Master Tracker'!$I$6:$I$400,$S66)))</f>
        <v/>
      </c>
      <c r="I66" s="115">
        <f>IF($S66="","",IF(INDEX('Master Tracker'!$U$6:$U$400,$S66)="","",INDEX('Master Tracker'!$U$6:$U$400,$S66)))</f>
        <v/>
      </c>
      <c r="J66" s="114">
        <f>IF($S66="","",IF(INDEX('Master Tracker'!$K$6:$K$400,$S66)="","",INDEX('Master Tracker'!$K$6:$K$400,$S66)))</f>
        <v/>
      </c>
      <c r="K66" s="114">
        <f>IF($S66="","",IF(INDEX('Master Tracker'!$Y$6:$Y$400,$S66)="","",INDEX('Master Tracker'!$Y$6:$Y$400,$S66)))</f>
        <v/>
      </c>
      <c r="L66" s="114">
        <f>IF($S66="","",IF(INDEX('Master Tracker'!$M$6:$M$400,$S66)="","",INDEX('Master Tracker'!$M$6:$M$400,$S66)))</f>
        <v/>
      </c>
      <c r="M66" s="114">
        <f>IF($S66="","",IF(INDEX('Master Tracker'!$O$6:$O$400,$S66)="","",INDEX('Master Tracker'!$O$6:$O$400,$S66)))</f>
        <v/>
      </c>
      <c r="N66" s="114">
        <f>IF($S66="","",IF(INDEX('Master Tracker'!$N$6:$N$400,$S66)="","",INDEX('Master Tracker'!$N$6:$N$400,$S66)))</f>
        <v/>
      </c>
      <c r="O66" s="53">
        <f>IF($S66="","",IF(INDEX('Master Tracker'!$T$6:$T$400,$S66)="","",INDEX('Master Tracker'!$T$6:$T$400,$S66)))</f>
        <v/>
      </c>
      <c r="P66" s="53">
        <f>IF($S66="","",IF(INDEX('Master Tracker'!$AC$6:$AC$400,$S66)="","",INDEX('Master Tracker'!$AC$6:$AC$400,$S66)))</f>
        <v/>
      </c>
      <c r="S66">
        <f>IFERROR(MATCH("Phase 5|"&amp;A66,'Master Tracker'!$Z$6:$Z$400,0),"")</f>
        <v/>
      </c>
    </row>
    <row r="67" ht="15" customHeight="1">
      <c r="A67" s="53" t="n">
        <v>28</v>
      </c>
      <c r="B67" s="113">
        <f>IF($S67="","",IF(INDEX('Master Tracker'!$A$6:$A$400,$S67)="","",INDEX('Master Tracker'!$A$6:$A$400,$S67)))</f>
        <v/>
      </c>
      <c r="C67" s="114">
        <f>IF($S67="","",IF(INDEX('Master Tracker'!$C$6:$C$400,$S67)="","",INDEX('Master Tracker'!$C$6:$C$400,$S67)))</f>
        <v/>
      </c>
      <c r="D67" s="114">
        <f>IF($S67="","",IF(INDEX('Master Tracker'!$D$6:$D$400,$S67)="","",INDEX('Master Tracker'!$D$6:$D$400,$S67)))</f>
        <v/>
      </c>
      <c r="E67" s="53">
        <f>IF($S67="","",IF(INDEX('Master Tracker'!$F$6:$F$400,$S67)="","",INDEX('Master Tracker'!$F$6:$F$400,$S67)))</f>
        <v/>
      </c>
      <c r="F67" s="53">
        <f>IF($S67="","",IF(INDEX('Master Tracker'!$G$6:$G$400,$S67)="","",INDEX('Master Tracker'!$G$6:$G$400,$S67)))</f>
        <v/>
      </c>
      <c r="G67" s="70">
        <f>IF($S67="","",IF(INDEX('Master Tracker'!$H$6:$H$400,$S67)="","",INDEX('Master Tracker'!$H$6:$H$400,$S67)))</f>
        <v/>
      </c>
      <c r="H67" s="70">
        <f>IF($S67="","",IF(INDEX('Master Tracker'!$I$6:$I$400,$S67)="","",INDEX('Master Tracker'!$I$6:$I$400,$S67)))</f>
        <v/>
      </c>
      <c r="I67" s="115">
        <f>IF($S67="","",IF(INDEX('Master Tracker'!$U$6:$U$400,$S67)="","",INDEX('Master Tracker'!$U$6:$U$400,$S67)))</f>
        <v/>
      </c>
      <c r="J67" s="114">
        <f>IF($S67="","",IF(INDEX('Master Tracker'!$K$6:$K$400,$S67)="","",INDEX('Master Tracker'!$K$6:$K$400,$S67)))</f>
        <v/>
      </c>
      <c r="K67" s="114">
        <f>IF($S67="","",IF(INDEX('Master Tracker'!$Y$6:$Y$400,$S67)="","",INDEX('Master Tracker'!$Y$6:$Y$400,$S67)))</f>
        <v/>
      </c>
      <c r="L67" s="114">
        <f>IF($S67="","",IF(INDEX('Master Tracker'!$M$6:$M$400,$S67)="","",INDEX('Master Tracker'!$M$6:$M$400,$S67)))</f>
        <v/>
      </c>
      <c r="M67" s="114">
        <f>IF($S67="","",IF(INDEX('Master Tracker'!$O$6:$O$400,$S67)="","",INDEX('Master Tracker'!$O$6:$O$400,$S67)))</f>
        <v/>
      </c>
      <c r="N67" s="114">
        <f>IF($S67="","",IF(INDEX('Master Tracker'!$N$6:$N$400,$S67)="","",INDEX('Master Tracker'!$N$6:$N$400,$S67)))</f>
        <v/>
      </c>
      <c r="O67" s="53">
        <f>IF($S67="","",IF(INDEX('Master Tracker'!$T$6:$T$400,$S67)="","",INDEX('Master Tracker'!$T$6:$T$400,$S67)))</f>
        <v/>
      </c>
      <c r="P67" s="53">
        <f>IF($S67="","",IF(INDEX('Master Tracker'!$AC$6:$AC$400,$S67)="","",INDEX('Master Tracker'!$AC$6:$AC$400,$S67)))</f>
        <v/>
      </c>
      <c r="S67">
        <f>IFERROR(MATCH("Phase 5|"&amp;A67,'Master Tracker'!$Z$6:$Z$400,0),"")</f>
        <v/>
      </c>
    </row>
  </sheetData>
  <mergeCells count="54">
    <mergeCell ref="B32:R32"/>
    <mergeCell ref="J24:R24"/>
    <mergeCell ref="A7:R7"/>
    <mergeCell ref="A15:H15"/>
    <mergeCell ref="J5:K5"/>
    <mergeCell ref="J15:R15"/>
    <mergeCell ref="B35:R35"/>
    <mergeCell ref="A24:H24"/>
    <mergeCell ref="E5:F5"/>
    <mergeCell ref="A3:C3"/>
    <mergeCell ref="B31:R31"/>
    <mergeCell ref="J20:R20"/>
    <mergeCell ref="A26:R26"/>
    <mergeCell ref="J16:R16"/>
    <mergeCell ref="H6:I6"/>
    <mergeCell ref="B27:R27"/>
    <mergeCell ref="A5:C5"/>
    <mergeCell ref="J6:K6"/>
    <mergeCell ref="A2:R2"/>
    <mergeCell ref="A16:H16"/>
    <mergeCell ref="J22:R22"/>
    <mergeCell ref="J21:R21"/>
    <mergeCell ref="A12:H12"/>
    <mergeCell ref="J12:R12"/>
    <mergeCell ref="A18:H18"/>
    <mergeCell ref="E6:F6"/>
    <mergeCell ref="A21:H21"/>
    <mergeCell ref="P5:R5"/>
    <mergeCell ref="A38:R38"/>
    <mergeCell ref="J18:R18"/>
    <mergeCell ref="B29:R29"/>
    <mergeCell ref="A10:R10"/>
    <mergeCell ref="J23:R23"/>
    <mergeCell ref="B34:R34"/>
    <mergeCell ref="A14:H14"/>
    <mergeCell ref="B28:R28"/>
    <mergeCell ref="A9:R9"/>
    <mergeCell ref="J17:R17"/>
    <mergeCell ref="A23:H23"/>
    <mergeCell ref="A22:H22"/>
    <mergeCell ref="A17:H17"/>
    <mergeCell ref="J14:R14"/>
    <mergeCell ref="B30:R30"/>
    <mergeCell ref="A20:H20"/>
    <mergeCell ref="J19:R19"/>
    <mergeCell ref="A6:C6"/>
    <mergeCell ref="H5:I5"/>
    <mergeCell ref="A13:H13"/>
    <mergeCell ref="A1:R1"/>
    <mergeCell ref="J13:R13"/>
    <mergeCell ref="A19:H19"/>
    <mergeCell ref="B33:R33"/>
    <mergeCell ref="P6:R6"/>
    <mergeCell ref="B36:R36"/>
  </mergeCells>
  <conditionalFormatting sqref="P6">
    <cfRule type="expression" priority="1" dxfId="20">
      <formula>$P$6="Complete"</formula>
    </cfRule>
    <cfRule type="expression" priority="2" dxfId="21">
      <formula>$P$6="On Track"</formula>
    </cfRule>
    <cfRule type="expression" priority="3" dxfId="22">
      <formula>$P$6="Behind"</formula>
    </cfRule>
    <cfRule type="expression" priority="4" dxfId="22">
      <formula>$P$6="Blocked"</formula>
    </cfRule>
  </conditionalFormatting>
  <conditionalFormatting sqref="F40:F67">
    <cfRule type="expression" priority="5" dxfId="4">
      <formula>$F40="Completed"</formula>
    </cfRule>
    <cfRule type="expression" priority="6" dxfId="5">
      <formula>$F40="In Progress"</formula>
    </cfRule>
    <cfRule type="expression" priority="7" dxfId="11">
      <formula>$F40="Testing"</formula>
    </cfRule>
    <cfRule type="expression" priority="8" dxfId="11">
      <formula>$F40="In Review"</formula>
    </cfRule>
    <cfRule type="expression" priority="9" dxfId="6">
      <formula>$F40="Blocked"</formula>
    </cfRule>
    <cfRule type="expression" priority="10" dxfId="7">
      <formula>$F40="Not Started"</formula>
    </cfRule>
  </conditionalFormatting>
  <conditionalFormatting sqref="I40:I67">
    <cfRule type="dataBar" priority="11">
      <dataBar>
        <cfvo type="num" val="0"/>
        <cfvo type="num" val="1"/>
        <color rgb="0010B981"/>
      </dataBar>
    </cfRule>
  </conditionalFormatting>
  <conditionalFormatting sqref="P40:P67">
    <cfRule type="expression" priority="12" dxfId="16">
      <formula>$P40="Overdue"</formula>
    </cfRule>
    <cfRule type="expression" priority="13" dxfId="16">
      <formula>$P40="Blocked"</formula>
    </cfRule>
    <cfRule type="expression" priority="14" dxfId="19">
      <formula>$P40="Due soon"</formula>
    </cfRule>
    <cfRule type="expression" priority="15" dxfId="4">
      <formula>$P40="Done"</formula>
    </cfRule>
    <cfRule type="expression" priority="16" dxfId="11">
      <formula>$P40="Dependency open"</formula>
    </cfRule>
    <cfRule type="expression" priority="17" dxfId="11">
      <formula>$P40="External req."</formula>
    </cfRule>
    <cfRule type="expression" priority="18" dxfId="5">
      <formula>$P40="On track"</formula>
    </cfRule>
  </conditionalFormatting>
  <conditionalFormatting sqref="O40:O67">
    <cfRule type="expression" priority="19" dxfId="4">
      <formula>$O40="Pass"</formula>
    </cfRule>
    <cfRule type="expression" priority="20" dxfId="6">
      <formula>$O40="Fail"</formula>
    </cfRule>
    <cfRule type="expression" priority="21" dxfId="11">
      <formula>$O40="Partial"</formula>
    </cfRule>
  </conditionalFormatting>
  <hyperlinks>
    <hyperlink xmlns:r="http://schemas.openxmlformats.org/officeDocument/2006/relationships" ref="A3" r:id="rId1"/>
    <hyperlink xmlns:r="http://schemas.openxmlformats.org/officeDocument/2006/relationships" ref="D3" r:id="rId2"/>
    <hyperlink xmlns:r="http://schemas.openxmlformats.org/officeDocument/2006/relationships" ref="F3" r:id="rId3"/>
  </hyperlinks>
  <pageMargins left="0.75" right="0.75" top="1" bottom="1" header="0.5" footer="0.5"/>
  <pageSetup orientation="landscape" fitToHeight="0" fitToWidth="1"/>
</worksheet>
</file>

<file path=xl/worksheets/sheet8.xml><?xml version="1.0" encoding="utf-8"?>
<worksheet xmlns="http://schemas.openxmlformats.org/spreadsheetml/2006/main">
  <sheetPr>
    <tabColor rgb="00334155"/>
    <outlinePr summaryBelow="1" summaryRight="1"/>
    <pageSetUpPr fitToPage="1"/>
  </sheetPr>
  <dimension ref="A1:S66"/>
  <sheetViews>
    <sheetView showGridLines="0" zoomScale="90" workbookViewId="0">
      <pane ySplit="3" topLeftCell="A4" activePane="bottomLeft" state="frozen"/>
      <selection pane="bottomLeft" activeCell="A1" sqref="A1"/>
    </sheetView>
  </sheetViews>
  <sheetFormatPr baseColWidth="8" defaultRowHeight="15"/>
  <cols>
    <col width="5" customWidth="1" min="1" max="1"/>
    <col width="9" customWidth="1" min="2" max="2"/>
    <col width="15" customWidth="1" min="3" max="3"/>
    <col width="32" customWidth="1" min="4" max="4"/>
    <col width="8" customWidth="1" min="5" max="5"/>
    <col width="12" customWidth="1" min="6" max="6"/>
    <col width="10" customWidth="1" min="7" max="7"/>
    <col width="10" customWidth="1" min="8" max="8"/>
    <col width="10" customWidth="1" min="9" max="9"/>
    <col width="16" customWidth="1" min="10" max="10"/>
    <col width="12" customWidth="1" min="11" max="11"/>
    <col width="30" customWidth="1" min="12" max="12"/>
    <col width="38" customWidth="1" min="13" max="13"/>
    <col width="38" customWidth="1" min="14" max="14"/>
    <col width="10" customWidth="1" min="15" max="15"/>
    <col width="13" customWidth="1" min="16" max="16"/>
    <col width="12" customWidth="1" min="17" max="17"/>
    <col width="12" customWidth="1" min="18" max="18"/>
    <col hidden="1" width="4" customWidth="1" min="19" max="19"/>
  </cols>
  <sheetData>
    <row r="1" ht="34" customHeight="1">
      <c r="A1" s="1" t="inlineStr">
        <is>
          <t xml:space="preserve">  PHASE 6 — DATABASE CLEANUP, CRAWL AUDIT &amp; CUTOVER</t>
        </is>
      </c>
      <c r="B1" s="2" t="n"/>
      <c r="C1" s="2" t="n"/>
      <c r="D1" s="2" t="n"/>
      <c r="E1" s="2" t="n"/>
      <c r="F1" s="2" t="n"/>
      <c r="G1" s="2" t="n"/>
      <c r="H1" s="2" t="n"/>
      <c r="I1" s="2" t="n"/>
      <c r="J1" s="2" t="n"/>
      <c r="K1" s="2" t="n"/>
      <c r="L1" s="2" t="n"/>
      <c r="M1" s="2" t="n"/>
      <c r="N1" s="2" t="n"/>
      <c r="O1" s="2" t="n"/>
      <c r="P1" s="2" t="n"/>
      <c r="Q1" s="2" t="n"/>
      <c r="R1" s="2" t="n"/>
    </row>
    <row r="2" ht="20" customHeight="1">
      <c r="A2" s="3" t="inlineStr">
        <is>
          <t xml:space="preserve">  Window 26 Oct – 31 Oct 2026   ·   Status is read live from the Master Tracker (edit there)</t>
        </is>
      </c>
      <c r="B2" s="4" t="n"/>
      <c r="C2" s="4" t="n"/>
      <c r="D2" s="4" t="n"/>
      <c r="E2" s="4" t="n"/>
      <c r="F2" s="4" t="n"/>
      <c r="G2" s="4" t="n"/>
      <c r="H2" s="4" t="n"/>
      <c r="I2" s="4" t="n"/>
      <c r="J2" s="4" t="n"/>
      <c r="K2" s="4" t="n"/>
      <c r="L2" s="4" t="n"/>
      <c r="M2" s="4" t="n"/>
      <c r="N2" s="4" t="n"/>
      <c r="O2" s="4" t="n"/>
      <c r="P2" s="4" t="n"/>
      <c r="Q2" s="4" t="n"/>
      <c r="R2" s="4" t="n"/>
    </row>
    <row r="3">
      <c r="A3" s="87" t="inlineStr">
        <is>
          <t>← Dashboard</t>
        </is>
      </c>
      <c r="D3" s="87" t="inlineStr">
        <is>
          <t>Open Master Tracker →</t>
        </is>
      </c>
      <c r="F3" s="7" t="inlineStr">
        <is>
          <t>Staging ↗</t>
        </is>
      </c>
    </row>
    <row r="5">
      <c r="A5" s="100" t="inlineStr">
        <is>
          <t>COMPLETION</t>
        </is>
      </c>
      <c r="B5" s="101" t="n"/>
      <c r="C5" s="101" t="n"/>
      <c r="D5" s="100" t="inlineStr">
        <is>
          <t>PLANNED</t>
        </is>
      </c>
      <c r="E5" s="100" t="inlineStr">
        <is>
          <t>TASKS</t>
        </is>
      </c>
      <c r="F5" s="101" t="n"/>
      <c r="G5" s="100" t="inlineStr">
        <is>
          <t>DONE</t>
        </is>
      </c>
      <c r="H5" s="100" t="inlineStr">
        <is>
          <t>IN PROGRESS</t>
        </is>
      </c>
      <c r="I5" s="101" t="n"/>
      <c r="J5" s="100" t="inlineStr">
        <is>
          <t>BLOCKED</t>
        </is>
      </c>
      <c r="K5" s="101" t="n"/>
      <c r="L5" s="100" t="inlineStr">
        <is>
          <t>OVERDUE</t>
        </is>
      </c>
      <c r="M5" s="100" t="inlineStr">
        <is>
          <t>IN REVIEW / TEST</t>
        </is>
      </c>
      <c r="N5" s="100" t="inlineStr">
        <is>
          <t>OPEN P0</t>
        </is>
      </c>
      <c r="O5" s="100" t="inlineStr">
        <is>
          <t>DEADLINE</t>
        </is>
      </c>
      <c r="P5" s="102" t="inlineStr">
        <is>
          <t>PHASE STATUS</t>
        </is>
      </c>
    </row>
    <row r="6" ht="32" customHeight="1">
      <c r="A6" s="103">
        <f>IFERROR(SUMPRODUCT(('Master Tracker'!$B$6:$B$400="Phase 6")*'Master Tracker'!$U$6:$U$400)/COUNTIFS('Master Tracker'!$B$6:$B$400,"Phase 6",'Master Tracker'!$A$6:$A$400,"?*"),0)</f>
        <v/>
      </c>
      <c r="B6" s="104" t="n"/>
      <c r="C6" s="104" t="n"/>
      <c r="D6" s="103">
        <f>IFERROR(SUMPRODUCT(('Master Tracker'!$B$6:$B$400="Phase 6")*'Master Tracker'!$V$6:$V$400)/COUNTIFS('Master Tracker'!$B$6:$B$400,"Phase 6",'Master Tracker'!$A$6:$A$400,"?*"),0)</f>
        <v/>
      </c>
      <c r="E6" s="105">
        <f>COUNTIFS('Master Tracker'!$B$6:$B$400,"Phase 6",'Master Tracker'!$A$6:$A$400,"?*")</f>
        <v/>
      </c>
      <c r="F6" s="104" t="n"/>
      <c r="G6" s="105">
        <f>COUNTIFS('Master Tracker'!$B$6:$B$400,"Phase 6",'Master Tracker'!$G$6:$G$400,"Completed")</f>
        <v/>
      </c>
      <c r="H6" s="105">
        <f>COUNTIFS('Master Tracker'!$B$6:$B$400,"Phase 6",'Master Tracker'!$G$6:$G$400,"In Progress")</f>
        <v/>
      </c>
      <c r="I6" s="104" t="n"/>
      <c r="J6" s="105">
        <f>COUNTIFS('Master Tracker'!$B$6:$B$400,"Phase 6",'Master Tracker'!$G$6:$G$400,"Blocked")</f>
        <v/>
      </c>
      <c r="K6" s="104" t="n"/>
      <c r="L6" s="105">
        <f>COUNTIFS('Master Tracker'!$B$6:$B$400,"Phase 6",'Master Tracker'!$X$6:$X$400,"OVERDUE")</f>
        <v/>
      </c>
      <c r="M6" s="105">
        <f>COUNTIFS('Master Tracker'!$B$6:$B$400,"Phase 6",'Master Tracker'!$G$6:$G$400,"In Review")+COUNTIFS('Master Tracker'!$B$6:$B$400,"Phase 6",'Master Tracker'!$G$6:$G$400,"Testing")</f>
        <v/>
      </c>
      <c r="N6" s="105">
        <f>COUNTIFS('Master Tracker'!$B$6:$B$400,"Phase 6",'Master Tracker'!$F$6:$F$400,"P0",'Master Tracker'!$G$6:$G$400,"&lt;&gt;Completed",'Master Tracker'!$A$6:$A$400,"?*")</f>
        <v/>
      </c>
      <c r="O6" s="106">
        <f>_xlfn.MAXIFS('Master Tracker'!$I$6:$I$400,'Master Tracker'!$B$6:$B$400,"Phase 6")</f>
        <v/>
      </c>
      <c r="P6" s="107">
        <f>IF(E6=0,"—",IF(G6=E6,"Complete",IF(J6&gt;0,"Blocked",IF(L6&gt;0,"Behind",IF(A6+0.1&lt;D6,"Behind",IF(A6&gt;0,"On Track","Not Started"))))))</f>
        <v/>
      </c>
    </row>
    <row r="7" ht="22" customHeight="1">
      <c r="A7" s="108">
        <f>"Progress  "&amp;REPT("█",ROUND(A6*50,0))&amp;REPT("░",50-ROUND(A6*50,0))&amp;"  "&amp;TEXT(A6,"0%")&amp;"  (planned "&amp;TEXT(D6,"0%")&amp;")"</f>
        <v/>
      </c>
    </row>
    <row r="9" ht="22" customHeight="1">
      <c r="A9" s="9" t="inlineStr">
        <is>
          <t xml:space="preserve">  PHASE GOAL</t>
        </is>
      </c>
      <c r="B9" s="10" t="n"/>
      <c r="C9" s="10" t="n"/>
      <c r="D9" s="10" t="n"/>
      <c r="E9" s="10" t="n"/>
      <c r="F9" s="10" t="n"/>
      <c r="G9" s="10" t="n"/>
      <c r="H9" s="10" t="n"/>
      <c r="I9" s="10" t="n"/>
      <c r="J9" s="10" t="n"/>
      <c r="K9" s="10" t="n"/>
      <c r="L9" s="10" t="n"/>
      <c r="M9" s="10" t="n"/>
      <c r="N9" s="10" t="n"/>
      <c r="O9" s="10" t="n"/>
      <c r="P9" s="10" t="n"/>
      <c r="Q9" s="10" t="n"/>
      <c r="R9" s="10" t="n"/>
    </row>
    <row r="10" ht="46" customHeight="1">
      <c r="A10" s="109" t="inlineStr">
        <is>
          <t>Protect data and search equity: back up and audit the database, remove legacy JNews dependencies safely, prove all 2,645 article URLs and SEO metadata survive, optimize performance with LiteSpeed, complete security and cross-browser testing, and execute a rehearsed, reversible production cutover on 1 November.</t>
        </is>
      </c>
    </row>
    <row r="12" ht="22" customHeight="1">
      <c r="A12" s="9" t="inlineStr">
        <is>
          <t xml:space="preserve">  DELIVERABLES</t>
        </is>
      </c>
      <c r="B12" s="10" t="n"/>
      <c r="C12" s="10" t="n"/>
      <c r="D12" s="10" t="n"/>
      <c r="E12" s="10" t="n"/>
      <c r="F12" s="10" t="n"/>
      <c r="G12" s="10" t="n"/>
      <c r="H12" s="10" t="n"/>
      <c r="J12" s="9" t="inlineStr">
        <is>
          <t xml:space="preserve">  REQUIRED WORDPRESS FILES</t>
        </is>
      </c>
      <c r="K12" s="10" t="n"/>
      <c r="L12" s="10" t="n"/>
      <c r="M12" s="10" t="n"/>
      <c r="N12" s="10" t="n"/>
      <c r="O12" s="10" t="n"/>
      <c r="P12" s="10" t="n"/>
      <c r="Q12" s="10" t="n"/>
      <c r="R12" s="10" t="n"/>
    </row>
    <row r="13">
      <c r="A13" s="110" t="inlineStr">
        <is>
          <t>▸ Verified full backups (files + DB) before work and before cutover</t>
        </is>
      </c>
      <c r="J13" s="110" t="inlineStr">
        <is>
          <t>▸ wp-config.php</t>
        </is>
      </c>
    </row>
    <row r="14">
      <c r="A14" s="111" t="inlineStr">
        <is>
          <t>▸ Database audit and JNews dependency report</t>
        </is>
      </c>
      <c r="J14" s="111" t="inlineStr">
        <is>
          <t>▸ .htaccess</t>
        </is>
      </c>
    </row>
    <row r="15">
      <c r="A15" s="110" t="inlineStr">
        <is>
          <t>▸ Safe database optimization (staging first)</t>
        </is>
      </c>
      <c r="J15" s="110" t="inlineStr">
        <is>
          <t>▸ LiteSpeed Cache settings export</t>
        </is>
      </c>
    </row>
    <row r="16">
      <c r="A16" s="111" t="inlineStr">
        <is>
          <t>▸ URL inventory + validation of 2,645 article URLs</t>
        </is>
      </c>
      <c r="J16" s="111" t="inlineStr">
        <is>
          <t>▸ inc/redirects.php (or Redirection plugin export)</t>
        </is>
      </c>
    </row>
    <row r="17">
      <c r="A17" s="110" t="inlineStr">
        <is>
          <t>▸ SEO baseline vs. staging comparison + redirect map</t>
        </is>
      </c>
      <c r="J17" s="110" t="inlineStr">
        <is>
          <t>▸ url-inventory.csv</t>
        </is>
      </c>
    </row>
    <row r="18">
      <c r="A18" s="111" t="inlineStr">
        <is>
          <t>▸ Performance optimization + LiteSpeed configuration</t>
        </is>
      </c>
      <c r="J18" s="111" t="inlineStr">
        <is>
          <t>▸ seo-baseline.csv</t>
        </is>
      </c>
    </row>
    <row r="19">
      <c r="A19" s="110" t="inlineStr">
        <is>
          <t>▸ Responsive, cross-browser and security verification</t>
        </is>
      </c>
      <c r="J19" s="110" t="inlineStr">
        <is>
          <t>▸ backups/ (off-server)</t>
        </is>
      </c>
    </row>
    <row r="20">
      <c r="A20" s="111" t="inlineStr">
        <is>
          <t>▸ Deployment readiness sign-off and rehearsed rollback plan</t>
        </is>
      </c>
      <c r="J20" s="111" t="inlineStr">
        <is>
          <t>▸ deployment-runbook (this workbook, sheet 11)</t>
        </is>
      </c>
    </row>
    <row r="21">
      <c r="A21" s="110" t="inlineStr">
        <is>
          <t>▸ Production cutover and post-launch verification</t>
        </is>
      </c>
      <c r="J21" s="110" t="n"/>
    </row>
    <row r="23" ht="22" customHeight="1">
      <c r="A23" s="9" t="inlineStr">
        <is>
          <t xml:space="preserve">  TECHNICAL IMPLEMENTATION STEPS</t>
        </is>
      </c>
      <c r="B23" s="10" t="n"/>
      <c r="C23" s="10" t="n"/>
      <c r="D23" s="10" t="n"/>
      <c r="E23" s="10" t="n"/>
      <c r="F23" s="10" t="n"/>
      <c r="G23" s="10" t="n"/>
      <c r="H23" s="10" t="n"/>
      <c r="I23" s="10" t="n"/>
      <c r="J23" s="10" t="n"/>
      <c r="K23" s="10" t="n"/>
      <c r="L23" s="10" t="n"/>
      <c r="M23" s="10" t="n"/>
      <c r="N23" s="10" t="n"/>
      <c r="O23" s="10" t="n"/>
      <c r="P23" s="10" t="n"/>
      <c r="Q23" s="10" t="n"/>
      <c r="R23" s="10" t="n"/>
    </row>
    <row r="24">
      <c r="A24" s="112" t="n">
        <v>1</v>
      </c>
      <c r="B24" s="111" t="inlineStr">
        <is>
          <t>Day 1: full production backup (files + DB), stored off-server, restore-tested</t>
        </is>
      </c>
    </row>
    <row r="25">
      <c r="A25" s="112" t="n">
        <v>2</v>
      </c>
      <c r="B25" s="110" t="inlineStr">
        <is>
          <t>Day 2: DB audit, JNews dependency review, URL inventory &amp; SEO baseline</t>
        </is>
      </c>
    </row>
    <row r="26">
      <c r="A26" s="112" t="n">
        <v>3</v>
      </c>
      <c r="B26" s="111" t="inlineStr">
        <is>
          <t>Optimize DB on staging only (revisions, transients, orphan meta, autoload)</t>
        </is>
      </c>
    </row>
    <row r="27">
      <c r="A27" s="112" t="n">
        <v>4</v>
      </c>
      <c r="B27" s="110" t="inlineStr">
        <is>
          <t>Crawl staging; compare status codes, titles, metas, canonicals vs baseline</t>
        </is>
      </c>
    </row>
    <row r="28">
      <c r="A28" s="112" t="n">
        <v>5</v>
      </c>
      <c r="B28" s="111" t="inlineStr">
        <is>
          <t>Build 301 map for any changed URLs</t>
        </is>
      </c>
    </row>
    <row r="29">
      <c r="A29" s="112" t="n">
        <v>6</v>
      </c>
      <c r="B29" s="110" t="inlineStr">
        <is>
          <t>Tune Core Web Vitals; configure LiteSpeed (exclude account/checkout)</t>
        </is>
      </c>
    </row>
    <row r="30">
      <c r="A30" s="112" t="n">
        <v>7</v>
      </c>
      <c r="B30" s="111" t="inlineStr">
        <is>
          <t>Run QA &amp; Testing sheet; fix defects in buffer</t>
        </is>
      </c>
    </row>
    <row r="31">
      <c r="A31" s="112" t="n">
        <v>8</v>
      </c>
      <c r="B31" s="110" t="inlineStr">
        <is>
          <t>Security verification (headers, enumeration, XML-RPC, permissions)</t>
        </is>
      </c>
    </row>
    <row r="32">
      <c r="A32" s="112" t="n">
        <v>9</v>
      </c>
      <c r="B32" s="111" t="inlineStr">
        <is>
          <t>Client UAT sign-off; rehearse rollback on staging</t>
        </is>
      </c>
    </row>
    <row r="33">
      <c r="A33" s="112" t="n">
        <v>10</v>
      </c>
      <c r="B33" s="110" t="inlineStr">
        <is>
          <t>1 Nov: fresh backup → cutover → purge caches → smoke test → monitor</t>
        </is>
      </c>
    </row>
    <row r="35" ht="22" customHeight="1">
      <c r="A35" s="9" t="inlineStr">
        <is>
          <t xml:space="preserve">  DETAILED TASK CHECKLIST   (live from Master Tracker — change Status / % there)</t>
        </is>
      </c>
      <c r="B35" s="10" t="n"/>
      <c r="C35" s="10" t="n"/>
      <c r="D35" s="10" t="n"/>
      <c r="E35" s="10" t="n"/>
      <c r="F35" s="10" t="n"/>
      <c r="G35" s="10" t="n"/>
      <c r="H35" s="10" t="n"/>
      <c r="I35" s="10" t="n"/>
      <c r="J35" s="10" t="n"/>
      <c r="K35" s="10" t="n"/>
      <c r="L35" s="10" t="n"/>
      <c r="M35" s="10" t="n"/>
      <c r="N35" s="10" t="n"/>
      <c r="O35" s="10" t="n"/>
      <c r="P35" s="10" t="n"/>
      <c r="Q35" s="10" t="n"/>
      <c r="R35" s="10" t="n"/>
    </row>
    <row r="36">
      <c r="A36" s="61" t="inlineStr">
        <is>
          <t>#</t>
        </is>
      </c>
      <c r="B36" s="61" t="inlineStr">
        <is>
          <t>Task ID</t>
        </is>
      </c>
      <c r="C36" s="61" t="inlineStr">
        <is>
          <t>Module</t>
        </is>
      </c>
      <c r="D36" s="61" t="inlineStr">
        <is>
          <t>Task</t>
        </is>
      </c>
      <c r="E36" s="61" t="inlineStr">
        <is>
          <t>Priority</t>
        </is>
      </c>
      <c r="F36" s="61" t="inlineStr">
        <is>
          <t>Status</t>
        </is>
      </c>
      <c r="G36" s="61" t="inlineStr">
        <is>
          <t>Start</t>
        </is>
      </c>
      <c r="H36" s="61" t="inlineStr">
        <is>
          <t>Due</t>
        </is>
      </c>
      <c r="I36" s="61" t="inlineStr">
        <is>
          <t>Complete</t>
        </is>
      </c>
      <c r="J36" s="61" t="inlineStr">
        <is>
          <t>Dependencies</t>
        </is>
      </c>
      <c r="K36" s="61" t="inlineStr">
        <is>
          <t>Dep. check</t>
        </is>
      </c>
      <c r="L36" s="61" t="inlineStr">
        <is>
          <t>WordPress files</t>
        </is>
      </c>
      <c r="M36" s="61" t="inlineStr">
        <is>
          <t>Acceptance criteria</t>
        </is>
      </c>
      <c r="N36" s="61" t="inlineStr">
        <is>
          <t>Testing checklist</t>
        </is>
      </c>
      <c r="O36" s="61" t="inlineStr">
        <is>
          <t>Test result</t>
        </is>
      </c>
      <c r="P36" s="61" t="inlineStr">
        <is>
          <t>Alert</t>
        </is>
      </c>
    </row>
    <row r="37" ht="48" customHeight="1">
      <c r="A37" s="53" t="n">
        <v>1</v>
      </c>
      <c r="B37" s="113">
        <f>IF($S37="","",IF(INDEX('Master Tracker'!$A$6:$A$400,$S37)="","",INDEX('Master Tracker'!$A$6:$A$400,$S37)))</f>
        <v/>
      </c>
      <c r="C37" s="114">
        <f>IF($S37="","",IF(INDEX('Master Tracker'!$C$6:$C$400,$S37)="","",INDEX('Master Tracker'!$C$6:$C$400,$S37)))</f>
        <v/>
      </c>
      <c r="D37" s="114">
        <f>IF($S37="","",IF(INDEX('Master Tracker'!$D$6:$D$400,$S37)="","",INDEX('Master Tracker'!$D$6:$D$400,$S37)))</f>
        <v/>
      </c>
      <c r="E37" s="53">
        <f>IF($S37="","",IF(INDEX('Master Tracker'!$F$6:$F$400,$S37)="","",INDEX('Master Tracker'!$F$6:$F$400,$S37)))</f>
        <v/>
      </c>
      <c r="F37" s="53">
        <f>IF($S37="","",IF(INDEX('Master Tracker'!$G$6:$G$400,$S37)="","",INDEX('Master Tracker'!$G$6:$G$400,$S37)))</f>
        <v/>
      </c>
      <c r="G37" s="70">
        <f>IF($S37="","",IF(INDEX('Master Tracker'!$H$6:$H$400,$S37)="","",INDEX('Master Tracker'!$H$6:$H$400,$S37)))</f>
        <v/>
      </c>
      <c r="H37" s="70">
        <f>IF($S37="","",IF(INDEX('Master Tracker'!$I$6:$I$400,$S37)="","",INDEX('Master Tracker'!$I$6:$I$400,$S37)))</f>
        <v/>
      </c>
      <c r="I37" s="115">
        <f>IF($S37="","",IF(INDEX('Master Tracker'!$U$6:$U$400,$S37)="","",INDEX('Master Tracker'!$U$6:$U$400,$S37)))</f>
        <v/>
      </c>
      <c r="J37" s="114">
        <f>IF($S37="","",IF(INDEX('Master Tracker'!$K$6:$K$400,$S37)="","",INDEX('Master Tracker'!$K$6:$K$400,$S37)))</f>
        <v/>
      </c>
      <c r="K37" s="114">
        <f>IF($S37="","",IF(INDEX('Master Tracker'!$Y$6:$Y$400,$S37)="","",INDEX('Master Tracker'!$Y$6:$Y$400,$S37)))</f>
        <v/>
      </c>
      <c r="L37" s="114">
        <f>IF($S37="","",IF(INDEX('Master Tracker'!$M$6:$M$400,$S37)="","",INDEX('Master Tracker'!$M$6:$M$400,$S37)))</f>
        <v/>
      </c>
      <c r="M37" s="114">
        <f>IF($S37="","",IF(INDEX('Master Tracker'!$O$6:$O$400,$S37)="","",INDEX('Master Tracker'!$O$6:$O$400,$S37)))</f>
        <v/>
      </c>
      <c r="N37" s="114">
        <f>IF($S37="","",IF(INDEX('Master Tracker'!$N$6:$N$400,$S37)="","",INDEX('Master Tracker'!$N$6:$N$400,$S37)))</f>
        <v/>
      </c>
      <c r="O37" s="53">
        <f>IF($S37="","",IF(INDEX('Master Tracker'!$T$6:$T$400,$S37)="","",INDEX('Master Tracker'!$T$6:$T$400,$S37)))</f>
        <v/>
      </c>
      <c r="P37" s="53">
        <f>IF($S37="","",IF(INDEX('Master Tracker'!$AC$6:$AC$400,$S37)="","",INDEX('Master Tracker'!$AC$6:$AC$400,$S37)))</f>
        <v/>
      </c>
      <c r="S37">
        <f>IFERROR(MATCH("Phase 6|"&amp;A37,'Master Tracker'!$Z$6:$Z$400,0),"")</f>
        <v/>
      </c>
    </row>
    <row r="38" ht="48" customHeight="1">
      <c r="A38" s="53" t="n">
        <v>2</v>
      </c>
      <c r="B38" s="113">
        <f>IF($S38="","",IF(INDEX('Master Tracker'!$A$6:$A$400,$S38)="","",INDEX('Master Tracker'!$A$6:$A$400,$S38)))</f>
        <v/>
      </c>
      <c r="C38" s="114">
        <f>IF($S38="","",IF(INDEX('Master Tracker'!$C$6:$C$400,$S38)="","",INDEX('Master Tracker'!$C$6:$C$400,$S38)))</f>
        <v/>
      </c>
      <c r="D38" s="114">
        <f>IF($S38="","",IF(INDEX('Master Tracker'!$D$6:$D$400,$S38)="","",INDEX('Master Tracker'!$D$6:$D$400,$S38)))</f>
        <v/>
      </c>
      <c r="E38" s="53">
        <f>IF($S38="","",IF(INDEX('Master Tracker'!$F$6:$F$400,$S38)="","",INDEX('Master Tracker'!$F$6:$F$400,$S38)))</f>
        <v/>
      </c>
      <c r="F38" s="53">
        <f>IF($S38="","",IF(INDEX('Master Tracker'!$G$6:$G$400,$S38)="","",INDEX('Master Tracker'!$G$6:$G$400,$S38)))</f>
        <v/>
      </c>
      <c r="G38" s="70">
        <f>IF($S38="","",IF(INDEX('Master Tracker'!$H$6:$H$400,$S38)="","",INDEX('Master Tracker'!$H$6:$H$400,$S38)))</f>
        <v/>
      </c>
      <c r="H38" s="70">
        <f>IF($S38="","",IF(INDEX('Master Tracker'!$I$6:$I$400,$S38)="","",INDEX('Master Tracker'!$I$6:$I$400,$S38)))</f>
        <v/>
      </c>
      <c r="I38" s="115">
        <f>IF($S38="","",IF(INDEX('Master Tracker'!$U$6:$U$400,$S38)="","",INDEX('Master Tracker'!$U$6:$U$400,$S38)))</f>
        <v/>
      </c>
      <c r="J38" s="114">
        <f>IF($S38="","",IF(INDEX('Master Tracker'!$K$6:$K$400,$S38)="","",INDEX('Master Tracker'!$K$6:$K$400,$S38)))</f>
        <v/>
      </c>
      <c r="K38" s="114">
        <f>IF($S38="","",IF(INDEX('Master Tracker'!$Y$6:$Y$400,$S38)="","",INDEX('Master Tracker'!$Y$6:$Y$400,$S38)))</f>
        <v/>
      </c>
      <c r="L38" s="114">
        <f>IF($S38="","",IF(INDEX('Master Tracker'!$M$6:$M$400,$S38)="","",INDEX('Master Tracker'!$M$6:$M$400,$S38)))</f>
        <v/>
      </c>
      <c r="M38" s="114">
        <f>IF($S38="","",IF(INDEX('Master Tracker'!$O$6:$O$400,$S38)="","",INDEX('Master Tracker'!$O$6:$O$400,$S38)))</f>
        <v/>
      </c>
      <c r="N38" s="114">
        <f>IF($S38="","",IF(INDEX('Master Tracker'!$N$6:$N$400,$S38)="","",INDEX('Master Tracker'!$N$6:$N$400,$S38)))</f>
        <v/>
      </c>
      <c r="O38" s="53">
        <f>IF($S38="","",IF(INDEX('Master Tracker'!$T$6:$T$400,$S38)="","",INDEX('Master Tracker'!$T$6:$T$400,$S38)))</f>
        <v/>
      </c>
      <c r="P38" s="53">
        <f>IF($S38="","",IF(INDEX('Master Tracker'!$AC$6:$AC$400,$S38)="","",INDEX('Master Tracker'!$AC$6:$AC$400,$S38)))</f>
        <v/>
      </c>
      <c r="S38">
        <f>IFERROR(MATCH("Phase 6|"&amp;A38,'Master Tracker'!$Z$6:$Z$400,0),"")</f>
        <v/>
      </c>
    </row>
    <row r="39" ht="48" customHeight="1">
      <c r="A39" s="53" t="n">
        <v>3</v>
      </c>
      <c r="B39" s="113">
        <f>IF($S39="","",IF(INDEX('Master Tracker'!$A$6:$A$400,$S39)="","",INDEX('Master Tracker'!$A$6:$A$400,$S39)))</f>
        <v/>
      </c>
      <c r="C39" s="114">
        <f>IF($S39="","",IF(INDEX('Master Tracker'!$C$6:$C$400,$S39)="","",INDEX('Master Tracker'!$C$6:$C$400,$S39)))</f>
        <v/>
      </c>
      <c r="D39" s="114">
        <f>IF($S39="","",IF(INDEX('Master Tracker'!$D$6:$D$400,$S39)="","",INDEX('Master Tracker'!$D$6:$D$400,$S39)))</f>
        <v/>
      </c>
      <c r="E39" s="53">
        <f>IF($S39="","",IF(INDEX('Master Tracker'!$F$6:$F$400,$S39)="","",INDEX('Master Tracker'!$F$6:$F$400,$S39)))</f>
        <v/>
      </c>
      <c r="F39" s="53">
        <f>IF($S39="","",IF(INDEX('Master Tracker'!$G$6:$G$400,$S39)="","",INDEX('Master Tracker'!$G$6:$G$400,$S39)))</f>
        <v/>
      </c>
      <c r="G39" s="70">
        <f>IF($S39="","",IF(INDEX('Master Tracker'!$H$6:$H$400,$S39)="","",INDEX('Master Tracker'!$H$6:$H$400,$S39)))</f>
        <v/>
      </c>
      <c r="H39" s="70">
        <f>IF($S39="","",IF(INDEX('Master Tracker'!$I$6:$I$400,$S39)="","",INDEX('Master Tracker'!$I$6:$I$400,$S39)))</f>
        <v/>
      </c>
      <c r="I39" s="115">
        <f>IF($S39="","",IF(INDEX('Master Tracker'!$U$6:$U$400,$S39)="","",INDEX('Master Tracker'!$U$6:$U$400,$S39)))</f>
        <v/>
      </c>
      <c r="J39" s="114">
        <f>IF($S39="","",IF(INDEX('Master Tracker'!$K$6:$K$400,$S39)="","",INDEX('Master Tracker'!$K$6:$K$400,$S39)))</f>
        <v/>
      </c>
      <c r="K39" s="114">
        <f>IF($S39="","",IF(INDEX('Master Tracker'!$Y$6:$Y$400,$S39)="","",INDEX('Master Tracker'!$Y$6:$Y$400,$S39)))</f>
        <v/>
      </c>
      <c r="L39" s="114">
        <f>IF($S39="","",IF(INDEX('Master Tracker'!$M$6:$M$400,$S39)="","",INDEX('Master Tracker'!$M$6:$M$400,$S39)))</f>
        <v/>
      </c>
      <c r="M39" s="114">
        <f>IF($S39="","",IF(INDEX('Master Tracker'!$O$6:$O$400,$S39)="","",INDEX('Master Tracker'!$O$6:$O$400,$S39)))</f>
        <v/>
      </c>
      <c r="N39" s="114">
        <f>IF($S39="","",IF(INDEX('Master Tracker'!$N$6:$N$400,$S39)="","",INDEX('Master Tracker'!$N$6:$N$400,$S39)))</f>
        <v/>
      </c>
      <c r="O39" s="53">
        <f>IF($S39="","",IF(INDEX('Master Tracker'!$T$6:$T$400,$S39)="","",INDEX('Master Tracker'!$T$6:$T$400,$S39)))</f>
        <v/>
      </c>
      <c r="P39" s="53">
        <f>IF($S39="","",IF(INDEX('Master Tracker'!$AC$6:$AC$400,$S39)="","",INDEX('Master Tracker'!$AC$6:$AC$400,$S39)))</f>
        <v/>
      </c>
      <c r="S39">
        <f>IFERROR(MATCH("Phase 6|"&amp;A39,'Master Tracker'!$Z$6:$Z$400,0),"")</f>
        <v/>
      </c>
    </row>
    <row r="40" ht="48" customHeight="1">
      <c r="A40" s="53" t="n">
        <v>4</v>
      </c>
      <c r="B40" s="113">
        <f>IF($S40="","",IF(INDEX('Master Tracker'!$A$6:$A$400,$S40)="","",INDEX('Master Tracker'!$A$6:$A$400,$S40)))</f>
        <v/>
      </c>
      <c r="C40" s="114">
        <f>IF($S40="","",IF(INDEX('Master Tracker'!$C$6:$C$400,$S40)="","",INDEX('Master Tracker'!$C$6:$C$400,$S40)))</f>
        <v/>
      </c>
      <c r="D40" s="114">
        <f>IF($S40="","",IF(INDEX('Master Tracker'!$D$6:$D$400,$S40)="","",INDEX('Master Tracker'!$D$6:$D$400,$S40)))</f>
        <v/>
      </c>
      <c r="E40" s="53">
        <f>IF($S40="","",IF(INDEX('Master Tracker'!$F$6:$F$400,$S40)="","",INDEX('Master Tracker'!$F$6:$F$400,$S40)))</f>
        <v/>
      </c>
      <c r="F40" s="53">
        <f>IF($S40="","",IF(INDEX('Master Tracker'!$G$6:$G$400,$S40)="","",INDEX('Master Tracker'!$G$6:$G$400,$S40)))</f>
        <v/>
      </c>
      <c r="G40" s="70">
        <f>IF($S40="","",IF(INDEX('Master Tracker'!$H$6:$H$400,$S40)="","",INDEX('Master Tracker'!$H$6:$H$400,$S40)))</f>
        <v/>
      </c>
      <c r="H40" s="70">
        <f>IF($S40="","",IF(INDEX('Master Tracker'!$I$6:$I$400,$S40)="","",INDEX('Master Tracker'!$I$6:$I$400,$S40)))</f>
        <v/>
      </c>
      <c r="I40" s="115">
        <f>IF($S40="","",IF(INDEX('Master Tracker'!$U$6:$U$400,$S40)="","",INDEX('Master Tracker'!$U$6:$U$400,$S40)))</f>
        <v/>
      </c>
      <c r="J40" s="114">
        <f>IF($S40="","",IF(INDEX('Master Tracker'!$K$6:$K$400,$S40)="","",INDEX('Master Tracker'!$K$6:$K$400,$S40)))</f>
        <v/>
      </c>
      <c r="K40" s="114">
        <f>IF($S40="","",IF(INDEX('Master Tracker'!$Y$6:$Y$400,$S40)="","",INDEX('Master Tracker'!$Y$6:$Y$400,$S40)))</f>
        <v/>
      </c>
      <c r="L40" s="114">
        <f>IF($S40="","",IF(INDEX('Master Tracker'!$M$6:$M$400,$S40)="","",INDEX('Master Tracker'!$M$6:$M$400,$S40)))</f>
        <v/>
      </c>
      <c r="M40" s="114">
        <f>IF($S40="","",IF(INDEX('Master Tracker'!$O$6:$O$400,$S40)="","",INDEX('Master Tracker'!$O$6:$O$400,$S40)))</f>
        <v/>
      </c>
      <c r="N40" s="114">
        <f>IF($S40="","",IF(INDEX('Master Tracker'!$N$6:$N$400,$S40)="","",INDEX('Master Tracker'!$N$6:$N$400,$S40)))</f>
        <v/>
      </c>
      <c r="O40" s="53">
        <f>IF($S40="","",IF(INDEX('Master Tracker'!$T$6:$T$400,$S40)="","",INDEX('Master Tracker'!$T$6:$T$400,$S40)))</f>
        <v/>
      </c>
      <c r="P40" s="53">
        <f>IF($S40="","",IF(INDEX('Master Tracker'!$AC$6:$AC$400,$S40)="","",INDEX('Master Tracker'!$AC$6:$AC$400,$S40)))</f>
        <v/>
      </c>
      <c r="S40">
        <f>IFERROR(MATCH("Phase 6|"&amp;A40,'Master Tracker'!$Z$6:$Z$400,0),"")</f>
        <v/>
      </c>
    </row>
    <row r="41" ht="48" customHeight="1">
      <c r="A41" s="53" t="n">
        <v>5</v>
      </c>
      <c r="B41" s="113">
        <f>IF($S41="","",IF(INDEX('Master Tracker'!$A$6:$A$400,$S41)="","",INDEX('Master Tracker'!$A$6:$A$400,$S41)))</f>
        <v/>
      </c>
      <c r="C41" s="114">
        <f>IF($S41="","",IF(INDEX('Master Tracker'!$C$6:$C$400,$S41)="","",INDEX('Master Tracker'!$C$6:$C$400,$S41)))</f>
        <v/>
      </c>
      <c r="D41" s="114">
        <f>IF($S41="","",IF(INDEX('Master Tracker'!$D$6:$D$400,$S41)="","",INDEX('Master Tracker'!$D$6:$D$400,$S41)))</f>
        <v/>
      </c>
      <c r="E41" s="53">
        <f>IF($S41="","",IF(INDEX('Master Tracker'!$F$6:$F$400,$S41)="","",INDEX('Master Tracker'!$F$6:$F$400,$S41)))</f>
        <v/>
      </c>
      <c r="F41" s="53">
        <f>IF($S41="","",IF(INDEX('Master Tracker'!$G$6:$G$400,$S41)="","",INDEX('Master Tracker'!$G$6:$G$400,$S41)))</f>
        <v/>
      </c>
      <c r="G41" s="70">
        <f>IF($S41="","",IF(INDEX('Master Tracker'!$H$6:$H$400,$S41)="","",INDEX('Master Tracker'!$H$6:$H$400,$S41)))</f>
        <v/>
      </c>
      <c r="H41" s="70">
        <f>IF($S41="","",IF(INDEX('Master Tracker'!$I$6:$I$400,$S41)="","",INDEX('Master Tracker'!$I$6:$I$400,$S41)))</f>
        <v/>
      </c>
      <c r="I41" s="115">
        <f>IF($S41="","",IF(INDEX('Master Tracker'!$U$6:$U$400,$S41)="","",INDEX('Master Tracker'!$U$6:$U$400,$S41)))</f>
        <v/>
      </c>
      <c r="J41" s="114">
        <f>IF($S41="","",IF(INDEX('Master Tracker'!$K$6:$K$400,$S41)="","",INDEX('Master Tracker'!$K$6:$K$400,$S41)))</f>
        <v/>
      </c>
      <c r="K41" s="114">
        <f>IF($S41="","",IF(INDEX('Master Tracker'!$Y$6:$Y$400,$S41)="","",INDEX('Master Tracker'!$Y$6:$Y$400,$S41)))</f>
        <v/>
      </c>
      <c r="L41" s="114">
        <f>IF($S41="","",IF(INDEX('Master Tracker'!$M$6:$M$400,$S41)="","",INDEX('Master Tracker'!$M$6:$M$400,$S41)))</f>
        <v/>
      </c>
      <c r="M41" s="114">
        <f>IF($S41="","",IF(INDEX('Master Tracker'!$O$6:$O$400,$S41)="","",INDEX('Master Tracker'!$O$6:$O$400,$S41)))</f>
        <v/>
      </c>
      <c r="N41" s="114">
        <f>IF($S41="","",IF(INDEX('Master Tracker'!$N$6:$N$400,$S41)="","",INDEX('Master Tracker'!$N$6:$N$400,$S41)))</f>
        <v/>
      </c>
      <c r="O41" s="53">
        <f>IF($S41="","",IF(INDEX('Master Tracker'!$T$6:$T$400,$S41)="","",INDEX('Master Tracker'!$T$6:$T$400,$S41)))</f>
        <v/>
      </c>
      <c r="P41" s="53">
        <f>IF($S41="","",IF(INDEX('Master Tracker'!$AC$6:$AC$400,$S41)="","",INDEX('Master Tracker'!$AC$6:$AC$400,$S41)))</f>
        <v/>
      </c>
      <c r="S41">
        <f>IFERROR(MATCH("Phase 6|"&amp;A41,'Master Tracker'!$Z$6:$Z$400,0),"")</f>
        <v/>
      </c>
    </row>
    <row r="42" ht="48" customHeight="1">
      <c r="A42" s="53" t="n">
        <v>6</v>
      </c>
      <c r="B42" s="113">
        <f>IF($S42="","",IF(INDEX('Master Tracker'!$A$6:$A$400,$S42)="","",INDEX('Master Tracker'!$A$6:$A$400,$S42)))</f>
        <v/>
      </c>
      <c r="C42" s="114">
        <f>IF($S42="","",IF(INDEX('Master Tracker'!$C$6:$C$400,$S42)="","",INDEX('Master Tracker'!$C$6:$C$400,$S42)))</f>
        <v/>
      </c>
      <c r="D42" s="114">
        <f>IF($S42="","",IF(INDEX('Master Tracker'!$D$6:$D$400,$S42)="","",INDEX('Master Tracker'!$D$6:$D$400,$S42)))</f>
        <v/>
      </c>
      <c r="E42" s="53">
        <f>IF($S42="","",IF(INDEX('Master Tracker'!$F$6:$F$400,$S42)="","",INDEX('Master Tracker'!$F$6:$F$400,$S42)))</f>
        <v/>
      </c>
      <c r="F42" s="53">
        <f>IF($S42="","",IF(INDEX('Master Tracker'!$G$6:$G$400,$S42)="","",INDEX('Master Tracker'!$G$6:$G$400,$S42)))</f>
        <v/>
      </c>
      <c r="G42" s="70">
        <f>IF($S42="","",IF(INDEX('Master Tracker'!$H$6:$H$400,$S42)="","",INDEX('Master Tracker'!$H$6:$H$400,$S42)))</f>
        <v/>
      </c>
      <c r="H42" s="70">
        <f>IF($S42="","",IF(INDEX('Master Tracker'!$I$6:$I$400,$S42)="","",INDEX('Master Tracker'!$I$6:$I$400,$S42)))</f>
        <v/>
      </c>
      <c r="I42" s="115">
        <f>IF($S42="","",IF(INDEX('Master Tracker'!$U$6:$U$400,$S42)="","",INDEX('Master Tracker'!$U$6:$U$400,$S42)))</f>
        <v/>
      </c>
      <c r="J42" s="114">
        <f>IF($S42="","",IF(INDEX('Master Tracker'!$K$6:$K$400,$S42)="","",INDEX('Master Tracker'!$K$6:$K$400,$S42)))</f>
        <v/>
      </c>
      <c r="K42" s="114">
        <f>IF($S42="","",IF(INDEX('Master Tracker'!$Y$6:$Y$400,$S42)="","",INDEX('Master Tracker'!$Y$6:$Y$400,$S42)))</f>
        <v/>
      </c>
      <c r="L42" s="114">
        <f>IF($S42="","",IF(INDEX('Master Tracker'!$M$6:$M$400,$S42)="","",INDEX('Master Tracker'!$M$6:$M$400,$S42)))</f>
        <v/>
      </c>
      <c r="M42" s="114">
        <f>IF($S42="","",IF(INDEX('Master Tracker'!$O$6:$O$400,$S42)="","",INDEX('Master Tracker'!$O$6:$O$400,$S42)))</f>
        <v/>
      </c>
      <c r="N42" s="114">
        <f>IF($S42="","",IF(INDEX('Master Tracker'!$N$6:$N$400,$S42)="","",INDEX('Master Tracker'!$N$6:$N$400,$S42)))</f>
        <v/>
      </c>
      <c r="O42" s="53">
        <f>IF($S42="","",IF(INDEX('Master Tracker'!$T$6:$T$400,$S42)="","",INDEX('Master Tracker'!$T$6:$T$400,$S42)))</f>
        <v/>
      </c>
      <c r="P42" s="53">
        <f>IF($S42="","",IF(INDEX('Master Tracker'!$AC$6:$AC$400,$S42)="","",INDEX('Master Tracker'!$AC$6:$AC$400,$S42)))</f>
        <v/>
      </c>
      <c r="S42">
        <f>IFERROR(MATCH("Phase 6|"&amp;A42,'Master Tracker'!$Z$6:$Z$400,0),"")</f>
        <v/>
      </c>
    </row>
    <row r="43" ht="48" customHeight="1">
      <c r="A43" s="53" t="n">
        <v>7</v>
      </c>
      <c r="B43" s="113">
        <f>IF($S43="","",IF(INDEX('Master Tracker'!$A$6:$A$400,$S43)="","",INDEX('Master Tracker'!$A$6:$A$400,$S43)))</f>
        <v/>
      </c>
      <c r="C43" s="114">
        <f>IF($S43="","",IF(INDEX('Master Tracker'!$C$6:$C$400,$S43)="","",INDEX('Master Tracker'!$C$6:$C$400,$S43)))</f>
        <v/>
      </c>
      <c r="D43" s="114">
        <f>IF($S43="","",IF(INDEX('Master Tracker'!$D$6:$D$400,$S43)="","",INDEX('Master Tracker'!$D$6:$D$400,$S43)))</f>
        <v/>
      </c>
      <c r="E43" s="53">
        <f>IF($S43="","",IF(INDEX('Master Tracker'!$F$6:$F$400,$S43)="","",INDEX('Master Tracker'!$F$6:$F$400,$S43)))</f>
        <v/>
      </c>
      <c r="F43" s="53">
        <f>IF($S43="","",IF(INDEX('Master Tracker'!$G$6:$G$400,$S43)="","",INDEX('Master Tracker'!$G$6:$G$400,$S43)))</f>
        <v/>
      </c>
      <c r="G43" s="70">
        <f>IF($S43="","",IF(INDEX('Master Tracker'!$H$6:$H$400,$S43)="","",INDEX('Master Tracker'!$H$6:$H$400,$S43)))</f>
        <v/>
      </c>
      <c r="H43" s="70">
        <f>IF($S43="","",IF(INDEX('Master Tracker'!$I$6:$I$400,$S43)="","",INDEX('Master Tracker'!$I$6:$I$400,$S43)))</f>
        <v/>
      </c>
      <c r="I43" s="115">
        <f>IF($S43="","",IF(INDEX('Master Tracker'!$U$6:$U$400,$S43)="","",INDEX('Master Tracker'!$U$6:$U$400,$S43)))</f>
        <v/>
      </c>
      <c r="J43" s="114">
        <f>IF($S43="","",IF(INDEX('Master Tracker'!$K$6:$K$400,$S43)="","",INDEX('Master Tracker'!$K$6:$K$400,$S43)))</f>
        <v/>
      </c>
      <c r="K43" s="114">
        <f>IF($S43="","",IF(INDEX('Master Tracker'!$Y$6:$Y$400,$S43)="","",INDEX('Master Tracker'!$Y$6:$Y$400,$S43)))</f>
        <v/>
      </c>
      <c r="L43" s="114">
        <f>IF($S43="","",IF(INDEX('Master Tracker'!$M$6:$M$400,$S43)="","",INDEX('Master Tracker'!$M$6:$M$400,$S43)))</f>
        <v/>
      </c>
      <c r="M43" s="114">
        <f>IF($S43="","",IF(INDEX('Master Tracker'!$O$6:$O$400,$S43)="","",INDEX('Master Tracker'!$O$6:$O$400,$S43)))</f>
        <v/>
      </c>
      <c r="N43" s="114">
        <f>IF($S43="","",IF(INDEX('Master Tracker'!$N$6:$N$400,$S43)="","",INDEX('Master Tracker'!$N$6:$N$400,$S43)))</f>
        <v/>
      </c>
      <c r="O43" s="53">
        <f>IF($S43="","",IF(INDEX('Master Tracker'!$T$6:$T$400,$S43)="","",INDEX('Master Tracker'!$T$6:$T$400,$S43)))</f>
        <v/>
      </c>
      <c r="P43" s="53">
        <f>IF($S43="","",IF(INDEX('Master Tracker'!$AC$6:$AC$400,$S43)="","",INDEX('Master Tracker'!$AC$6:$AC$400,$S43)))</f>
        <v/>
      </c>
      <c r="S43">
        <f>IFERROR(MATCH("Phase 6|"&amp;A43,'Master Tracker'!$Z$6:$Z$400,0),"")</f>
        <v/>
      </c>
    </row>
    <row r="44" ht="48" customHeight="1">
      <c r="A44" s="53" t="n">
        <v>8</v>
      </c>
      <c r="B44" s="113">
        <f>IF($S44="","",IF(INDEX('Master Tracker'!$A$6:$A$400,$S44)="","",INDEX('Master Tracker'!$A$6:$A$400,$S44)))</f>
        <v/>
      </c>
      <c r="C44" s="114">
        <f>IF($S44="","",IF(INDEX('Master Tracker'!$C$6:$C$400,$S44)="","",INDEX('Master Tracker'!$C$6:$C$400,$S44)))</f>
        <v/>
      </c>
      <c r="D44" s="114">
        <f>IF($S44="","",IF(INDEX('Master Tracker'!$D$6:$D$400,$S44)="","",INDEX('Master Tracker'!$D$6:$D$400,$S44)))</f>
        <v/>
      </c>
      <c r="E44" s="53">
        <f>IF($S44="","",IF(INDEX('Master Tracker'!$F$6:$F$400,$S44)="","",INDEX('Master Tracker'!$F$6:$F$400,$S44)))</f>
        <v/>
      </c>
      <c r="F44" s="53">
        <f>IF($S44="","",IF(INDEX('Master Tracker'!$G$6:$G$400,$S44)="","",INDEX('Master Tracker'!$G$6:$G$400,$S44)))</f>
        <v/>
      </c>
      <c r="G44" s="70">
        <f>IF($S44="","",IF(INDEX('Master Tracker'!$H$6:$H$400,$S44)="","",INDEX('Master Tracker'!$H$6:$H$400,$S44)))</f>
        <v/>
      </c>
      <c r="H44" s="70">
        <f>IF($S44="","",IF(INDEX('Master Tracker'!$I$6:$I$400,$S44)="","",INDEX('Master Tracker'!$I$6:$I$400,$S44)))</f>
        <v/>
      </c>
      <c r="I44" s="115">
        <f>IF($S44="","",IF(INDEX('Master Tracker'!$U$6:$U$400,$S44)="","",INDEX('Master Tracker'!$U$6:$U$400,$S44)))</f>
        <v/>
      </c>
      <c r="J44" s="114">
        <f>IF($S44="","",IF(INDEX('Master Tracker'!$K$6:$K$400,$S44)="","",INDEX('Master Tracker'!$K$6:$K$400,$S44)))</f>
        <v/>
      </c>
      <c r="K44" s="114">
        <f>IF($S44="","",IF(INDEX('Master Tracker'!$Y$6:$Y$400,$S44)="","",INDEX('Master Tracker'!$Y$6:$Y$400,$S44)))</f>
        <v/>
      </c>
      <c r="L44" s="114">
        <f>IF($S44="","",IF(INDEX('Master Tracker'!$M$6:$M$400,$S44)="","",INDEX('Master Tracker'!$M$6:$M$400,$S44)))</f>
        <v/>
      </c>
      <c r="M44" s="114">
        <f>IF($S44="","",IF(INDEX('Master Tracker'!$O$6:$O$400,$S44)="","",INDEX('Master Tracker'!$O$6:$O$400,$S44)))</f>
        <v/>
      </c>
      <c r="N44" s="114">
        <f>IF($S44="","",IF(INDEX('Master Tracker'!$N$6:$N$400,$S44)="","",INDEX('Master Tracker'!$N$6:$N$400,$S44)))</f>
        <v/>
      </c>
      <c r="O44" s="53">
        <f>IF($S44="","",IF(INDEX('Master Tracker'!$T$6:$T$400,$S44)="","",INDEX('Master Tracker'!$T$6:$T$400,$S44)))</f>
        <v/>
      </c>
      <c r="P44" s="53">
        <f>IF($S44="","",IF(INDEX('Master Tracker'!$AC$6:$AC$400,$S44)="","",INDEX('Master Tracker'!$AC$6:$AC$400,$S44)))</f>
        <v/>
      </c>
      <c r="S44">
        <f>IFERROR(MATCH("Phase 6|"&amp;A44,'Master Tracker'!$Z$6:$Z$400,0),"")</f>
        <v/>
      </c>
    </row>
    <row r="45" ht="48" customHeight="1">
      <c r="A45" s="53" t="n">
        <v>9</v>
      </c>
      <c r="B45" s="113">
        <f>IF($S45="","",IF(INDEX('Master Tracker'!$A$6:$A$400,$S45)="","",INDEX('Master Tracker'!$A$6:$A$400,$S45)))</f>
        <v/>
      </c>
      <c r="C45" s="114">
        <f>IF($S45="","",IF(INDEX('Master Tracker'!$C$6:$C$400,$S45)="","",INDEX('Master Tracker'!$C$6:$C$400,$S45)))</f>
        <v/>
      </c>
      <c r="D45" s="114">
        <f>IF($S45="","",IF(INDEX('Master Tracker'!$D$6:$D$400,$S45)="","",INDEX('Master Tracker'!$D$6:$D$400,$S45)))</f>
        <v/>
      </c>
      <c r="E45" s="53">
        <f>IF($S45="","",IF(INDEX('Master Tracker'!$F$6:$F$400,$S45)="","",INDEX('Master Tracker'!$F$6:$F$400,$S45)))</f>
        <v/>
      </c>
      <c r="F45" s="53">
        <f>IF($S45="","",IF(INDEX('Master Tracker'!$G$6:$G$400,$S45)="","",INDEX('Master Tracker'!$G$6:$G$400,$S45)))</f>
        <v/>
      </c>
      <c r="G45" s="70">
        <f>IF($S45="","",IF(INDEX('Master Tracker'!$H$6:$H$400,$S45)="","",INDEX('Master Tracker'!$H$6:$H$400,$S45)))</f>
        <v/>
      </c>
      <c r="H45" s="70">
        <f>IF($S45="","",IF(INDEX('Master Tracker'!$I$6:$I$400,$S45)="","",INDEX('Master Tracker'!$I$6:$I$400,$S45)))</f>
        <v/>
      </c>
      <c r="I45" s="115">
        <f>IF($S45="","",IF(INDEX('Master Tracker'!$U$6:$U$400,$S45)="","",INDEX('Master Tracker'!$U$6:$U$400,$S45)))</f>
        <v/>
      </c>
      <c r="J45" s="114">
        <f>IF($S45="","",IF(INDEX('Master Tracker'!$K$6:$K$400,$S45)="","",INDEX('Master Tracker'!$K$6:$K$400,$S45)))</f>
        <v/>
      </c>
      <c r="K45" s="114">
        <f>IF($S45="","",IF(INDEX('Master Tracker'!$Y$6:$Y$400,$S45)="","",INDEX('Master Tracker'!$Y$6:$Y$400,$S45)))</f>
        <v/>
      </c>
      <c r="L45" s="114">
        <f>IF($S45="","",IF(INDEX('Master Tracker'!$M$6:$M$400,$S45)="","",INDEX('Master Tracker'!$M$6:$M$400,$S45)))</f>
        <v/>
      </c>
      <c r="M45" s="114">
        <f>IF($S45="","",IF(INDEX('Master Tracker'!$O$6:$O$400,$S45)="","",INDEX('Master Tracker'!$O$6:$O$400,$S45)))</f>
        <v/>
      </c>
      <c r="N45" s="114">
        <f>IF($S45="","",IF(INDEX('Master Tracker'!$N$6:$N$400,$S45)="","",INDEX('Master Tracker'!$N$6:$N$400,$S45)))</f>
        <v/>
      </c>
      <c r="O45" s="53">
        <f>IF($S45="","",IF(INDEX('Master Tracker'!$T$6:$T$400,$S45)="","",INDEX('Master Tracker'!$T$6:$T$400,$S45)))</f>
        <v/>
      </c>
      <c r="P45" s="53">
        <f>IF($S45="","",IF(INDEX('Master Tracker'!$AC$6:$AC$400,$S45)="","",INDEX('Master Tracker'!$AC$6:$AC$400,$S45)))</f>
        <v/>
      </c>
      <c r="S45">
        <f>IFERROR(MATCH("Phase 6|"&amp;A45,'Master Tracker'!$Z$6:$Z$400,0),"")</f>
        <v/>
      </c>
    </row>
    <row r="46" ht="48" customHeight="1">
      <c r="A46" s="53" t="n">
        <v>10</v>
      </c>
      <c r="B46" s="113">
        <f>IF($S46="","",IF(INDEX('Master Tracker'!$A$6:$A$400,$S46)="","",INDEX('Master Tracker'!$A$6:$A$400,$S46)))</f>
        <v/>
      </c>
      <c r="C46" s="114">
        <f>IF($S46="","",IF(INDEX('Master Tracker'!$C$6:$C$400,$S46)="","",INDEX('Master Tracker'!$C$6:$C$400,$S46)))</f>
        <v/>
      </c>
      <c r="D46" s="114">
        <f>IF($S46="","",IF(INDEX('Master Tracker'!$D$6:$D$400,$S46)="","",INDEX('Master Tracker'!$D$6:$D$400,$S46)))</f>
        <v/>
      </c>
      <c r="E46" s="53">
        <f>IF($S46="","",IF(INDEX('Master Tracker'!$F$6:$F$400,$S46)="","",INDEX('Master Tracker'!$F$6:$F$400,$S46)))</f>
        <v/>
      </c>
      <c r="F46" s="53">
        <f>IF($S46="","",IF(INDEX('Master Tracker'!$G$6:$G$400,$S46)="","",INDEX('Master Tracker'!$G$6:$G$400,$S46)))</f>
        <v/>
      </c>
      <c r="G46" s="70">
        <f>IF($S46="","",IF(INDEX('Master Tracker'!$H$6:$H$400,$S46)="","",INDEX('Master Tracker'!$H$6:$H$400,$S46)))</f>
        <v/>
      </c>
      <c r="H46" s="70">
        <f>IF($S46="","",IF(INDEX('Master Tracker'!$I$6:$I$400,$S46)="","",INDEX('Master Tracker'!$I$6:$I$400,$S46)))</f>
        <v/>
      </c>
      <c r="I46" s="115">
        <f>IF($S46="","",IF(INDEX('Master Tracker'!$U$6:$U$400,$S46)="","",INDEX('Master Tracker'!$U$6:$U$400,$S46)))</f>
        <v/>
      </c>
      <c r="J46" s="114">
        <f>IF($S46="","",IF(INDEX('Master Tracker'!$K$6:$K$400,$S46)="","",INDEX('Master Tracker'!$K$6:$K$400,$S46)))</f>
        <v/>
      </c>
      <c r="K46" s="114">
        <f>IF($S46="","",IF(INDEX('Master Tracker'!$Y$6:$Y$400,$S46)="","",INDEX('Master Tracker'!$Y$6:$Y$400,$S46)))</f>
        <v/>
      </c>
      <c r="L46" s="114">
        <f>IF($S46="","",IF(INDEX('Master Tracker'!$M$6:$M$400,$S46)="","",INDEX('Master Tracker'!$M$6:$M$400,$S46)))</f>
        <v/>
      </c>
      <c r="M46" s="114">
        <f>IF($S46="","",IF(INDEX('Master Tracker'!$O$6:$O$400,$S46)="","",INDEX('Master Tracker'!$O$6:$O$400,$S46)))</f>
        <v/>
      </c>
      <c r="N46" s="114">
        <f>IF($S46="","",IF(INDEX('Master Tracker'!$N$6:$N$400,$S46)="","",INDEX('Master Tracker'!$N$6:$N$400,$S46)))</f>
        <v/>
      </c>
      <c r="O46" s="53">
        <f>IF($S46="","",IF(INDEX('Master Tracker'!$T$6:$T$400,$S46)="","",INDEX('Master Tracker'!$T$6:$T$400,$S46)))</f>
        <v/>
      </c>
      <c r="P46" s="53">
        <f>IF($S46="","",IF(INDEX('Master Tracker'!$AC$6:$AC$400,$S46)="","",INDEX('Master Tracker'!$AC$6:$AC$400,$S46)))</f>
        <v/>
      </c>
      <c r="S46">
        <f>IFERROR(MATCH("Phase 6|"&amp;A46,'Master Tracker'!$Z$6:$Z$400,0),"")</f>
        <v/>
      </c>
    </row>
    <row r="47" ht="48" customHeight="1">
      <c r="A47" s="53" t="n">
        <v>11</v>
      </c>
      <c r="B47" s="113">
        <f>IF($S47="","",IF(INDEX('Master Tracker'!$A$6:$A$400,$S47)="","",INDEX('Master Tracker'!$A$6:$A$400,$S47)))</f>
        <v/>
      </c>
      <c r="C47" s="114">
        <f>IF($S47="","",IF(INDEX('Master Tracker'!$C$6:$C$400,$S47)="","",INDEX('Master Tracker'!$C$6:$C$400,$S47)))</f>
        <v/>
      </c>
      <c r="D47" s="114">
        <f>IF($S47="","",IF(INDEX('Master Tracker'!$D$6:$D$400,$S47)="","",INDEX('Master Tracker'!$D$6:$D$400,$S47)))</f>
        <v/>
      </c>
      <c r="E47" s="53">
        <f>IF($S47="","",IF(INDEX('Master Tracker'!$F$6:$F$400,$S47)="","",INDEX('Master Tracker'!$F$6:$F$400,$S47)))</f>
        <v/>
      </c>
      <c r="F47" s="53">
        <f>IF($S47="","",IF(INDEX('Master Tracker'!$G$6:$G$400,$S47)="","",INDEX('Master Tracker'!$G$6:$G$400,$S47)))</f>
        <v/>
      </c>
      <c r="G47" s="70">
        <f>IF($S47="","",IF(INDEX('Master Tracker'!$H$6:$H$400,$S47)="","",INDEX('Master Tracker'!$H$6:$H$400,$S47)))</f>
        <v/>
      </c>
      <c r="H47" s="70">
        <f>IF($S47="","",IF(INDEX('Master Tracker'!$I$6:$I$400,$S47)="","",INDEX('Master Tracker'!$I$6:$I$400,$S47)))</f>
        <v/>
      </c>
      <c r="I47" s="115">
        <f>IF($S47="","",IF(INDEX('Master Tracker'!$U$6:$U$400,$S47)="","",INDEX('Master Tracker'!$U$6:$U$400,$S47)))</f>
        <v/>
      </c>
      <c r="J47" s="114">
        <f>IF($S47="","",IF(INDEX('Master Tracker'!$K$6:$K$400,$S47)="","",INDEX('Master Tracker'!$K$6:$K$400,$S47)))</f>
        <v/>
      </c>
      <c r="K47" s="114">
        <f>IF($S47="","",IF(INDEX('Master Tracker'!$Y$6:$Y$400,$S47)="","",INDEX('Master Tracker'!$Y$6:$Y$400,$S47)))</f>
        <v/>
      </c>
      <c r="L47" s="114">
        <f>IF($S47="","",IF(INDEX('Master Tracker'!$M$6:$M$400,$S47)="","",INDEX('Master Tracker'!$M$6:$M$400,$S47)))</f>
        <v/>
      </c>
      <c r="M47" s="114">
        <f>IF($S47="","",IF(INDEX('Master Tracker'!$O$6:$O$400,$S47)="","",INDEX('Master Tracker'!$O$6:$O$400,$S47)))</f>
        <v/>
      </c>
      <c r="N47" s="114">
        <f>IF($S47="","",IF(INDEX('Master Tracker'!$N$6:$N$400,$S47)="","",INDEX('Master Tracker'!$N$6:$N$400,$S47)))</f>
        <v/>
      </c>
      <c r="O47" s="53">
        <f>IF($S47="","",IF(INDEX('Master Tracker'!$T$6:$T$400,$S47)="","",INDEX('Master Tracker'!$T$6:$T$400,$S47)))</f>
        <v/>
      </c>
      <c r="P47" s="53">
        <f>IF($S47="","",IF(INDEX('Master Tracker'!$AC$6:$AC$400,$S47)="","",INDEX('Master Tracker'!$AC$6:$AC$400,$S47)))</f>
        <v/>
      </c>
      <c r="S47">
        <f>IFERROR(MATCH("Phase 6|"&amp;A47,'Master Tracker'!$Z$6:$Z$400,0),"")</f>
        <v/>
      </c>
    </row>
    <row r="48" ht="48" customHeight="1">
      <c r="A48" s="53" t="n">
        <v>12</v>
      </c>
      <c r="B48" s="113">
        <f>IF($S48="","",IF(INDEX('Master Tracker'!$A$6:$A$400,$S48)="","",INDEX('Master Tracker'!$A$6:$A$400,$S48)))</f>
        <v/>
      </c>
      <c r="C48" s="114">
        <f>IF($S48="","",IF(INDEX('Master Tracker'!$C$6:$C$400,$S48)="","",INDEX('Master Tracker'!$C$6:$C$400,$S48)))</f>
        <v/>
      </c>
      <c r="D48" s="114">
        <f>IF($S48="","",IF(INDEX('Master Tracker'!$D$6:$D$400,$S48)="","",INDEX('Master Tracker'!$D$6:$D$400,$S48)))</f>
        <v/>
      </c>
      <c r="E48" s="53">
        <f>IF($S48="","",IF(INDEX('Master Tracker'!$F$6:$F$400,$S48)="","",INDEX('Master Tracker'!$F$6:$F$400,$S48)))</f>
        <v/>
      </c>
      <c r="F48" s="53">
        <f>IF($S48="","",IF(INDEX('Master Tracker'!$G$6:$G$400,$S48)="","",INDEX('Master Tracker'!$G$6:$G$400,$S48)))</f>
        <v/>
      </c>
      <c r="G48" s="70">
        <f>IF($S48="","",IF(INDEX('Master Tracker'!$H$6:$H$400,$S48)="","",INDEX('Master Tracker'!$H$6:$H$400,$S48)))</f>
        <v/>
      </c>
      <c r="H48" s="70">
        <f>IF($S48="","",IF(INDEX('Master Tracker'!$I$6:$I$400,$S48)="","",INDEX('Master Tracker'!$I$6:$I$400,$S48)))</f>
        <v/>
      </c>
      <c r="I48" s="115">
        <f>IF($S48="","",IF(INDEX('Master Tracker'!$U$6:$U$400,$S48)="","",INDEX('Master Tracker'!$U$6:$U$400,$S48)))</f>
        <v/>
      </c>
      <c r="J48" s="114">
        <f>IF($S48="","",IF(INDEX('Master Tracker'!$K$6:$K$400,$S48)="","",INDEX('Master Tracker'!$K$6:$K$400,$S48)))</f>
        <v/>
      </c>
      <c r="K48" s="114">
        <f>IF($S48="","",IF(INDEX('Master Tracker'!$Y$6:$Y$400,$S48)="","",INDEX('Master Tracker'!$Y$6:$Y$400,$S48)))</f>
        <v/>
      </c>
      <c r="L48" s="114">
        <f>IF($S48="","",IF(INDEX('Master Tracker'!$M$6:$M$400,$S48)="","",INDEX('Master Tracker'!$M$6:$M$400,$S48)))</f>
        <v/>
      </c>
      <c r="M48" s="114">
        <f>IF($S48="","",IF(INDEX('Master Tracker'!$O$6:$O$400,$S48)="","",INDEX('Master Tracker'!$O$6:$O$400,$S48)))</f>
        <v/>
      </c>
      <c r="N48" s="114">
        <f>IF($S48="","",IF(INDEX('Master Tracker'!$N$6:$N$400,$S48)="","",INDEX('Master Tracker'!$N$6:$N$400,$S48)))</f>
        <v/>
      </c>
      <c r="O48" s="53">
        <f>IF($S48="","",IF(INDEX('Master Tracker'!$T$6:$T$400,$S48)="","",INDEX('Master Tracker'!$T$6:$T$400,$S48)))</f>
        <v/>
      </c>
      <c r="P48" s="53">
        <f>IF($S48="","",IF(INDEX('Master Tracker'!$AC$6:$AC$400,$S48)="","",INDEX('Master Tracker'!$AC$6:$AC$400,$S48)))</f>
        <v/>
      </c>
      <c r="S48">
        <f>IFERROR(MATCH("Phase 6|"&amp;A48,'Master Tracker'!$Z$6:$Z$400,0),"")</f>
        <v/>
      </c>
    </row>
    <row r="49" ht="48" customHeight="1">
      <c r="A49" s="53" t="n">
        <v>13</v>
      </c>
      <c r="B49" s="113">
        <f>IF($S49="","",IF(INDEX('Master Tracker'!$A$6:$A$400,$S49)="","",INDEX('Master Tracker'!$A$6:$A$400,$S49)))</f>
        <v/>
      </c>
      <c r="C49" s="114">
        <f>IF($S49="","",IF(INDEX('Master Tracker'!$C$6:$C$400,$S49)="","",INDEX('Master Tracker'!$C$6:$C$400,$S49)))</f>
        <v/>
      </c>
      <c r="D49" s="114">
        <f>IF($S49="","",IF(INDEX('Master Tracker'!$D$6:$D$400,$S49)="","",INDEX('Master Tracker'!$D$6:$D$400,$S49)))</f>
        <v/>
      </c>
      <c r="E49" s="53">
        <f>IF($S49="","",IF(INDEX('Master Tracker'!$F$6:$F$400,$S49)="","",INDEX('Master Tracker'!$F$6:$F$400,$S49)))</f>
        <v/>
      </c>
      <c r="F49" s="53">
        <f>IF($S49="","",IF(INDEX('Master Tracker'!$G$6:$G$400,$S49)="","",INDEX('Master Tracker'!$G$6:$G$400,$S49)))</f>
        <v/>
      </c>
      <c r="G49" s="70">
        <f>IF($S49="","",IF(INDEX('Master Tracker'!$H$6:$H$400,$S49)="","",INDEX('Master Tracker'!$H$6:$H$400,$S49)))</f>
        <v/>
      </c>
      <c r="H49" s="70">
        <f>IF($S49="","",IF(INDEX('Master Tracker'!$I$6:$I$400,$S49)="","",INDEX('Master Tracker'!$I$6:$I$400,$S49)))</f>
        <v/>
      </c>
      <c r="I49" s="115">
        <f>IF($S49="","",IF(INDEX('Master Tracker'!$U$6:$U$400,$S49)="","",INDEX('Master Tracker'!$U$6:$U$400,$S49)))</f>
        <v/>
      </c>
      <c r="J49" s="114">
        <f>IF($S49="","",IF(INDEX('Master Tracker'!$K$6:$K$400,$S49)="","",INDEX('Master Tracker'!$K$6:$K$400,$S49)))</f>
        <v/>
      </c>
      <c r="K49" s="114">
        <f>IF($S49="","",IF(INDEX('Master Tracker'!$Y$6:$Y$400,$S49)="","",INDEX('Master Tracker'!$Y$6:$Y$400,$S49)))</f>
        <v/>
      </c>
      <c r="L49" s="114">
        <f>IF($S49="","",IF(INDEX('Master Tracker'!$M$6:$M$400,$S49)="","",INDEX('Master Tracker'!$M$6:$M$400,$S49)))</f>
        <v/>
      </c>
      <c r="M49" s="114">
        <f>IF($S49="","",IF(INDEX('Master Tracker'!$O$6:$O$400,$S49)="","",INDEX('Master Tracker'!$O$6:$O$400,$S49)))</f>
        <v/>
      </c>
      <c r="N49" s="114">
        <f>IF($S49="","",IF(INDEX('Master Tracker'!$N$6:$N$400,$S49)="","",INDEX('Master Tracker'!$N$6:$N$400,$S49)))</f>
        <v/>
      </c>
      <c r="O49" s="53">
        <f>IF($S49="","",IF(INDEX('Master Tracker'!$T$6:$T$400,$S49)="","",INDEX('Master Tracker'!$T$6:$T$400,$S49)))</f>
        <v/>
      </c>
      <c r="P49" s="53">
        <f>IF($S49="","",IF(INDEX('Master Tracker'!$AC$6:$AC$400,$S49)="","",INDEX('Master Tracker'!$AC$6:$AC$400,$S49)))</f>
        <v/>
      </c>
      <c r="S49">
        <f>IFERROR(MATCH("Phase 6|"&amp;A49,'Master Tracker'!$Z$6:$Z$400,0),"")</f>
        <v/>
      </c>
    </row>
    <row r="50" ht="48" customHeight="1">
      <c r="A50" s="53" t="n">
        <v>14</v>
      </c>
      <c r="B50" s="113">
        <f>IF($S50="","",IF(INDEX('Master Tracker'!$A$6:$A$400,$S50)="","",INDEX('Master Tracker'!$A$6:$A$400,$S50)))</f>
        <v/>
      </c>
      <c r="C50" s="114">
        <f>IF($S50="","",IF(INDEX('Master Tracker'!$C$6:$C$400,$S50)="","",INDEX('Master Tracker'!$C$6:$C$400,$S50)))</f>
        <v/>
      </c>
      <c r="D50" s="114">
        <f>IF($S50="","",IF(INDEX('Master Tracker'!$D$6:$D$400,$S50)="","",INDEX('Master Tracker'!$D$6:$D$400,$S50)))</f>
        <v/>
      </c>
      <c r="E50" s="53">
        <f>IF($S50="","",IF(INDEX('Master Tracker'!$F$6:$F$400,$S50)="","",INDEX('Master Tracker'!$F$6:$F$400,$S50)))</f>
        <v/>
      </c>
      <c r="F50" s="53">
        <f>IF($S50="","",IF(INDEX('Master Tracker'!$G$6:$G$400,$S50)="","",INDEX('Master Tracker'!$G$6:$G$400,$S50)))</f>
        <v/>
      </c>
      <c r="G50" s="70">
        <f>IF($S50="","",IF(INDEX('Master Tracker'!$H$6:$H$400,$S50)="","",INDEX('Master Tracker'!$H$6:$H$400,$S50)))</f>
        <v/>
      </c>
      <c r="H50" s="70">
        <f>IF($S50="","",IF(INDEX('Master Tracker'!$I$6:$I$400,$S50)="","",INDEX('Master Tracker'!$I$6:$I$400,$S50)))</f>
        <v/>
      </c>
      <c r="I50" s="115">
        <f>IF($S50="","",IF(INDEX('Master Tracker'!$U$6:$U$400,$S50)="","",INDEX('Master Tracker'!$U$6:$U$400,$S50)))</f>
        <v/>
      </c>
      <c r="J50" s="114">
        <f>IF($S50="","",IF(INDEX('Master Tracker'!$K$6:$K$400,$S50)="","",INDEX('Master Tracker'!$K$6:$K$400,$S50)))</f>
        <v/>
      </c>
      <c r="K50" s="114">
        <f>IF($S50="","",IF(INDEX('Master Tracker'!$Y$6:$Y$400,$S50)="","",INDEX('Master Tracker'!$Y$6:$Y$400,$S50)))</f>
        <v/>
      </c>
      <c r="L50" s="114">
        <f>IF($S50="","",IF(INDEX('Master Tracker'!$M$6:$M$400,$S50)="","",INDEX('Master Tracker'!$M$6:$M$400,$S50)))</f>
        <v/>
      </c>
      <c r="M50" s="114">
        <f>IF($S50="","",IF(INDEX('Master Tracker'!$O$6:$O$400,$S50)="","",INDEX('Master Tracker'!$O$6:$O$400,$S50)))</f>
        <v/>
      </c>
      <c r="N50" s="114">
        <f>IF($S50="","",IF(INDEX('Master Tracker'!$N$6:$N$400,$S50)="","",INDEX('Master Tracker'!$N$6:$N$400,$S50)))</f>
        <v/>
      </c>
      <c r="O50" s="53">
        <f>IF($S50="","",IF(INDEX('Master Tracker'!$T$6:$T$400,$S50)="","",INDEX('Master Tracker'!$T$6:$T$400,$S50)))</f>
        <v/>
      </c>
      <c r="P50" s="53">
        <f>IF($S50="","",IF(INDEX('Master Tracker'!$AC$6:$AC$400,$S50)="","",INDEX('Master Tracker'!$AC$6:$AC$400,$S50)))</f>
        <v/>
      </c>
      <c r="S50">
        <f>IFERROR(MATCH("Phase 6|"&amp;A50,'Master Tracker'!$Z$6:$Z$400,0),"")</f>
        <v/>
      </c>
    </row>
    <row r="51" ht="48" customHeight="1">
      <c r="A51" s="53" t="n">
        <v>15</v>
      </c>
      <c r="B51" s="113">
        <f>IF($S51="","",IF(INDEX('Master Tracker'!$A$6:$A$400,$S51)="","",INDEX('Master Tracker'!$A$6:$A$400,$S51)))</f>
        <v/>
      </c>
      <c r="C51" s="114">
        <f>IF($S51="","",IF(INDEX('Master Tracker'!$C$6:$C$400,$S51)="","",INDEX('Master Tracker'!$C$6:$C$400,$S51)))</f>
        <v/>
      </c>
      <c r="D51" s="114">
        <f>IF($S51="","",IF(INDEX('Master Tracker'!$D$6:$D$400,$S51)="","",INDEX('Master Tracker'!$D$6:$D$400,$S51)))</f>
        <v/>
      </c>
      <c r="E51" s="53">
        <f>IF($S51="","",IF(INDEX('Master Tracker'!$F$6:$F$400,$S51)="","",INDEX('Master Tracker'!$F$6:$F$400,$S51)))</f>
        <v/>
      </c>
      <c r="F51" s="53">
        <f>IF($S51="","",IF(INDEX('Master Tracker'!$G$6:$G$400,$S51)="","",INDEX('Master Tracker'!$G$6:$G$400,$S51)))</f>
        <v/>
      </c>
      <c r="G51" s="70">
        <f>IF($S51="","",IF(INDEX('Master Tracker'!$H$6:$H$400,$S51)="","",INDEX('Master Tracker'!$H$6:$H$400,$S51)))</f>
        <v/>
      </c>
      <c r="H51" s="70">
        <f>IF($S51="","",IF(INDEX('Master Tracker'!$I$6:$I$400,$S51)="","",INDEX('Master Tracker'!$I$6:$I$400,$S51)))</f>
        <v/>
      </c>
      <c r="I51" s="115">
        <f>IF($S51="","",IF(INDEX('Master Tracker'!$U$6:$U$400,$S51)="","",INDEX('Master Tracker'!$U$6:$U$400,$S51)))</f>
        <v/>
      </c>
      <c r="J51" s="114">
        <f>IF($S51="","",IF(INDEX('Master Tracker'!$K$6:$K$400,$S51)="","",INDEX('Master Tracker'!$K$6:$K$400,$S51)))</f>
        <v/>
      </c>
      <c r="K51" s="114">
        <f>IF($S51="","",IF(INDEX('Master Tracker'!$Y$6:$Y$400,$S51)="","",INDEX('Master Tracker'!$Y$6:$Y$400,$S51)))</f>
        <v/>
      </c>
      <c r="L51" s="114">
        <f>IF($S51="","",IF(INDEX('Master Tracker'!$M$6:$M$400,$S51)="","",INDEX('Master Tracker'!$M$6:$M$400,$S51)))</f>
        <v/>
      </c>
      <c r="M51" s="114">
        <f>IF($S51="","",IF(INDEX('Master Tracker'!$O$6:$O$400,$S51)="","",INDEX('Master Tracker'!$O$6:$O$400,$S51)))</f>
        <v/>
      </c>
      <c r="N51" s="114">
        <f>IF($S51="","",IF(INDEX('Master Tracker'!$N$6:$N$400,$S51)="","",INDEX('Master Tracker'!$N$6:$N$400,$S51)))</f>
        <v/>
      </c>
      <c r="O51" s="53">
        <f>IF($S51="","",IF(INDEX('Master Tracker'!$T$6:$T$400,$S51)="","",INDEX('Master Tracker'!$T$6:$T$400,$S51)))</f>
        <v/>
      </c>
      <c r="P51" s="53">
        <f>IF($S51="","",IF(INDEX('Master Tracker'!$AC$6:$AC$400,$S51)="","",INDEX('Master Tracker'!$AC$6:$AC$400,$S51)))</f>
        <v/>
      </c>
      <c r="S51">
        <f>IFERROR(MATCH("Phase 6|"&amp;A51,'Master Tracker'!$Z$6:$Z$400,0),"")</f>
        <v/>
      </c>
    </row>
    <row r="52" ht="48" customHeight="1">
      <c r="A52" s="53" t="n">
        <v>16</v>
      </c>
      <c r="B52" s="113">
        <f>IF($S52="","",IF(INDEX('Master Tracker'!$A$6:$A$400,$S52)="","",INDEX('Master Tracker'!$A$6:$A$400,$S52)))</f>
        <v/>
      </c>
      <c r="C52" s="114">
        <f>IF($S52="","",IF(INDEX('Master Tracker'!$C$6:$C$400,$S52)="","",INDEX('Master Tracker'!$C$6:$C$400,$S52)))</f>
        <v/>
      </c>
      <c r="D52" s="114">
        <f>IF($S52="","",IF(INDEX('Master Tracker'!$D$6:$D$400,$S52)="","",INDEX('Master Tracker'!$D$6:$D$400,$S52)))</f>
        <v/>
      </c>
      <c r="E52" s="53">
        <f>IF($S52="","",IF(INDEX('Master Tracker'!$F$6:$F$400,$S52)="","",INDEX('Master Tracker'!$F$6:$F$400,$S52)))</f>
        <v/>
      </c>
      <c r="F52" s="53">
        <f>IF($S52="","",IF(INDEX('Master Tracker'!$G$6:$G$400,$S52)="","",INDEX('Master Tracker'!$G$6:$G$400,$S52)))</f>
        <v/>
      </c>
      <c r="G52" s="70">
        <f>IF($S52="","",IF(INDEX('Master Tracker'!$H$6:$H$400,$S52)="","",INDEX('Master Tracker'!$H$6:$H$400,$S52)))</f>
        <v/>
      </c>
      <c r="H52" s="70">
        <f>IF($S52="","",IF(INDEX('Master Tracker'!$I$6:$I$400,$S52)="","",INDEX('Master Tracker'!$I$6:$I$400,$S52)))</f>
        <v/>
      </c>
      <c r="I52" s="115">
        <f>IF($S52="","",IF(INDEX('Master Tracker'!$U$6:$U$400,$S52)="","",INDEX('Master Tracker'!$U$6:$U$400,$S52)))</f>
        <v/>
      </c>
      <c r="J52" s="114">
        <f>IF($S52="","",IF(INDEX('Master Tracker'!$K$6:$K$400,$S52)="","",INDEX('Master Tracker'!$K$6:$K$400,$S52)))</f>
        <v/>
      </c>
      <c r="K52" s="114">
        <f>IF($S52="","",IF(INDEX('Master Tracker'!$Y$6:$Y$400,$S52)="","",INDEX('Master Tracker'!$Y$6:$Y$400,$S52)))</f>
        <v/>
      </c>
      <c r="L52" s="114">
        <f>IF($S52="","",IF(INDEX('Master Tracker'!$M$6:$M$400,$S52)="","",INDEX('Master Tracker'!$M$6:$M$400,$S52)))</f>
        <v/>
      </c>
      <c r="M52" s="114">
        <f>IF($S52="","",IF(INDEX('Master Tracker'!$O$6:$O$400,$S52)="","",INDEX('Master Tracker'!$O$6:$O$400,$S52)))</f>
        <v/>
      </c>
      <c r="N52" s="114">
        <f>IF($S52="","",IF(INDEX('Master Tracker'!$N$6:$N$400,$S52)="","",INDEX('Master Tracker'!$N$6:$N$400,$S52)))</f>
        <v/>
      </c>
      <c r="O52" s="53">
        <f>IF($S52="","",IF(INDEX('Master Tracker'!$T$6:$T$400,$S52)="","",INDEX('Master Tracker'!$T$6:$T$400,$S52)))</f>
        <v/>
      </c>
      <c r="P52" s="53">
        <f>IF($S52="","",IF(INDEX('Master Tracker'!$AC$6:$AC$400,$S52)="","",INDEX('Master Tracker'!$AC$6:$AC$400,$S52)))</f>
        <v/>
      </c>
      <c r="S52">
        <f>IFERROR(MATCH("Phase 6|"&amp;A52,'Master Tracker'!$Z$6:$Z$400,0),"")</f>
        <v/>
      </c>
    </row>
    <row r="53" ht="48" customHeight="1">
      <c r="A53" s="53" t="n">
        <v>17</v>
      </c>
      <c r="B53" s="113">
        <f>IF($S53="","",IF(INDEX('Master Tracker'!$A$6:$A$400,$S53)="","",INDEX('Master Tracker'!$A$6:$A$400,$S53)))</f>
        <v/>
      </c>
      <c r="C53" s="114">
        <f>IF($S53="","",IF(INDEX('Master Tracker'!$C$6:$C$400,$S53)="","",INDEX('Master Tracker'!$C$6:$C$400,$S53)))</f>
        <v/>
      </c>
      <c r="D53" s="114">
        <f>IF($S53="","",IF(INDEX('Master Tracker'!$D$6:$D$400,$S53)="","",INDEX('Master Tracker'!$D$6:$D$400,$S53)))</f>
        <v/>
      </c>
      <c r="E53" s="53">
        <f>IF($S53="","",IF(INDEX('Master Tracker'!$F$6:$F$400,$S53)="","",INDEX('Master Tracker'!$F$6:$F$400,$S53)))</f>
        <v/>
      </c>
      <c r="F53" s="53">
        <f>IF($S53="","",IF(INDEX('Master Tracker'!$G$6:$G$400,$S53)="","",INDEX('Master Tracker'!$G$6:$G$400,$S53)))</f>
        <v/>
      </c>
      <c r="G53" s="70">
        <f>IF($S53="","",IF(INDEX('Master Tracker'!$H$6:$H$400,$S53)="","",INDEX('Master Tracker'!$H$6:$H$400,$S53)))</f>
        <v/>
      </c>
      <c r="H53" s="70">
        <f>IF($S53="","",IF(INDEX('Master Tracker'!$I$6:$I$400,$S53)="","",INDEX('Master Tracker'!$I$6:$I$400,$S53)))</f>
        <v/>
      </c>
      <c r="I53" s="115">
        <f>IF($S53="","",IF(INDEX('Master Tracker'!$U$6:$U$400,$S53)="","",INDEX('Master Tracker'!$U$6:$U$400,$S53)))</f>
        <v/>
      </c>
      <c r="J53" s="114">
        <f>IF($S53="","",IF(INDEX('Master Tracker'!$K$6:$K$400,$S53)="","",INDEX('Master Tracker'!$K$6:$K$400,$S53)))</f>
        <v/>
      </c>
      <c r="K53" s="114">
        <f>IF($S53="","",IF(INDEX('Master Tracker'!$Y$6:$Y$400,$S53)="","",INDEX('Master Tracker'!$Y$6:$Y$400,$S53)))</f>
        <v/>
      </c>
      <c r="L53" s="114">
        <f>IF($S53="","",IF(INDEX('Master Tracker'!$M$6:$M$400,$S53)="","",INDEX('Master Tracker'!$M$6:$M$400,$S53)))</f>
        <v/>
      </c>
      <c r="M53" s="114">
        <f>IF($S53="","",IF(INDEX('Master Tracker'!$O$6:$O$400,$S53)="","",INDEX('Master Tracker'!$O$6:$O$400,$S53)))</f>
        <v/>
      </c>
      <c r="N53" s="114">
        <f>IF($S53="","",IF(INDEX('Master Tracker'!$N$6:$N$400,$S53)="","",INDEX('Master Tracker'!$N$6:$N$400,$S53)))</f>
        <v/>
      </c>
      <c r="O53" s="53">
        <f>IF($S53="","",IF(INDEX('Master Tracker'!$T$6:$T$400,$S53)="","",INDEX('Master Tracker'!$T$6:$T$400,$S53)))</f>
        <v/>
      </c>
      <c r="P53" s="53">
        <f>IF($S53="","",IF(INDEX('Master Tracker'!$AC$6:$AC$400,$S53)="","",INDEX('Master Tracker'!$AC$6:$AC$400,$S53)))</f>
        <v/>
      </c>
      <c r="S53">
        <f>IFERROR(MATCH("Phase 6|"&amp;A53,'Master Tracker'!$Z$6:$Z$400,0),"")</f>
        <v/>
      </c>
    </row>
    <row r="54" ht="48" customHeight="1">
      <c r="A54" s="53" t="n">
        <v>18</v>
      </c>
      <c r="B54" s="113">
        <f>IF($S54="","",IF(INDEX('Master Tracker'!$A$6:$A$400,$S54)="","",INDEX('Master Tracker'!$A$6:$A$400,$S54)))</f>
        <v/>
      </c>
      <c r="C54" s="114">
        <f>IF($S54="","",IF(INDEX('Master Tracker'!$C$6:$C$400,$S54)="","",INDEX('Master Tracker'!$C$6:$C$400,$S54)))</f>
        <v/>
      </c>
      <c r="D54" s="114">
        <f>IF($S54="","",IF(INDEX('Master Tracker'!$D$6:$D$400,$S54)="","",INDEX('Master Tracker'!$D$6:$D$400,$S54)))</f>
        <v/>
      </c>
      <c r="E54" s="53">
        <f>IF($S54="","",IF(INDEX('Master Tracker'!$F$6:$F$400,$S54)="","",INDEX('Master Tracker'!$F$6:$F$400,$S54)))</f>
        <v/>
      </c>
      <c r="F54" s="53">
        <f>IF($S54="","",IF(INDEX('Master Tracker'!$G$6:$G$400,$S54)="","",INDEX('Master Tracker'!$G$6:$G$400,$S54)))</f>
        <v/>
      </c>
      <c r="G54" s="70">
        <f>IF($S54="","",IF(INDEX('Master Tracker'!$H$6:$H$400,$S54)="","",INDEX('Master Tracker'!$H$6:$H$400,$S54)))</f>
        <v/>
      </c>
      <c r="H54" s="70">
        <f>IF($S54="","",IF(INDEX('Master Tracker'!$I$6:$I$400,$S54)="","",INDEX('Master Tracker'!$I$6:$I$400,$S54)))</f>
        <v/>
      </c>
      <c r="I54" s="115">
        <f>IF($S54="","",IF(INDEX('Master Tracker'!$U$6:$U$400,$S54)="","",INDEX('Master Tracker'!$U$6:$U$400,$S54)))</f>
        <v/>
      </c>
      <c r="J54" s="114">
        <f>IF($S54="","",IF(INDEX('Master Tracker'!$K$6:$K$400,$S54)="","",INDEX('Master Tracker'!$K$6:$K$400,$S54)))</f>
        <v/>
      </c>
      <c r="K54" s="114">
        <f>IF($S54="","",IF(INDEX('Master Tracker'!$Y$6:$Y$400,$S54)="","",INDEX('Master Tracker'!$Y$6:$Y$400,$S54)))</f>
        <v/>
      </c>
      <c r="L54" s="114">
        <f>IF($S54="","",IF(INDEX('Master Tracker'!$M$6:$M$400,$S54)="","",INDEX('Master Tracker'!$M$6:$M$400,$S54)))</f>
        <v/>
      </c>
      <c r="M54" s="114">
        <f>IF($S54="","",IF(INDEX('Master Tracker'!$O$6:$O$400,$S54)="","",INDEX('Master Tracker'!$O$6:$O$400,$S54)))</f>
        <v/>
      </c>
      <c r="N54" s="114">
        <f>IF($S54="","",IF(INDEX('Master Tracker'!$N$6:$N$400,$S54)="","",INDEX('Master Tracker'!$N$6:$N$400,$S54)))</f>
        <v/>
      </c>
      <c r="O54" s="53">
        <f>IF($S54="","",IF(INDEX('Master Tracker'!$T$6:$T$400,$S54)="","",INDEX('Master Tracker'!$T$6:$T$400,$S54)))</f>
        <v/>
      </c>
      <c r="P54" s="53">
        <f>IF($S54="","",IF(INDEX('Master Tracker'!$AC$6:$AC$400,$S54)="","",INDEX('Master Tracker'!$AC$6:$AC$400,$S54)))</f>
        <v/>
      </c>
      <c r="S54">
        <f>IFERROR(MATCH("Phase 6|"&amp;A54,'Master Tracker'!$Z$6:$Z$400,0),"")</f>
        <v/>
      </c>
    </row>
    <row r="55" ht="48" customHeight="1">
      <c r="A55" s="53" t="n">
        <v>19</v>
      </c>
      <c r="B55" s="113">
        <f>IF($S55="","",IF(INDEX('Master Tracker'!$A$6:$A$400,$S55)="","",INDEX('Master Tracker'!$A$6:$A$400,$S55)))</f>
        <v/>
      </c>
      <c r="C55" s="114">
        <f>IF($S55="","",IF(INDEX('Master Tracker'!$C$6:$C$400,$S55)="","",INDEX('Master Tracker'!$C$6:$C$400,$S55)))</f>
        <v/>
      </c>
      <c r="D55" s="114">
        <f>IF($S55="","",IF(INDEX('Master Tracker'!$D$6:$D$400,$S55)="","",INDEX('Master Tracker'!$D$6:$D$400,$S55)))</f>
        <v/>
      </c>
      <c r="E55" s="53">
        <f>IF($S55="","",IF(INDEX('Master Tracker'!$F$6:$F$400,$S55)="","",INDEX('Master Tracker'!$F$6:$F$400,$S55)))</f>
        <v/>
      </c>
      <c r="F55" s="53">
        <f>IF($S55="","",IF(INDEX('Master Tracker'!$G$6:$G$400,$S55)="","",INDEX('Master Tracker'!$G$6:$G$400,$S55)))</f>
        <v/>
      </c>
      <c r="G55" s="70">
        <f>IF($S55="","",IF(INDEX('Master Tracker'!$H$6:$H$400,$S55)="","",INDEX('Master Tracker'!$H$6:$H$400,$S55)))</f>
        <v/>
      </c>
      <c r="H55" s="70">
        <f>IF($S55="","",IF(INDEX('Master Tracker'!$I$6:$I$400,$S55)="","",INDEX('Master Tracker'!$I$6:$I$400,$S55)))</f>
        <v/>
      </c>
      <c r="I55" s="115">
        <f>IF($S55="","",IF(INDEX('Master Tracker'!$U$6:$U$400,$S55)="","",INDEX('Master Tracker'!$U$6:$U$400,$S55)))</f>
        <v/>
      </c>
      <c r="J55" s="114">
        <f>IF($S55="","",IF(INDEX('Master Tracker'!$K$6:$K$400,$S55)="","",INDEX('Master Tracker'!$K$6:$K$400,$S55)))</f>
        <v/>
      </c>
      <c r="K55" s="114">
        <f>IF($S55="","",IF(INDEX('Master Tracker'!$Y$6:$Y$400,$S55)="","",INDEX('Master Tracker'!$Y$6:$Y$400,$S55)))</f>
        <v/>
      </c>
      <c r="L55" s="114">
        <f>IF($S55="","",IF(INDEX('Master Tracker'!$M$6:$M$400,$S55)="","",INDEX('Master Tracker'!$M$6:$M$400,$S55)))</f>
        <v/>
      </c>
      <c r="M55" s="114">
        <f>IF($S55="","",IF(INDEX('Master Tracker'!$O$6:$O$400,$S55)="","",INDEX('Master Tracker'!$O$6:$O$400,$S55)))</f>
        <v/>
      </c>
      <c r="N55" s="114">
        <f>IF($S55="","",IF(INDEX('Master Tracker'!$N$6:$N$400,$S55)="","",INDEX('Master Tracker'!$N$6:$N$400,$S55)))</f>
        <v/>
      </c>
      <c r="O55" s="53">
        <f>IF($S55="","",IF(INDEX('Master Tracker'!$T$6:$T$400,$S55)="","",INDEX('Master Tracker'!$T$6:$T$400,$S55)))</f>
        <v/>
      </c>
      <c r="P55" s="53">
        <f>IF($S55="","",IF(INDEX('Master Tracker'!$AC$6:$AC$400,$S55)="","",INDEX('Master Tracker'!$AC$6:$AC$400,$S55)))</f>
        <v/>
      </c>
      <c r="S55">
        <f>IFERROR(MATCH("Phase 6|"&amp;A55,'Master Tracker'!$Z$6:$Z$400,0),"")</f>
        <v/>
      </c>
    </row>
    <row r="56" ht="48" customHeight="1">
      <c r="A56" s="53" t="n">
        <v>20</v>
      </c>
      <c r="B56" s="113">
        <f>IF($S56="","",IF(INDEX('Master Tracker'!$A$6:$A$400,$S56)="","",INDEX('Master Tracker'!$A$6:$A$400,$S56)))</f>
        <v/>
      </c>
      <c r="C56" s="114">
        <f>IF($S56="","",IF(INDEX('Master Tracker'!$C$6:$C$400,$S56)="","",INDEX('Master Tracker'!$C$6:$C$400,$S56)))</f>
        <v/>
      </c>
      <c r="D56" s="114">
        <f>IF($S56="","",IF(INDEX('Master Tracker'!$D$6:$D$400,$S56)="","",INDEX('Master Tracker'!$D$6:$D$400,$S56)))</f>
        <v/>
      </c>
      <c r="E56" s="53">
        <f>IF($S56="","",IF(INDEX('Master Tracker'!$F$6:$F$400,$S56)="","",INDEX('Master Tracker'!$F$6:$F$400,$S56)))</f>
        <v/>
      </c>
      <c r="F56" s="53">
        <f>IF($S56="","",IF(INDEX('Master Tracker'!$G$6:$G$400,$S56)="","",INDEX('Master Tracker'!$G$6:$G$400,$S56)))</f>
        <v/>
      </c>
      <c r="G56" s="70">
        <f>IF($S56="","",IF(INDEX('Master Tracker'!$H$6:$H$400,$S56)="","",INDEX('Master Tracker'!$H$6:$H$400,$S56)))</f>
        <v/>
      </c>
      <c r="H56" s="70">
        <f>IF($S56="","",IF(INDEX('Master Tracker'!$I$6:$I$400,$S56)="","",INDEX('Master Tracker'!$I$6:$I$400,$S56)))</f>
        <v/>
      </c>
      <c r="I56" s="115">
        <f>IF($S56="","",IF(INDEX('Master Tracker'!$U$6:$U$400,$S56)="","",INDEX('Master Tracker'!$U$6:$U$400,$S56)))</f>
        <v/>
      </c>
      <c r="J56" s="114">
        <f>IF($S56="","",IF(INDEX('Master Tracker'!$K$6:$K$400,$S56)="","",INDEX('Master Tracker'!$K$6:$K$400,$S56)))</f>
        <v/>
      </c>
      <c r="K56" s="114">
        <f>IF($S56="","",IF(INDEX('Master Tracker'!$Y$6:$Y$400,$S56)="","",INDEX('Master Tracker'!$Y$6:$Y$400,$S56)))</f>
        <v/>
      </c>
      <c r="L56" s="114">
        <f>IF($S56="","",IF(INDEX('Master Tracker'!$M$6:$M$400,$S56)="","",INDEX('Master Tracker'!$M$6:$M$400,$S56)))</f>
        <v/>
      </c>
      <c r="M56" s="114">
        <f>IF($S56="","",IF(INDEX('Master Tracker'!$O$6:$O$400,$S56)="","",INDEX('Master Tracker'!$O$6:$O$400,$S56)))</f>
        <v/>
      </c>
      <c r="N56" s="114">
        <f>IF($S56="","",IF(INDEX('Master Tracker'!$N$6:$N$400,$S56)="","",INDEX('Master Tracker'!$N$6:$N$400,$S56)))</f>
        <v/>
      </c>
      <c r="O56" s="53">
        <f>IF($S56="","",IF(INDEX('Master Tracker'!$T$6:$T$400,$S56)="","",INDEX('Master Tracker'!$T$6:$T$400,$S56)))</f>
        <v/>
      </c>
      <c r="P56" s="53">
        <f>IF($S56="","",IF(INDEX('Master Tracker'!$AC$6:$AC$400,$S56)="","",INDEX('Master Tracker'!$AC$6:$AC$400,$S56)))</f>
        <v/>
      </c>
      <c r="S56">
        <f>IFERROR(MATCH("Phase 6|"&amp;A56,'Master Tracker'!$Z$6:$Z$400,0),"")</f>
        <v/>
      </c>
    </row>
    <row r="57" ht="48" customHeight="1">
      <c r="A57" s="53" t="n">
        <v>21</v>
      </c>
      <c r="B57" s="113">
        <f>IF($S57="","",IF(INDEX('Master Tracker'!$A$6:$A$400,$S57)="","",INDEX('Master Tracker'!$A$6:$A$400,$S57)))</f>
        <v/>
      </c>
      <c r="C57" s="114">
        <f>IF($S57="","",IF(INDEX('Master Tracker'!$C$6:$C$400,$S57)="","",INDEX('Master Tracker'!$C$6:$C$400,$S57)))</f>
        <v/>
      </c>
      <c r="D57" s="114">
        <f>IF($S57="","",IF(INDEX('Master Tracker'!$D$6:$D$400,$S57)="","",INDEX('Master Tracker'!$D$6:$D$400,$S57)))</f>
        <v/>
      </c>
      <c r="E57" s="53">
        <f>IF($S57="","",IF(INDEX('Master Tracker'!$F$6:$F$400,$S57)="","",INDEX('Master Tracker'!$F$6:$F$400,$S57)))</f>
        <v/>
      </c>
      <c r="F57" s="53">
        <f>IF($S57="","",IF(INDEX('Master Tracker'!$G$6:$G$400,$S57)="","",INDEX('Master Tracker'!$G$6:$G$400,$S57)))</f>
        <v/>
      </c>
      <c r="G57" s="70">
        <f>IF($S57="","",IF(INDEX('Master Tracker'!$H$6:$H$400,$S57)="","",INDEX('Master Tracker'!$H$6:$H$400,$S57)))</f>
        <v/>
      </c>
      <c r="H57" s="70">
        <f>IF($S57="","",IF(INDEX('Master Tracker'!$I$6:$I$400,$S57)="","",INDEX('Master Tracker'!$I$6:$I$400,$S57)))</f>
        <v/>
      </c>
      <c r="I57" s="115">
        <f>IF($S57="","",IF(INDEX('Master Tracker'!$U$6:$U$400,$S57)="","",INDEX('Master Tracker'!$U$6:$U$400,$S57)))</f>
        <v/>
      </c>
      <c r="J57" s="114">
        <f>IF($S57="","",IF(INDEX('Master Tracker'!$K$6:$K$400,$S57)="","",INDEX('Master Tracker'!$K$6:$K$400,$S57)))</f>
        <v/>
      </c>
      <c r="K57" s="114">
        <f>IF($S57="","",IF(INDEX('Master Tracker'!$Y$6:$Y$400,$S57)="","",INDEX('Master Tracker'!$Y$6:$Y$400,$S57)))</f>
        <v/>
      </c>
      <c r="L57" s="114">
        <f>IF($S57="","",IF(INDEX('Master Tracker'!$M$6:$M$400,$S57)="","",INDEX('Master Tracker'!$M$6:$M$400,$S57)))</f>
        <v/>
      </c>
      <c r="M57" s="114">
        <f>IF($S57="","",IF(INDEX('Master Tracker'!$O$6:$O$400,$S57)="","",INDEX('Master Tracker'!$O$6:$O$400,$S57)))</f>
        <v/>
      </c>
      <c r="N57" s="114">
        <f>IF($S57="","",IF(INDEX('Master Tracker'!$N$6:$N$400,$S57)="","",INDEX('Master Tracker'!$N$6:$N$400,$S57)))</f>
        <v/>
      </c>
      <c r="O57" s="53">
        <f>IF($S57="","",IF(INDEX('Master Tracker'!$T$6:$T$400,$S57)="","",INDEX('Master Tracker'!$T$6:$T$400,$S57)))</f>
        <v/>
      </c>
      <c r="P57" s="53">
        <f>IF($S57="","",IF(INDEX('Master Tracker'!$AC$6:$AC$400,$S57)="","",INDEX('Master Tracker'!$AC$6:$AC$400,$S57)))</f>
        <v/>
      </c>
      <c r="S57">
        <f>IFERROR(MATCH("Phase 6|"&amp;A57,'Master Tracker'!$Z$6:$Z$400,0),"")</f>
        <v/>
      </c>
    </row>
    <row r="58" ht="48" customHeight="1">
      <c r="A58" s="53" t="n">
        <v>22</v>
      </c>
      <c r="B58" s="113">
        <f>IF($S58="","",IF(INDEX('Master Tracker'!$A$6:$A$400,$S58)="","",INDEX('Master Tracker'!$A$6:$A$400,$S58)))</f>
        <v/>
      </c>
      <c r="C58" s="114">
        <f>IF($S58="","",IF(INDEX('Master Tracker'!$C$6:$C$400,$S58)="","",INDEX('Master Tracker'!$C$6:$C$400,$S58)))</f>
        <v/>
      </c>
      <c r="D58" s="114">
        <f>IF($S58="","",IF(INDEX('Master Tracker'!$D$6:$D$400,$S58)="","",INDEX('Master Tracker'!$D$6:$D$400,$S58)))</f>
        <v/>
      </c>
      <c r="E58" s="53">
        <f>IF($S58="","",IF(INDEX('Master Tracker'!$F$6:$F$400,$S58)="","",INDEX('Master Tracker'!$F$6:$F$400,$S58)))</f>
        <v/>
      </c>
      <c r="F58" s="53">
        <f>IF($S58="","",IF(INDEX('Master Tracker'!$G$6:$G$400,$S58)="","",INDEX('Master Tracker'!$G$6:$G$400,$S58)))</f>
        <v/>
      </c>
      <c r="G58" s="70">
        <f>IF($S58="","",IF(INDEX('Master Tracker'!$H$6:$H$400,$S58)="","",INDEX('Master Tracker'!$H$6:$H$400,$S58)))</f>
        <v/>
      </c>
      <c r="H58" s="70">
        <f>IF($S58="","",IF(INDEX('Master Tracker'!$I$6:$I$400,$S58)="","",INDEX('Master Tracker'!$I$6:$I$400,$S58)))</f>
        <v/>
      </c>
      <c r="I58" s="115">
        <f>IF($S58="","",IF(INDEX('Master Tracker'!$U$6:$U$400,$S58)="","",INDEX('Master Tracker'!$U$6:$U$400,$S58)))</f>
        <v/>
      </c>
      <c r="J58" s="114">
        <f>IF($S58="","",IF(INDEX('Master Tracker'!$K$6:$K$400,$S58)="","",INDEX('Master Tracker'!$K$6:$K$400,$S58)))</f>
        <v/>
      </c>
      <c r="K58" s="114">
        <f>IF($S58="","",IF(INDEX('Master Tracker'!$Y$6:$Y$400,$S58)="","",INDEX('Master Tracker'!$Y$6:$Y$400,$S58)))</f>
        <v/>
      </c>
      <c r="L58" s="114">
        <f>IF($S58="","",IF(INDEX('Master Tracker'!$M$6:$M$400,$S58)="","",INDEX('Master Tracker'!$M$6:$M$400,$S58)))</f>
        <v/>
      </c>
      <c r="M58" s="114">
        <f>IF($S58="","",IF(INDEX('Master Tracker'!$O$6:$O$400,$S58)="","",INDEX('Master Tracker'!$O$6:$O$400,$S58)))</f>
        <v/>
      </c>
      <c r="N58" s="114">
        <f>IF($S58="","",IF(INDEX('Master Tracker'!$N$6:$N$400,$S58)="","",INDEX('Master Tracker'!$N$6:$N$400,$S58)))</f>
        <v/>
      </c>
      <c r="O58" s="53">
        <f>IF($S58="","",IF(INDEX('Master Tracker'!$T$6:$T$400,$S58)="","",INDEX('Master Tracker'!$T$6:$T$400,$S58)))</f>
        <v/>
      </c>
      <c r="P58" s="53">
        <f>IF($S58="","",IF(INDEX('Master Tracker'!$AC$6:$AC$400,$S58)="","",INDEX('Master Tracker'!$AC$6:$AC$400,$S58)))</f>
        <v/>
      </c>
      <c r="S58">
        <f>IFERROR(MATCH("Phase 6|"&amp;A58,'Master Tracker'!$Z$6:$Z$400,0),"")</f>
        <v/>
      </c>
    </row>
    <row r="59" ht="15" customHeight="1">
      <c r="A59" s="53" t="n">
        <v>23</v>
      </c>
      <c r="B59" s="113">
        <f>IF($S59="","",IF(INDEX('Master Tracker'!$A$6:$A$400,$S59)="","",INDEX('Master Tracker'!$A$6:$A$400,$S59)))</f>
        <v/>
      </c>
      <c r="C59" s="114">
        <f>IF($S59="","",IF(INDEX('Master Tracker'!$C$6:$C$400,$S59)="","",INDEX('Master Tracker'!$C$6:$C$400,$S59)))</f>
        <v/>
      </c>
      <c r="D59" s="114">
        <f>IF($S59="","",IF(INDEX('Master Tracker'!$D$6:$D$400,$S59)="","",INDEX('Master Tracker'!$D$6:$D$400,$S59)))</f>
        <v/>
      </c>
      <c r="E59" s="53">
        <f>IF($S59="","",IF(INDEX('Master Tracker'!$F$6:$F$400,$S59)="","",INDEX('Master Tracker'!$F$6:$F$400,$S59)))</f>
        <v/>
      </c>
      <c r="F59" s="53">
        <f>IF($S59="","",IF(INDEX('Master Tracker'!$G$6:$G$400,$S59)="","",INDEX('Master Tracker'!$G$6:$G$400,$S59)))</f>
        <v/>
      </c>
      <c r="G59" s="70">
        <f>IF($S59="","",IF(INDEX('Master Tracker'!$H$6:$H$400,$S59)="","",INDEX('Master Tracker'!$H$6:$H$400,$S59)))</f>
        <v/>
      </c>
      <c r="H59" s="70">
        <f>IF($S59="","",IF(INDEX('Master Tracker'!$I$6:$I$400,$S59)="","",INDEX('Master Tracker'!$I$6:$I$400,$S59)))</f>
        <v/>
      </c>
      <c r="I59" s="115">
        <f>IF($S59="","",IF(INDEX('Master Tracker'!$U$6:$U$400,$S59)="","",INDEX('Master Tracker'!$U$6:$U$400,$S59)))</f>
        <v/>
      </c>
      <c r="J59" s="114">
        <f>IF($S59="","",IF(INDEX('Master Tracker'!$K$6:$K$400,$S59)="","",INDEX('Master Tracker'!$K$6:$K$400,$S59)))</f>
        <v/>
      </c>
      <c r="K59" s="114">
        <f>IF($S59="","",IF(INDEX('Master Tracker'!$Y$6:$Y$400,$S59)="","",INDEX('Master Tracker'!$Y$6:$Y$400,$S59)))</f>
        <v/>
      </c>
      <c r="L59" s="114">
        <f>IF($S59="","",IF(INDEX('Master Tracker'!$M$6:$M$400,$S59)="","",INDEX('Master Tracker'!$M$6:$M$400,$S59)))</f>
        <v/>
      </c>
      <c r="M59" s="114">
        <f>IF($S59="","",IF(INDEX('Master Tracker'!$O$6:$O$400,$S59)="","",INDEX('Master Tracker'!$O$6:$O$400,$S59)))</f>
        <v/>
      </c>
      <c r="N59" s="114">
        <f>IF($S59="","",IF(INDEX('Master Tracker'!$N$6:$N$400,$S59)="","",INDEX('Master Tracker'!$N$6:$N$400,$S59)))</f>
        <v/>
      </c>
      <c r="O59" s="53">
        <f>IF($S59="","",IF(INDEX('Master Tracker'!$T$6:$T$400,$S59)="","",INDEX('Master Tracker'!$T$6:$T$400,$S59)))</f>
        <v/>
      </c>
      <c r="P59" s="53">
        <f>IF($S59="","",IF(INDEX('Master Tracker'!$AC$6:$AC$400,$S59)="","",INDEX('Master Tracker'!$AC$6:$AC$400,$S59)))</f>
        <v/>
      </c>
      <c r="S59">
        <f>IFERROR(MATCH("Phase 6|"&amp;A59,'Master Tracker'!$Z$6:$Z$400,0),"")</f>
        <v/>
      </c>
    </row>
    <row r="60" ht="15" customHeight="1">
      <c r="A60" s="53" t="n">
        <v>24</v>
      </c>
      <c r="B60" s="113">
        <f>IF($S60="","",IF(INDEX('Master Tracker'!$A$6:$A$400,$S60)="","",INDEX('Master Tracker'!$A$6:$A$400,$S60)))</f>
        <v/>
      </c>
      <c r="C60" s="114">
        <f>IF($S60="","",IF(INDEX('Master Tracker'!$C$6:$C$400,$S60)="","",INDEX('Master Tracker'!$C$6:$C$400,$S60)))</f>
        <v/>
      </c>
      <c r="D60" s="114">
        <f>IF($S60="","",IF(INDEX('Master Tracker'!$D$6:$D$400,$S60)="","",INDEX('Master Tracker'!$D$6:$D$400,$S60)))</f>
        <v/>
      </c>
      <c r="E60" s="53">
        <f>IF($S60="","",IF(INDEX('Master Tracker'!$F$6:$F$400,$S60)="","",INDEX('Master Tracker'!$F$6:$F$400,$S60)))</f>
        <v/>
      </c>
      <c r="F60" s="53">
        <f>IF($S60="","",IF(INDEX('Master Tracker'!$G$6:$G$400,$S60)="","",INDEX('Master Tracker'!$G$6:$G$400,$S60)))</f>
        <v/>
      </c>
      <c r="G60" s="70">
        <f>IF($S60="","",IF(INDEX('Master Tracker'!$H$6:$H$400,$S60)="","",INDEX('Master Tracker'!$H$6:$H$400,$S60)))</f>
        <v/>
      </c>
      <c r="H60" s="70">
        <f>IF($S60="","",IF(INDEX('Master Tracker'!$I$6:$I$400,$S60)="","",INDEX('Master Tracker'!$I$6:$I$400,$S60)))</f>
        <v/>
      </c>
      <c r="I60" s="115">
        <f>IF($S60="","",IF(INDEX('Master Tracker'!$U$6:$U$400,$S60)="","",INDEX('Master Tracker'!$U$6:$U$400,$S60)))</f>
        <v/>
      </c>
      <c r="J60" s="114">
        <f>IF($S60="","",IF(INDEX('Master Tracker'!$K$6:$K$400,$S60)="","",INDEX('Master Tracker'!$K$6:$K$400,$S60)))</f>
        <v/>
      </c>
      <c r="K60" s="114">
        <f>IF($S60="","",IF(INDEX('Master Tracker'!$Y$6:$Y$400,$S60)="","",INDEX('Master Tracker'!$Y$6:$Y$400,$S60)))</f>
        <v/>
      </c>
      <c r="L60" s="114">
        <f>IF($S60="","",IF(INDEX('Master Tracker'!$M$6:$M$400,$S60)="","",INDEX('Master Tracker'!$M$6:$M$400,$S60)))</f>
        <v/>
      </c>
      <c r="M60" s="114">
        <f>IF($S60="","",IF(INDEX('Master Tracker'!$O$6:$O$400,$S60)="","",INDEX('Master Tracker'!$O$6:$O$400,$S60)))</f>
        <v/>
      </c>
      <c r="N60" s="114">
        <f>IF($S60="","",IF(INDEX('Master Tracker'!$N$6:$N$400,$S60)="","",INDEX('Master Tracker'!$N$6:$N$400,$S60)))</f>
        <v/>
      </c>
      <c r="O60" s="53">
        <f>IF($S60="","",IF(INDEX('Master Tracker'!$T$6:$T$400,$S60)="","",INDEX('Master Tracker'!$T$6:$T$400,$S60)))</f>
        <v/>
      </c>
      <c r="P60" s="53">
        <f>IF($S60="","",IF(INDEX('Master Tracker'!$AC$6:$AC$400,$S60)="","",INDEX('Master Tracker'!$AC$6:$AC$400,$S60)))</f>
        <v/>
      </c>
      <c r="S60">
        <f>IFERROR(MATCH("Phase 6|"&amp;A60,'Master Tracker'!$Z$6:$Z$400,0),"")</f>
        <v/>
      </c>
    </row>
    <row r="61" ht="15" customHeight="1">
      <c r="A61" s="53" t="n">
        <v>25</v>
      </c>
      <c r="B61" s="113">
        <f>IF($S61="","",IF(INDEX('Master Tracker'!$A$6:$A$400,$S61)="","",INDEX('Master Tracker'!$A$6:$A$400,$S61)))</f>
        <v/>
      </c>
      <c r="C61" s="114">
        <f>IF($S61="","",IF(INDEX('Master Tracker'!$C$6:$C$400,$S61)="","",INDEX('Master Tracker'!$C$6:$C$400,$S61)))</f>
        <v/>
      </c>
      <c r="D61" s="114">
        <f>IF($S61="","",IF(INDEX('Master Tracker'!$D$6:$D$400,$S61)="","",INDEX('Master Tracker'!$D$6:$D$400,$S61)))</f>
        <v/>
      </c>
      <c r="E61" s="53">
        <f>IF($S61="","",IF(INDEX('Master Tracker'!$F$6:$F$400,$S61)="","",INDEX('Master Tracker'!$F$6:$F$400,$S61)))</f>
        <v/>
      </c>
      <c r="F61" s="53">
        <f>IF($S61="","",IF(INDEX('Master Tracker'!$G$6:$G$400,$S61)="","",INDEX('Master Tracker'!$G$6:$G$400,$S61)))</f>
        <v/>
      </c>
      <c r="G61" s="70">
        <f>IF($S61="","",IF(INDEX('Master Tracker'!$H$6:$H$400,$S61)="","",INDEX('Master Tracker'!$H$6:$H$400,$S61)))</f>
        <v/>
      </c>
      <c r="H61" s="70">
        <f>IF($S61="","",IF(INDEX('Master Tracker'!$I$6:$I$400,$S61)="","",INDEX('Master Tracker'!$I$6:$I$400,$S61)))</f>
        <v/>
      </c>
      <c r="I61" s="115">
        <f>IF($S61="","",IF(INDEX('Master Tracker'!$U$6:$U$400,$S61)="","",INDEX('Master Tracker'!$U$6:$U$400,$S61)))</f>
        <v/>
      </c>
      <c r="J61" s="114">
        <f>IF($S61="","",IF(INDEX('Master Tracker'!$K$6:$K$400,$S61)="","",INDEX('Master Tracker'!$K$6:$K$400,$S61)))</f>
        <v/>
      </c>
      <c r="K61" s="114">
        <f>IF($S61="","",IF(INDEX('Master Tracker'!$Y$6:$Y$400,$S61)="","",INDEX('Master Tracker'!$Y$6:$Y$400,$S61)))</f>
        <v/>
      </c>
      <c r="L61" s="114">
        <f>IF($S61="","",IF(INDEX('Master Tracker'!$M$6:$M$400,$S61)="","",INDEX('Master Tracker'!$M$6:$M$400,$S61)))</f>
        <v/>
      </c>
      <c r="M61" s="114">
        <f>IF($S61="","",IF(INDEX('Master Tracker'!$O$6:$O$400,$S61)="","",INDEX('Master Tracker'!$O$6:$O$400,$S61)))</f>
        <v/>
      </c>
      <c r="N61" s="114">
        <f>IF($S61="","",IF(INDEX('Master Tracker'!$N$6:$N$400,$S61)="","",INDEX('Master Tracker'!$N$6:$N$400,$S61)))</f>
        <v/>
      </c>
      <c r="O61" s="53">
        <f>IF($S61="","",IF(INDEX('Master Tracker'!$T$6:$T$400,$S61)="","",INDEX('Master Tracker'!$T$6:$T$400,$S61)))</f>
        <v/>
      </c>
      <c r="P61" s="53">
        <f>IF($S61="","",IF(INDEX('Master Tracker'!$AC$6:$AC$400,$S61)="","",INDEX('Master Tracker'!$AC$6:$AC$400,$S61)))</f>
        <v/>
      </c>
      <c r="S61">
        <f>IFERROR(MATCH("Phase 6|"&amp;A61,'Master Tracker'!$Z$6:$Z$400,0),"")</f>
        <v/>
      </c>
    </row>
    <row r="62" ht="15" customHeight="1">
      <c r="A62" s="53" t="n">
        <v>26</v>
      </c>
      <c r="B62" s="113">
        <f>IF($S62="","",IF(INDEX('Master Tracker'!$A$6:$A$400,$S62)="","",INDEX('Master Tracker'!$A$6:$A$400,$S62)))</f>
        <v/>
      </c>
      <c r="C62" s="114">
        <f>IF($S62="","",IF(INDEX('Master Tracker'!$C$6:$C$400,$S62)="","",INDEX('Master Tracker'!$C$6:$C$400,$S62)))</f>
        <v/>
      </c>
      <c r="D62" s="114">
        <f>IF($S62="","",IF(INDEX('Master Tracker'!$D$6:$D$400,$S62)="","",INDEX('Master Tracker'!$D$6:$D$400,$S62)))</f>
        <v/>
      </c>
      <c r="E62" s="53">
        <f>IF($S62="","",IF(INDEX('Master Tracker'!$F$6:$F$400,$S62)="","",INDEX('Master Tracker'!$F$6:$F$400,$S62)))</f>
        <v/>
      </c>
      <c r="F62" s="53">
        <f>IF($S62="","",IF(INDEX('Master Tracker'!$G$6:$G$400,$S62)="","",INDEX('Master Tracker'!$G$6:$G$400,$S62)))</f>
        <v/>
      </c>
      <c r="G62" s="70">
        <f>IF($S62="","",IF(INDEX('Master Tracker'!$H$6:$H$400,$S62)="","",INDEX('Master Tracker'!$H$6:$H$400,$S62)))</f>
        <v/>
      </c>
      <c r="H62" s="70">
        <f>IF($S62="","",IF(INDEX('Master Tracker'!$I$6:$I$400,$S62)="","",INDEX('Master Tracker'!$I$6:$I$400,$S62)))</f>
        <v/>
      </c>
      <c r="I62" s="115">
        <f>IF($S62="","",IF(INDEX('Master Tracker'!$U$6:$U$400,$S62)="","",INDEX('Master Tracker'!$U$6:$U$400,$S62)))</f>
        <v/>
      </c>
      <c r="J62" s="114">
        <f>IF($S62="","",IF(INDEX('Master Tracker'!$K$6:$K$400,$S62)="","",INDEX('Master Tracker'!$K$6:$K$400,$S62)))</f>
        <v/>
      </c>
      <c r="K62" s="114">
        <f>IF($S62="","",IF(INDEX('Master Tracker'!$Y$6:$Y$400,$S62)="","",INDEX('Master Tracker'!$Y$6:$Y$400,$S62)))</f>
        <v/>
      </c>
      <c r="L62" s="114">
        <f>IF($S62="","",IF(INDEX('Master Tracker'!$M$6:$M$400,$S62)="","",INDEX('Master Tracker'!$M$6:$M$400,$S62)))</f>
        <v/>
      </c>
      <c r="M62" s="114">
        <f>IF($S62="","",IF(INDEX('Master Tracker'!$O$6:$O$400,$S62)="","",INDEX('Master Tracker'!$O$6:$O$400,$S62)))</f>
        <v/>
      </c>
      <c r="N62" s="114">
        <f>IF($S62="","",IF(INDEX('Master Tracker'!$N$6:$N$400,$S62)="","",INDEX('Master Tracker'!$N$6:$N$400,$S62)))</f>
        <v/>
      </c>
      <c r="O62" s="53">
        <f>IF($S62="","",IF(INDEX('Master Tracker'!$T$6:$T$400,$S62)="","",INDEX('Master Tracker'!$T$6:$T$400,$S62)))</f>
        <v/>
      </c>
      <c r="P62" s="53">
        <f>IF($S62="","",IF(INDEX('Master Tracker'!$AC$6:$AC$400,$S62)="","",INDEX('Master Tracker'!$AC$6:$AC$400,$S62)))</f>
        <v/>
      </c>
      <c r="S62">
        <f>IFERROR(MATCH("Phase 6|"&amp;A62,'Master Tracker'!$Z$6:$Z$400,0),"")</f>
        <v/>
      </c>
    </row>
    <row r="63" ht="15" customHeight="1">
      <c r="A63" s="53" t="n">
        <v>27</v>
      </c>
      <c r="B63" s="113">
        <f>IF($S63="","",IF(INDEX('Master Tracker'!$A$6:$A$400,$S63)="","",INDEX('Master Tracker'!$A$6:$A$400,$S63)))</f>
        <v/>
      </c>
      <c r="C63" s="114">
        <f>IF($S63="","",IF(INDEX('Master Tracker'!$C$6:$C$400,$S63)="","",INDEX('Master Tracker'!$C$6:$C$400,$S63)))</f>
        <v/>
      </c>
      <c r="D63" s="114">
        <f>IF($S63="","",IF(INDEX('Master Tracker'!$D$6:$D$400,$S63)="","",INDEX('Master Tracker'!$D$6:$D$400,$S63)))</f>
        <v/>
      </c>
      <c r="E63" s="53">
        <f>IF($S63="","",IF(INDEX('Master Tracker'!$F$6:$F$400,$S63)="","",INDEX('Master Tracker'!$F$6:$F$400,$S63)))</f>
        <v/>
      </c>
      <c r="F63" s="53">
        <f>IF($S63="","",IF(INDEX('Master Tracker'!$G$6:$G$400,$S63)="","",INDEX('Master Tracker'!$G$6:$G$400,$S63)))</f>
        <v/>
      </c>
      <c r="G63" s="70">
        <f>IF($S63="","",IF(INDEX('Master Tracker'!$H$6:$H$400,$S63)="","",INDEX('Master Tracker'!$H$6:$H$400,$S63)))</f>
        <v/>
      </c>
      <c r="H63" s="70">
        <f>IF($S63="","",IF(INDEX('Master Tracker'!$I$6:$I$400,$S63)="","",INDEX('Master Tracker'!$I$6:$I$400,$S63)))</f>
        <v/>
      </c>
      <c r="I63" s="115">
        <f>IF($S63="","",IF(INDEX('Master Tracker'!$U$6:$U$400,$S63)="","",INDEX('Master Tracker'!$U$6:$U$400,$S63)))</f>
        <v/>
      </c>
      <c r="J63" s="114">
        <f>IF($S63="","",IF(INDEX('Master Tracker'!$K$6:$K$400,$S63)="","",INDEX('Master Tracker'!$K$6:$K$400,$S63)))</f>
        <v/>
      </c>
      <c r="K63" s="114">
        <f>IF($S63="","",IF(INDEX('Master Tracker'!$Y$6:$Y$400,$S63)="","",INDEX('Master Tracker'!$Y$6:$Y$400,$S63)))</f>
        <v/>
      </c>
      <c r="L63" s="114">
        <f>IF($S63="","",IF(INDEX('Master Tracker'!$M$6:$M$400,$S63)="","",INDEX('Master Tracker'!$M$6:$M$400,$S63)))</f>
        <v/>
      </c>
      <c r="M63" s="114">
        <f>IF($S63="","",IF(INDEX('Master Tracker'!$O$6:$O$400,$S63)="","",INDEX('Master Tracker'!$O$6:$O$400,$S63)))</f>
        <v/>
      </c>
      <c r="N63" s="114">
        <f>IF($S63="","",IF(INDEX('Master Tracker'!$N$6:$N$400,$S63)="","",INDEX('Master Tracker'!$N$6:$N$400,$S63)))</f>
        <v/>
      </c>
      <c r="O63" s="53">
        <f>IF($S63="","",IF(INDEX('Master Tracker'!$T$6:$T$400,$S63)="","",INDEX('Master Tracker'!$T$6:$T$400,$S63)))</f>
        <v/>
      </c>
      <c r="P63" s="53">
        <f>IF($S63="","",IF(INDEX('Master Tracker'!$AC$6:$AC$400,$S63)="","",INDEX('Master Tracker'!$AC$6:$AC$400,$S63)))</f>
        <v/>
      </c>
      <c r="S63">
        <f>IFERROR(MATCH("Phase 6|"&amp;A63,'Master Tracker'!$Z$6:$Z$400,0),"")</f>
        <v/>
      </c>
    </row>
    <row r="64" ht="15" customHeight="1">
      <c r="A64" s="53" t="n">
        <v>28</v>
      </c>
      <c r="B64" s="113">
        <f>IF($S64="","",IF(INDEX('Master Tracker'!$A$6:$A$400,$S64)="","",INDEX('Master Tracker'!$A$6:$A$400,$S64)))</f>
        <v/>
      </c>
      <c r="C64" s="114">
        <f>IF($S64="","",IF(INDEX('Master Tracker'!$C$6:$C$400,$S64)="","",INDEX('Master Tracker'!$C$6:$C$400,$S64)))</f>
        <v/>
      </c>
      <c r="D64" s="114">
        <f>IF($S64="","",IF(INDEX('Master Tracker'!$D$6:$D$400,$S64)="","",INDEX('Master Tracker'!$D$6:$D$400,$S64)))</f>
        <v/>
      </c>
      <c r="E64" s="53">
        <f>IF($S64="","",IF(INDEX('Master Tracker'!$F$6:$F$400,$S64)="","",INDEX('Master Tracker'!$F$6:$F$400,$S64)))</f>
        <v/>
      </c>
      <c r="F64" s="53">
        <f>IF($S64="","",IF(INDEX('Master Tracker'!$G$6:$G$400,$S64)="","",INDEX('Master Tracker'!$G$6:$G$400,$S64)))</f>
        <v/>
      </c>
      <c r="G64" s="70">
        <f>IF($S64="","",IF(INDEX('Master Tracker'!$H$6:$H$400,$S64)="","",INDEX('Master Tracker'!$H$6:$H$400,$S64)))</f>
        <v/>
      </c>
      <c r="H64" s="70">
        <f>IF($S64="","",IF(INDEX('Master Tracker'!$I$6:$I$400,$S64)="","",INDEX('Master Tracker'!$I$6:$I$400,$S64)))</f>
        <v/>
      </c>
      <c r="I64" s="115">
        <f>IF($S64="","",IF(INDEX('Master Tracker'!$U$6:$U$400,$S64)="","",INDEX('Master Tracker'!$U$6:$U$400,$S64)))</f>
        <v/>
      </c>
      <c r="J64" s="114">
        <f>IF($S64="","",IF(INDEX('Master Tracker'!$K$6:$K$400,$S64)="","",INDEX('Master Tracker'!$K$6:$K$400,$S64)))</f>
        <v/>
      </c>
      <c r="K64" s="114">
        <f>IF($S64="","",IF(INDEX('Master Tracker'!$Y$6:$Y$400,$S64)="","",INDEX('Master Tracker'!$Y$6:$Y$400,$S64)))</f>
        <v/>
      </c>
      <c r="L64" s="114">
        <f>IF($S64="","",IF(INDEX('Master Tracker'!$M$6:$M$400,$S64)="","",INDEX('Master Tracker'!$M$6:$M$400,$S64)))</f>
        <v/>
      </c>
      <c r="M64" s="114">
        <f>IF($S64="","",IF(INDEX('Master Tracker'!$O$6:$O$400,$S64)="","",INDEX('Master Tracker'!$O$6:$O$400,$S64)))</f>
        <v/>
      </c>
      <c r="N64" s="114">
        <f>IF($S64="","",IF(INDEX('Master Tracker'!$N$6:$N$400,$S64)="","",INDEX('Master Tracker'!$N$6:$N$400,$S64)))</f>
        <v/>
      </c>
      <c r="O64" s="53">
        <f>IF($S64="","",IF(INDEX('Master Tracker'!$T$6:$T$400,$S64)="","",INDEX('Master Tracker'!$T$6:$T$400,$S64)))</f>
        <v/>
      </c>
      <c r="P64" s="53">
        <f>IF($S64="","",IF(INDEX('Master Tracker'!$AC$6:$AC$400,$S64)="","",INDEX('Master Tracker'!$AC$6:$AC$400,$S64)))</f>
        <v/>
      </c>
      <c r="S64">
        <f>IFERROR(MATCH("Phase 6|"&amp;A64,'Master Tracker'!$Z$6:$Z$400,0),"")</f>
        <v/>
      </c>
    </row>
    <row r="65" ht="15" customHeight="1">
      <c r="A65" s="53" t="n">
        <v>29</v>
      </c>
      <c r="B65" s="113">
        <f>IF($S65="","",IF(INDEX('Master Tracker'!$A$6:$A$400,$S65)="","",INDEX('Master Tracker'!$A$6:$A$400,$S65)))</f>
        <v/>
      </c>
      <c r="C65" s="114">
        <f>IF($S65="","",IF(INDEX('Master Tracker'!$C$6:$C$400,$S65)="","",INDEX('Master Tracker'!$C$6:$C$400,$S65)))</f>
        <v/>
      </c>
      <c r="D65" s="114">
        <f>IF($S65="","",IF(INDEX('Master Tracker'!$D$6:$D$400,$S65)="","",INDEX('Master Tracker'!$D$6:$D$400,$S65)))</f>
        <v/>
      </c>
      <c r="E65" s="53">
        <f>IF($S65="","",IF(INDEX('Master Tracker'!$F$6:$F$400,$S65)="","",INDEX('Master Tracker'!$F$6:$F$400,$S65)))</f>
        <v/>
      </c>
      <c r="F65" s="53">
        <f>IF($S65="","",IF(INDEX('Master Tracker'!$G$6:$G$400,$S65)="","",INDEX('Master Tracker'!$G$6:$G$400,$S65)))</f>
        <v/>
      </c>
      <c r="G65" s="70">
        <f>IF($S65="","",IF(INDEX('Master Tracker'!$H$6:$H$400,$S65)="","",INDEX('Master Tracker'!$H$6:$H$400,$S65)))</f>
        <v/>
      </c>
      <c r="H65" s="70">
        <f>IF($S65="","",IF(INDEX('Master Tracker'!$I$6:$I$400,$S65)="","",INDEX('Master Tracker'!$I$6:$I$400,$S65)))</f>
        <v/>
      </c>
      <c r="I65" s="115">
        <f>IF($S65="","",IF(INDEX('Master Tracker'!$U$6:$U$400,$S65)="","",INDEX('Master Tracker'!$U$6:$U$400,$S65)))</f>
        <v/>
      </c>
      <c r="J65" s="114">
        <f>IF($S65="","",IF(INDEX('Master Tracker'!$K$6:$K$400,$S65)="","",INDEX('Master Tracker'!$K$6:$K$400,$S65)))</f>
        <v/>
      </c>
      <c r="K65" s="114">
        <f>IF($S65="","",IF(INDEX('Master Tracker'!$Y$6:$Y$400,$S65)="","",INDEX('Master Tracker'!$Y$6:$Y$400,$S65)))</f>
        <v/>
      </c>
      <c r="L65" s="114">
        <f>IF($S65="","",IF(INDEX('Master Tracker'!$M$6:$M$400,$S65)="","",INDEX('Master Tracker'!$M$6:$M$400,$S65)))</f>
        <v/>
      </c>
      <c r="M65" s="114">
        <f>IF($S65="","",IF(INDEX('Master Tracker'!$O$6:$O$400,$S65)="","",INDEX('Master Tracker'!$O$6:$O$400,$S65)))</f>
        <v/>
      </c>
      <c r="N65" s="114">
        <f>IF($S65="","",IF(INDEX('Master Tracker'!$N$6:$N$400,$S65)="","",INDEX('Master Tracker'!$N$6:$N$400,$S65)))</f>
        <v/>
      </c>
      <c r="O65" s="53">
        <f>IF($S65="","",IF(INDEX('Master Tracker'!$T$6:$T$400,$S65)="","",INDEX('Master Tracker'!$T$6:$T$400,$S65)))</f>
        <v/>
      </c>
      <c r="P65" s="53">
        <f>IF($S65="","",IF(INDEX('Master Tracker'!$AC$6:$AC$400,$S65)="","",INDEX('Master Tracker'!$AC$6:$AC$400,$S65)))</f>
        <v/>
      </c>
      <c r="S65">
        <f>IFERROR(MATCH("Phase 6|"&amp;A65,'Master Tracker'!$Z$6:$Z$400,0),"")</f>
        <v/>
      </c>
    </row>
    <row r="66" ht="15" customHeight="1">
      <c r="A66" s="53" t="n">
        <v>30</v>
      </c>
      <c r="B66" s="113">
        <f>IF($S66="","",IF(INDEX('Master Tracker'!$A$6:$A$400,$S66)="","",INDEX('Master Tracker'!$A$6:$A$400,$S66)))</f>
        <v/>
      </c>
      <c r="C66" s="114">
        <f>IF($S66="","",IF(INDEX('Master Tracker'!$C$6:$C$400,$S66)="","",INDEX('Master Tracker'!$C$6:$C$400,$S66)))</f>
        <v/>
      </c>
      <c r="D66" s="114">
        <f>IF($S66="","",IF(INDEX('Master Tracker'!$D$6:$D$400,$S66)="","",INDEX('Master Tracker'!$D$6:$D$400,$S66)))</f>
        <v/>
      </c>
      <c r="E66" s="53">
        <f>IF($S66="","",IF(INDEX('Master Tracker'!$F$6:$F$400,$S66)="","",INDEX('Master Tracker'!$F$6:$F$400,$S66)))</f>
        <v/>
      </c>
      <c r="F66" s="53">
        <f>IF($S66="","",IF(INDEX('Master Tracker'!$G$6:$G$400,$S66)="","",INDEX('Master Tracker'!$G$6:$G$400,$S66)))</f>
        <v/>
      </c>
      <c r="G66" s="70">
        <f>IF($S66="","",IF(INDEX('Master Tracker'!$H$6:$H$400,$S66)="","",INDEX('Master Tracker'!$H$6:$H$400,$S66)))</f>
        <v/>
      </c>
      <c r="H66" s="70">
        <f>IF($S66="","",IF(INDEX('Master Tracker'!$I$6:$I$400,$S66)="","",INDEX('Master Tracker'!$I$6:$I$400,$S66)))</f>
        <v/>
      </c>
      <c r="I66" s="115">
        <f>IF($S66="","",IF(INDEX('Master Tracker'!$U$6:$U$400,$S66)="","",INDEX('Master Tracker'!$U$6:$U$400,$S66)))</f>
        <v/>
      </c>
      <c r="J66" s="114">
        <f>IF($S66="","",IF(INDEX('Master Tracker'!$K$6:$K$400,$S66)="","",INDEX('Master Tracker'!$K$6:$K$400,$S66)))</f>
        <v/>
      </c>
      <c r="K66" s="114">
        <f>IF($S66="","",IF(INDEX('Master Tracker'!$Y$6:$Y$400,$S66)="","",INDEX('Master Tracker'!$Y$6:$Y$400,$S66)))</f>
        <v/>
      </c>
      <c r="L66" s="114">
        <f>IF($S66="","",IF(INDEX('Master Tracker'!$M$6:$M$400,$S66)="","",INDEX('Master Tracker'!$M$6:$M$400,$S66)))</f>
        <v/>
      </c>
      <c r="M66" s="114">
        <f>IF($S66="","",IF(INDEX('Master Tracker'!$O$6:$O$400,$S66)="","",INDEX('Master Tracker'!$O$6:$O$400,$S66)))</f>
        <v/>
      </c>
      <c r="N66" s="114">
        <f>IF($S66="","",IF(INDEX('Master Tracker'!$N$6:$N$400,$S66)="","",INDEX('Master Tracker'!$N$6:$N$400,$S66)))</f>
        <v/>
      </c>
      <c r="O66" s="53">
        <f>IF($S66="","",IF(INDEX('Master Tracker'!$T$6:$T$400,$S66)="","",INDEX('Master Tracker'!$T$6:$T$400,$S66)))</f>
        <v/>
      </c>
      <c r="P66" s="53">
        <f>IF($S66="","",IF(INDEX('Master Tracker'!$AC$6:$AC$400,$S66)="","",INDEX('Master Tracker'!$AC$6:$AC$400,$S66)))</f>
        <v/>
      </c>
      <c r="S66">
        <f>IFERROR(MATCH("Phase 6|"&amp;A66,'Master Tracker'!$Z$6:$Z$400,0),"")</f>
        <v/>
      </c>
    </row>
  </sheetData>
  <mergeCells count="48">
    <mergeCell ref="B32:R32"/>
    <mergeCell ref="B26:R26"/>
    <mergeCell ref="A7:R7"/>
    <mergeCell ref="A15:H15"/>
    <mergeCell ref="J5:K5"/>
    <mergeCell ref="J15:R15"/>
    <mergeCell ref="E5:F5"/>
    <mergeCell ref="A3:C3"/>
    <mergeCell ref="B25:R25"/>
    <mergeCell ref="B31:R31"/>
    <mergeCell ref="J20:R20"/>
    <mergeCell ref="J16:R16"/>
    <mergeCell ref="H6:I6"/>
    <mergeCell ref="B27:R27"/>
    <mergeCell ref="A5:C5"/>
    <mergeCell ref="J6:K6"/>
    <mergeCell ref="A2:R2"/>
    <mergeCell ref="A16:H16"/>
    <mergeCell ref="A23:R23"/>
    <mergeCell ref="J21:R21"/>
    <mergeCell ref="A35:R35"/>
    <mergeCell ref="A12:H12"/>
    <mergeCell ref="J12:R12"/>
    <mergeCell ref="A18:H18"/>
    <mergeCell ref="E6:F6"/>
    <mergeCell ref="A21:H21"/>
    <mergeCell ref="P5:R5"/>
    <mergeCell ref="J18:R18"/>
    <mergeCell ref="B29:R29"/>
    <mergeCell ref="A10:R10"/>
    <mergeCell ref="A14:H14"/>
    <mergeCell ref="B28:R28"/>
    <mergeCell ref="A9:R9"/>
    <mergeCell ref="J17:R17"/>
    <mergeCell ref="A17:H17"/>
    <mergeCell ref="J14:R14"/>
    <mergeCell ref="B30:R30"/>
    <mergeCell ref="A20:H20"/>
    <mergeCell ref="J19:R19"/>
    <mergeCell ref="A6:C6"/>
    <mergeCell ref="B24:R24"/>
    <mergeCell ref="H5:I5"/>
    <mergeCell ref="A13:H13"/>
    <mergeCell ref="A1:R1"/>
    <mergeCell ref="J13:R13"/>
    <mergeCell ref="A19:H19"/>
    <mergeCell ref="B33:R33"/>
    <mergeCell ref="P6:R6"/>
  </mergeCells>
  <conditionalFormatting sqref="P6">
    <cfRule type="expression" priority="1" dxfId="20">
      <formula>$P$6="Complete"</formula>
    </cfRule>
    <cfRule type="expression" priority="2" dxfId="21">
      <formula>$P$6="On Track"</formula>
    </cfRule>
    <cfRule type="expression" priority="3" dxfId="22">
      <formula>$P$6="Behind"</formula>
    </cfRule>
    <cfRule type="expression" priority="4" dxfId="22">
      <formula>$P$6="Blocked"</formula>
    </cfRule>
  </conditionalFormatting>
  <conditionalFormatting sqref="F37:F66">
    <cfRule type="expression" priority="5" dxfId="4">
      <formula>$F37="Completed"</formula>
    </cfRule>
    <cfRule type="expression" priority="6" dxfId="5">
      <formula>$F37="In Progress"</formula>
    </cfRule>
    <cfRule type="expression" priority="7" dxfId="11">
      <formula>$F37="Testing"</formula>
    </cfRule>
    <cfRule type="expression" priority="8" dxfId="11">
      <formula>$F37="In Review"</formula>
    </cfRule>
    <cfRule type="expression" priority="9" dxfId="6">
      <formula>$F37="Blocked"</formula>
    </cfRule>
    <cfRule type="expression" priority="10" dxfId="7">
      <formula>$F37="Not Started"</formula>
    </cfRule>
  </conditionalFormatting>
  <conditionalFormatting sqref="I37:I66">
    <cfRule type="dataBar" priority="11">
      <dataBar>
        <cfvo type="num" val="0"/>
        <cfvo type="num" val="1"/>
        <color rgb="0010B981"/>
      </dataBar>
    </cfRule>
  </conditionalFormatting>
  <conditionalFormatting sqref="P37:P66">
    <cfRule type="expression" priority="12" dxfId="16">
      <formula>$P37="Overdue"</formula>
    </cfRule>
    <cfRule type="expression" priority="13" dxfId="16">
      <formula>$P37="Blocked"</formula>
    </cfRule>
    <cfRule type="expression" priority="14" dxfId="19">
      <formula>$P37="Due soon"</formula>
    </cfRule>
    <cfRule type="expression" priority="15" dxfId="4">
      <formula>$P37="Done"</formula>
    </cfRule>
    <cfRule type="expression" priority="16" dxfId="11">
      <formula>$P37="Dependency open"</formula>
    </cfRule>
    <cfRule type="expression" priority="17" dxfId="11">
      <formula>$P37="External req."</formula>
    </cfRule>
    <cfRule type="expression" priority="18" dxfId="5">
      <formula>$P37="On track"</formula>
    </cfRule>
  </conditionalFormatting>
  <conditionalFormatting sqref="O37:O66">
    <cfRule type="expression" priority="19" dxfId="4">
      <formula>$O37="Pass"</formula>
    </cfRule>
    <cfRule type="expression" priority="20" dxfId="6">
      <formula>$O37="Fail"</formula>
    </cfRule>
    <cfRule type="expression" priority="21" dxfId="11">
      <formula>$O37="Partial"</formula>
    </cfRule>
  </conditionalFormatting>
  <hyperlinks>
    <hyperlink xmlns:r="http://schemas.openxmlformats.org/officeDocument/2006/relationships" ref="A3" r:id="rId1"/>
    <hyperlink xmlns:r="http://schemas.openxmlformats.org/officeDocument/2006/relationships" ref="D3" r:id="rId2"/>
    <hyperlink xmlns:r="http://schemas.openxmlformats.org/officeDocument/2006/relationships" ref="F3" r:id="rId3"/>
  </hyperlinks>
  <pageMargins left="0.75" right="0.75" top="1" bottom="1" header="0.5" footer="0.5"/>
  <pageSetup orientation="landscape" fitToHeight="0" fitToWidth="1"/>
</worksheet>
</file>

<file path=xl/worksheets/sheet9.xml><?xml version="1.0" encoding="utf-8"?>
<worksheet xmlns="http://schemas.openxmlformats.org/spreadsheetml/2006/main">
  <sheetPr>
    <tabColor rgb="0064748B"/>
    <outlinePr summaryBelow="1" summaryRight="1"/>
    <pageSetUpPr fitToPage="1"/>
  </sheetPr>
  <dimension ref="A1:K141"/>
  <sheetViews>
    <sheetView showGridLines="0" zoomScale="90" workbookViewId="0">
      <pane xSplit="3" ySplit="31" topLeftCell="D3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4" customWidth="1" min="3" max="3"/>
    <col width="44" customWidth="1" min="4" max="4"/>
    <col width="20" customWidth="1" min="5" max="5"/>
    <col width="20" customWidth="1" min="6" max="6"/>
    <col width="8" customWidth="1" min="7" max="7"/>
    <col width="10" customWidth="1" min="8" max="8"/>
    <col width="10" customWidth="1" min="9" max="9"/>
    <col width="11" customWidth="1" min="10" max="10"/>
    <col width="34" customWidth="1" min="11" max="11"/>
  </cols>
  <sheetData>
    <row r="1" ht="34" customHeight="1">
      <c r="A1" s="1" t="inlineStr">
        <is>
          <t xml:space="preserve">  QA &amp; TESTING CHECKLISTS</t>
        </is>
      </c>
      <c r="B1" s="2" t="n"/>
      <c r="C1" s="2" t="n"/>
      <c r="D1" s="2" t="n"/>
      <c r="E1" s="2" t="n"/>
      <c r="F1" s="2" t="n"/>
      <c r="G1" s="2" t="n"/>
      <c r="H1" s="2" t="n"/>
      <c r="I1" s="2" t="n"/>
      <c r="J1" s="2" t="n"/>
      <c r="K1" s="2" t="n"/>
    </row>
    <row r="2" ht="20" customHeight="1">
      <c r="A2" s="3" t="inlineStr">
        <is>
          <t xml:space="preserve">  Run on staging. Set Result from the dropdown; summary and pass rates update automatically.</t>
        </is>
      </c>
      <c r="B2" s="4" t="n"/>
      <c r="C2" s="4" t="n"/>
      <c r="D2" s="4" t="n"/>
      <c r="E2" s="4" t="n"/>
      <c r="F2" s="4" t="n"/>
      <c r="G2" s="4" t="n"/>
      <c r="H2" s="4" t="n"/>
      <c r="I2" s="4" t="n"/>
      <c r="J2" s="4" t="n"/>
      <c r="K2" s="4" t="n"/>
    </row>
    <row r="3">
      <c r="A3" s="87" t="inlineStr">
        <is>
          <t>← Dashboard</t>
        </is>
      </c>
      <c r="C3" s="7" t="inlineStr">
        <is>
          <t>Staging ↗</t>
        </is>
      </c>
    </row>
    <row r="5">
      <c r="B5" s="48" t="inlineStr">
        <is>
          <t>Area</t>
        </is>
      </c>
      <c r="C5" s="48" t="inlineStr">
        <is>
          <t>Cases</t>
        </is>
      </c>
      <c r="D5" s="48" t="inlineStr">
        <is>
          <t>Pass</t>
        </is>
      </c>
      <c r="E5" s="48" t="inlineStr">
        <is>
          <t>Fail</t>
        </is>
      </c>
      <c r="F5" s="48" t="inlineStr">
        <is>
          <t>Blocked</t>
        </is>
      </c>
      <c r="G5" s="48" t="inlineStr">
        <is>
          <t>Not Run</t>
        </is>
      </c>
      <c r="H5" s="48" t="inlineStr">
        <is>
          <t>Pass rate</t>
        </is>
      </c>
    </row>
    <row r="6">
      <c r="B6" s="79" t="inlineStr">
        <is>
          <t>Template 1: Homepage</t>
        </is>
      </c>
      <c r="C6" s="58">
        <f>COUNTIF($B$32:$B$141,B6)</f>
        <v/>
      </c>
      <c r="D6" s="58">
        <f>COUNTIFS($B$32:$B$141,B6,$I$32:$I$141,"Pass")</f>
        <v/>
      </c>
      <c r="E6" s="58">
        <f>COUNTIFS($B$32:$B$141,B6,$I$32:$I$141,"Fail")</f>
        <v/>
      </c>
      <c r="F6" s="58">
        <f>COUNTIFS($B$32:$B$141,B6,$I$32:$I$141,"Blocked")</f>
        <v/>
      </c>
      <c r="G6" s="58">
        <f>COUNTIFS($B$32:$B$141,B6,$I$32:$I$141,"Not Run")</f>
        <v/>
      </c>
      <c r="H6" s="59">
        <f>IFERROR(D6/(C6-COUNTIFS($B$32:$B$141,B6,$I$32:$I$141,"N/A")),0)</f>
        <v/>
      </c>
    </row>
    <row r="7">
      <c r="B7" s="78" t="inlineStr">
        <is>
          <t>Template 2: Single Article</t>
        </is>
      </c>
      <c r="C7" s="53">
        <f>COUNTIF($B$32:$B$141,B7)</f>
        <v/>
      </c>
      <c r="D7" s="53">
        <f>COUNTIFS($B$32:$B$141,B7,$I$32:$I$141,"Pass")</f>
        <v/>
      </c>
      <c r="E7" s="53">
        <f>COUNTIFS($B$32:$B$141,B7,$I$32:$I$141,"Fail")</f>
        <v/>
      </c>
      <c r="F7" s="53">
        <f>COUNTIFS($B$32:$B$141,B7,$I$32:$I$141,"Blocked")</f>
        <v/>
      </c>
      <c r="G7" s="53">
        <f>COUNTIFS($B$32:$B$141,B7,$I$32:$I$141,"Not Run")</f>
        <v/>
      </c>
      <c r="H7" s="54">
        <f>IFERROR(D7/(C7-COUNTIFS($B$32:$B$141,B7,$I$32:$I$141,"N/A")),0)</f>
        <v/>
      </c>
    </row>
    <row r="8">
      <c r="B8" s="79" t="inlineStr">
        <is>
          <t>Template 3: Category Archive</t>
        </is>
      </c>
      <c r="C8" s="58">
        <f>COUNTIF($B$32:$B$141,B8)</f>
        <v/>
      </c>
      <c r="D8" s="58">
        <f>COUNTIFS($B$32:$B$141,B8,$I$32:$I$141,"Pass")</f>
        <v/>
      </c>
      <c r="E8" s="58">
        <f>COUNTIFS($B$32:$B$141,B8,$I$32:$I$141,"Fail")</f>
        <v/>
      </c>
      <c r="F8" s="58">
        <f>COUNTIFS($B$32:$B$141,B8,$I$32:$I$141,"Blocked")</f>
        <v/>
      </c>
      <c r="G8" s="58">
        <f>COUNTIFS($B$32:$B$141,B8,$I$32:$I$141,"Not Run")</f>
        <v/>
      </c>
      <c r="H8" s="59">
        <f>IFERROR(D8/(C8-COUNTIFS($B$32:$B$141,B8,$I$32:$I$141,"N/A")),0)</f>
        <v/>
      </c>
    </row>
    <row r="9">
      <c r="B9" s="78" t="inlineStr">
        <is>
          <t>Template 4: Author Profile</t>
        </is>
      </c>
      <c r="C9" s="53">
        <f>COUNTIF($B$32:$B$141,B9)</f>
        <v/>
      </c>
      <c r="D9" s="53">
        <f>COUNTIFS($B$32:$B$141,B9,$I$32:$I$141,"Pass")</f>
        <v/>
      </c>
      <c r="E9" s="53">
        <f>COUNTIFS($B$32:$B$141,B9,$I$32:$I$141,"Fail")</f>
        <v/>
      </c>
      <c r="F9" s="53">
        <f>COUNTIFS($B$32:$B$141,B9,$I$32:$I$141,"Blocked")</f>
        <v/>
      </c>
      <c r="G9" s="53">
        <f>COUNTIFS($B$32:$B$141,B9,$I$32:$I$141,"Not Run")</f>
        <v/>
      </c>
      <c r="H9" s="54">
        <f>IFERROR(D9/(C9-COUNTIFS($B$32:$B$141,B9,$I$32:$I$141,"N/A")),0)</f>
        <v/>
      </c>
    </row>
    <row r="10">
      <c r="B10" s="79" t="inlineStr">
        <is>
          <t>Template 5: Issues Archive</t>
        </is>
      </c>
      <c r="C10" s="58">
        <f>COUNTIF($B$32:$B$141,B10)</f>
        <v/>
      </c>
      <c r="D10" s="58">
        <f>COUNTIFS($B$32:$B$141,B10,$I$32:$I$141,"Pass")</f>
        <v/>
      </c>
      <c r="E10" s="58">
        <f>COUNTIFS($B$32:$B$141,B10,$I$32:$I$141,"Fail")</f>
        <v/>
      </c>
      <c r="F10" s="58">
        <f>COUNTIFS($B$32:$B$141,B10,$I$32:$I$141,"Blocked")</f>
        <v/>
      </c>
      <c r="G10" s="58">
        <f>COUNTIFS($B$32:$B$141,B10,$I$32:$I$141,"Not Run")</f>
        <v/>
      </c>
      <c r="H10" s="59">
        <f>IFERROR(D10/(C10-COUNTIFS($B$32:$B$141,B10,$I$32:$I$141,"N/A")),0)</f>
        <v/>
      </c>
    </row>
    <row r="11">
      <c r="B11" s="78" t="inlineStr">
        <is>
          <t>Template 6: Single Issue</t>
        </is>
      </c>
      <c r="C11" s="53">
        <f>COUNTIF($B$32:$B$141,B11)</f>
        <v/>
      </c>
      <c r="D11" s="53">
        <f>COUNTIFS($B$32:$B$141,B11,$I$32:$I$141,"Pass")</f>
        <v/>
      </c>
      <c r="E11" s="53">
        <f>COUNTIFS($B$32:$B$141,B11,$I$32:$I$141,"Fail")</f>
        <v/>
      </c>
      <c r="F11" s="53">
        <f>COUNTIFS($B$32:$B$141,B11,$I$32:$I$141,"Blocked")</f>
        <v/>
      </c>
      <c r="G11" s="53">
        <f>COUNTIFS($B$32:$B$141,B11,$I$32:$I$141,"Not Run")</f>
        <v/>
      </c>
      <c r="H11" s="54">
        <f>IFERROR(D11/(C11-COUNTIFS($B$32:$B$141,B11,$I$32:$I$141,"N/A")),0)</f>
        <v/>
      </c>
    </row>
    <row r="12">
      <c r="B12" s="79" t="inlineStr">
        <is>
          <t>Template 7: Advertise</t>
        </is>
      </c>
      <c r="C12" s="58">
        <f>COUNTIF($B$32:$B$141,B12)</f>
        <v/>
      </c>
      <c r="D12" s="58">
        <f>COUNTIFS($B$32:$B$141,B12,$I$32:$I$141,"Pass")</f>
        <v/>
      </c>
      <c r="E12" s="58">
        <f>COUNTIFS($B$32:$B$141,B12,$I$32:$I$141,"Fail")</f>
        <v/>
      </c>
      <c r="F12" s="58">
        <f>COUNTIFS($B$32:$B$141,B12,$I$32:$I$141,"Blocked")</f>
        <v/>
      </c>
      <c r="G12" s="58">
        <f>COUNTIFS($B$32:$B$141,B12,$I$32:$I$141,"Not Run")</f>
        <v/>
      </c>
      <c r="H12" s="59">
        <f>IFERROR(D12/(C12-COUNTIFS($B$32:$B$141,B12,$I$32:$I$141,"N/A")),0)</f>
        <v/>
      </c>
    </row>
    <row r="13">
      <c r="B13" s="78" t="inlineStr">
        <is>
          <t>Template 8: About</t>
        </is>
      </c>
      <c r="C13" s="53">
        <f>COUNTIF($B$32:$B$141,B13)</f>
        <v/>
      </c>
      <c r="D13" s="53">
        <f>COUNTIFS($B$32:$B$141,B13,$I$32:$I$141,"Pass")</f>
        <v/>
      </c>
      <c r="E13" s="53">
        <f>COUNTIFS($B$32:$B$141,B13,$I$32:$I$141,"Fail")</f>
        <v/>
      </c>
      <c r="F13" s="53">
        <f>COUNTIFS($B$32:$B$141,B13,$I$32:$I$141,"Blocked")</f>
        <v/>
      </c>
      <c r="G13" s="53">
        <f>COUNTIFS($B$32:$B$141,B13,$I$32:$I$141,"Not Run")</f>
        <v/>
      </c>
      <c r="H13" s="54">
        <f>IFERROR(D13/(C13-COUNTIFS($B$32:$B$141,B13,$I$32:$I$141,"N/A")),0)</f>
        <v/>
      </c>
    </row>
    <row r="14">
      <c r="B14" s="79" t="inlineStr">
        <is>
          <t>Template 9: Contact</t>
        </is>
      </c>
      <c r="C14" s="58">
        <f>COUNTIF($B$32:$B$141,B14)</f>
        <v/>
      </c>
      <c r="D14" s="58">
        <f>COUNTIFS($B$32:$B$141,B14,$I$32:$I$141,"Pass")</f>
        <v/>
      </c>
      <c r="E14" s="58">
        <f>COUNTIFS($B$32:$B$141,B14,$I$32:$I$141,"Fail")</f>
        <v/>
      </c>
      <c r="F14" s="58">
        <f>COUNTIFS($B$32:$B$141,B14,$I$32:$I$141,"Blocked")</f>
        <v/>
      </c>
      <c r="G14" s="58">
        <f>COUNTIFS($B$32:$B$141,B14,$I$32:$I$141,"Not Run")</f>
        <v/>
      </c>
      <c r="H14" s="59">
        <f>IFERROR(D14/(C14-COUNTIFS($B$32:$B$141,B14,$I$32:$I$141,"N/A")),0)</f>
        <v/>
      </c>
    </row>
    <row r="15">
      <c r="B15" s="78" t="inlineStr">
        <is>
          <t>WordPress Dynamic Content</t>
        </is>
      </c>
      <c r="C15" s="53">
        <f>COUNTIF($B$32:$B$141,B15)</f>
        <v/>
      </c>
      <c r="D15" s="53">
        <f>COUNTIFS($B$32:$B$141,B15,$I$32:$I$141,"Pass")</f>
        <v/>
      </c>
      <c r="E15" s="53">
        <f>COUNTIFS($B$32:$B$141,B15,$I$32:$I$141,"Fail")</f>
        <v/>
      </c>
      <c r="F15" s="53">
        <f>COUNTIFS($B$32:$B$141,B15,$I$32:$I$141,"Blocked")</f>
        <v/>
      </c>
      <c r="G15" s="53">
        <f>COUNTIFS($B$32:$B$141,B15,$I$32:$I$141,"Not Run")</f>
        <v/>
      </c>
      <c r="H15" s="54">
        <f>IFERROR(D15/(C15-COUNTIFS($B$32:$B$141,B15,$I$32:$I$141,"N/A")),0)</f>
        <v/>
      </c>
    </row>
    <row r="16">
      <c r="B16" s="79" t="inlineStr">
        <is>
          <t>RTL Layout</t>
        </is>
      </c>
      <c r="C16" s="58">
        <f>COUNTIF($B$32:$B$141,B16)</f>
        <v/>
      </c>
      <c r="D16" s="58">
        <f>COUNTIFS($B$32:$B$141,B16,$I$32:$I$141,"Pass")</f>
        <v/>
      </c>
      <c r="E16" s="58">
        <f>COUNTIFS($B$32:$B$141,B16,$I$32:$I$141,"Fail")</f>
        <v/>
      </c>
      <c r="F16" s="58">
        <f>COUNTIFS($B$32:$B$141,B16,$I$32:$I$141,"Blocked")</f>
        <v/>
      </c>
      <c r="G16" s="58">
        <f>COUNTIFS($B$32:$B$141,B16,$I$32:$I$141,"Not Run")</f>
        <v/>
      </c>
      <c r="H16" s="59">
        <f>IFERROR(D16/(C16-COUNTIFS($B$32:$B$141,B16,$I$32:$I$141,"N/A")),0)</f>
        <v/>
      </c>
    </row>
    <row r="17">
      <c r="B17" s="78" t="inlineStr">
        <is>
          <t>Mobile Responsiveness</t>
        </is>
      </c>
      <c r="C17" s="53">
        <f>COUNTIF($B$32:$B$141,B17)</f>
        <v/>
      </c>
      <c r="D17" s="53">
        <f>COUNTIFS($B$32:$B$141,B17,$I$32:$I$141,"Pass")</f>
        <v/>
      </c>
      <c r="E17" s="53">
        <f>COUNTIFS($B$32:$B$141,B17,$I$32:$I$141,"Fail")</f>
        <v/>
      </c>
      <c r="F17" s="53">
        <f>COUNTIFS($B$32:$B$141,B17,$I$32:$I$141,"Blocked")</f>
        <v/>
      </c>
      <c r="G17" s="53">
        <f>COUNTIFS($B$32:$B$141,B17,$I$32:$I$141,"Not Run")</f>
        <v/>
      </c>
      <c r="H17" s="54">
        <f>IFERROR(D17/(C17-COUNTIFS($B$32:$B$141,B17,$I$32:$I$141,"N/A")),0)</f>
        <v/>
      </c>
    </row>
    <row r="18">
      <c r="B18" s="79" t="inlineStr">
        <is>
          <t>Authentication</t>
        </is>
      </c>
      <c r="C18" s="58">
        <f>COUNTIF($B$32:$B$141,B18)</f>
        <v/>
      </c>
      <c r="D18" s="58">
        <f>COUNTIFS($B$32:$B$141,B18,$I$32:$I$141,"Pass")</f>
        <v/>
      </c>
      <c r="E18" s="58">
        <f>COUNTIFS($B$32:$B$141,B18,$I$32:$I$141,"Fail")</f>
        <v/>
      </c>
      <c r="F18" s="58">
        <f>COUNTIFS($B$32:$B$141,B18,$I$32:$I$141,"Blocked")</f>
        <v/>
      </c>
      <c r="G18" s="58">
        <f>COUNTIFS($B$32:$B$141,B18,$I$32:$I$141,"Not Run")</f>
        <v/>
      </c>
      <c r="H18" s="59">
        <f>IFERROR(D18/(C18-COUNTIFS($B$32:$B$141,B18,$I$32:$I$141,"N/A")),0)</f>
        <v/>
      </c>
    </row>
    <row r="19">
      <c r="B19" s="78" t="inlineStr">
        <is>
          <t>Subscription Functionality</t>
        </is>
      </c>
      <c r="C19" s="53">
        <f>COUNTIF($B$32:$B$141,B19)</f>
        <v/>
      </c>
      <c r="D19" s="53">
        <f>COUNTIFS($B$32:$B$141,B19,$I$32:$I$141,"Pass")</f>
        <v/>
      </c>
      <c r="E19" s="53">
        <f>COUNTIFS($B$32:$B$141,B19,$I$32:$I$141,"Fail")</f>
        <v/>
      </c>
      <c r="F19" s="53">
        <f>COUNTIFS($B$32:$B$141,B19,$I$32:$I$141,"Blocked")</f>
        <v/>
      </c>
      <c r="G19" s="53">
        <f>COUNTIFS($B$32:$B$141,B19,$I$32:$I$141,"Not Run")</f>
        <v/>
      </c>
      <c r="H19" s="54">
        <f>IFERROR(D19/(C19-COUNTIFS($B$32:$B$141,B19,$I$32:$I$141,"N/A")),0)</f>
        <v/>
      </c>
    </row>
    <row r="20">
      <c r="B20" s="79" t="inlineStr">
        <is>
          <t>Payment Workflows</t>
        </is>
      </c>
      <c r="C20" s="58">
        <f>COUNTIF($B$32:$B$141,B20)</f>
        <v/>
      </c>
      <c r="D20" s="58">
        <f>COUNTIFS($B$32:$B$141,B20,$I$32:$I$141,"Pass")</f>
        <v/>
      </c>
      <c r="E20" s="58">
        <f>COUNTIFS($B$32:$B$141,B20,$I$32:$I$141,"Fail")</f>
        <v/>
      </c>
      <c r="F20" s="58">
        <f>COUNTIFS($B$32:$B$141,B20,$I$32:$I$141,"Blocked")</f>
        <v/>
      </c>
      <c r="G20" s="58">
        <f>COUNTIFS($B$32:$B$141,B20,$I$32:$I$141,"Not Run")</f>
        <v/>
      </c>
      <c r="H20" s="59">
        <f>IFERROR(D20/(C20-COUNTIFS($B$32:$B$141,B20,$I$32:$I$141,"N/A")),0)</f>
        <v/>
      </c>
    </row>
    <row r="21">
      <c r="B21" s="78" t="inlineStr">
        <is>
          <t>SEO Metadata</t>
        </is>
      </c>
      <c r="C21" s="53">
        <f>COUNTIF($B$32:$B$141,B21)</f>
        <v/>
      </c>
      <c r="D21" s="53">
        <f>COUNTIFS($B$32:$B$141,B21,$I$32:$I$141,"Pass")</f>
        <v/>
      </c>
      <c r="E21" s="53">
        <f>COUNTIFS($B$32:$B$141,B21,$I$32:$I$141,"Fail")</f>
        <v/>
      </c>
      <c r="F21" s="53">
        <f>COUNTIFS($B$32:$B$141,B21,$I$32:$I$141,"Blocked")</f>
        <v/>
      </c>
      <c r="G21" s="53">
        <f>COUNTIFS($B$32:$B$141,B21,$I$32:$I$141,"Not Run")</f>
        <v/>
      </c>
      <c r="H21" s="54">
        <f>IFERROR(D21/(C21-COUNTIFS($B$32:$B$141,B21,$I$32:$I$141,"N/A")),0)</f>
        <v/>
      </c>
    </row>
    <row r="22">
      <c r="B22" s="79" t="inlineStr">
        <is>
          <t>Existing Article URLs</t>
        </is>
      </c>
      <c r="C22" s="58">
        <f>COUNTIF($B$32:$B$141,B22)</f>
        <v/>
      </c>
      <c r="D22" s="58">
        <f>COUNTIFS($B$32:$B$141,B22,$I$32:$I$141,"Pass")</f>
        <v/>
      </c>
      <c r="E22" s="58">
        <f>COUNTIFS($B$32:$B$141,B22,$I$32:$I$141,"Fail")</f>
        <v/>
      </c>
      <c r="F22" s="58">
        <f>COUNTIFS($B$32:$B$141,B22,$I$32:$I$141,"Blocked")</f>
        <v/>
      </c>
      <c r="G22" s="58">
        <f>COUNTIFS($B$32:$B$141,B22,$I$32:$I$141,"Not Run")</f>
        <v/>
      </c>
      <c r="H22" s="59">
        <f>IFERROR(D22/(C22-COUNTIFS($B$32:$B$141,B22,$I$32:$I$141,"N/A")),0)</f>
        <v/>
      </c>
    </row>
    <row r="23">
      <c r="B23" s="78" t="inlineStr">
        <is>
          <t>Performance</t>
        </is>
      </c>
      <c r="C23" s="53">
        <f>COUNTIF($B$32:$B$141,B23)</f>
        <v/>
      </c>
      <c r="D23" s="53">
        <f>COUNTIFS($B$32:$B$141,B23,$I$32:$I$141,"Pass")</f>
        <v/>
      </c>
      <c r="E23" s="53">
        <f>COUNTIFS($B$32:$B$141,B23,$I$32:$I$141,"Fail")</f>
        <v/>
      </c>
      <c r="F23" s="53">
        <f>COUNTIFS($B$32:$B$141,B23,$I$32:$I$141,"Blocked")</f>
        <v/>
      </c>
      <c r="G23" s="53">
        <f>COUNTIFS($B$32:$B$141,B23,$I$32:$I$141,"Not Run")</f>
        <v/>
      </c>
      <c r="H23" s="54">
        <f>IFERROR(D23/(C23-COUNTIFS($B$32:$B$141,B23,$I$32:$I$141,"N/A")),0)</f>
        <v/>
      </c>
    </row>
    <row r="24">
      <c r="B24" s="79" t="inlineStr">
        <is>
          <t>Security</t>
        </is>
      </c>
      <c r="C24" s="58">
        <f>COUNTIF($B$32:$B$141,B24)</f>
        <v/>
      </c>
      <c r="D24" s="58">
        <f>COUNTIFS($B$32:$B$141,B24,$I$32:$I$141,"Pass")</f>
        <v/>
      </c>
      <c r="E24" s="58">
        <f>COUNTIFS($B$32:$B$141,B24,$I$32:$I$141,"Fail")</f>
        <v/>
      </c>
      <c r="F24" s="58">
        <f>COUNTIFS($B$32:$B$141,B24,$I$32:$I$141,"Blocked")</f>
        <v/>
      </c>
      <c r="G24" s="58">
        <f>COUNTIFS($B$32:$B$141,B24,$I$32:$I$141,"Not Run")</f>
        <v/>
      </c>
      <c r="H24" s="59">
        <f>IFERROR(D24/(C24-COUNTIFS($B$32:$B$141,B24,$I$32:$I$141,"N/A")),0)</f>
        <v/>
      </c>
    </row>
    <row r="25">
      <c r="B25" s="78" t="inlineStr">
        <is>
          <t>Contact Forms</t>
        </is>
      </c>
      <c r="C25" s="53">
        <f>COUNTIF($B$32:$B$141,B25)</f>
        <v/>
      </c>
      <c r="D25" s="53">
        <f>COUNTIFS($B$32:$B$141,B25,$I$32:$I$141,"Pass")</f>
        <v/>
      </c>
      <c r="E25" s="53">
        <f>COUNTIFS($B$32:$B$141,B25,$I$32:$I$141,"Fail")</f>
        <v/>
      </c>
      <c r="F25" s="53">
        <f>COUNTIFS($B$32:$B$141,B25,$I$32:$I$141,"Blocked")</f>
        <v/>
      </c>
      <c r="G25" s="53">
        <f>COUNTIFS($B$32:$B$141,B25,$I$32:$I$141,"Not Run")</f>
        <v/>
      </c>
      <c r="H25" s="54">
        <f>IFERROR(D25/(C25-COUNTIFS($B$32:$B$141,B25,$I$32:$I$141,"N/A")),0)</f>
        <v/>
      </c>
    </row>
    <row r="26">
      <c r="B26" s="79" t="inlineStr">
        <is>
          <t>Magazine PDFs</t>
        </is>
      </c>
      <c r="C26" s="58">
        <f>COUNTIF($B$32:$B$141,B26)</f>
        <v/>
      </c>
      <c r="D26" s="58">
        <f>COUNTIFS($B$32:$B$141,B26,$I$32:$I$141,"Pass")</f>
        <v/>
      </c>
      <c r="E26" s="58">
        <f>COUNTIFS($B$32:$B$141,B26,$I$32:$I$141,"Fail")</f>
        <v/>
      </c>
      <c r="F26" s="58">
        <f>COUNTIFS($B$32:$B$141,B26,$I$32:$I$141,"Blocked")</f>
        <v/>
      </c>
      <c r="G26" s="58">
        <f>COUNTIFS($B$32:$B$141,B26,$I$32:$I$141,"Not Run")</f>
        <v/>
      </c>
      <c r="H26" s="59">
        <f>IFERROR(D26/(C26-COUNTIFS($B$32:$B$141,B26,$I$32:$I$141,"N/A")),0)</f>
        <v/>
      </c>
    </row>
    <row r="27">
      <c r="B27" s="78" t="inlineStr">
        <is>
          <t>Browser Compatibility</t>
        </is>
      </c>
      <c r="C27" s="53">
        <f>COUNTIF($B$32:$B$141,B27)</f>
        <v/>
      </c>
      <c r="D27" s="53">
        <f>COUNTIFS($B$32:$B$141,B27,$I$32:$I$141,"Pass")</f>
        <v/>
      </c>
      <c r="E27" s="53">
        <f>COUNTIFS($B$32:$B$141,B27,$I$32:$I$141,"Fail")</f>
        <v/>
      </c>
      <c r="F27" s="53">
        <f>COUNTIFS($B$32:$B$141,B27,$I$32:$I$141,"Blocked")</f>
        <v/>
      </c>
      <c r="G27" s="53">
        <f>COUNTIFS($B$32:$B$141,B27,$I$32:$I$141,"Not Run")</f>
        <v/>
      </c>
      <c r="H27" s="54">
        <f>IFERROR(D27/(C27-COUNTIFS($B$32:$B$141,B27,$I$32:$I$141,"N/A")),0)</f>
        <v/>
      </c>
    </row>
    <row r="28">
      <c r="B28" s="61" t="inlineStr">
        <is>
          <t>TOTAL</t>
        </is>
      </c>
      <c r="C28" s="61">
        <f>SUM(C6:C27)</f>
        <v/>
      </c>
      <c r="D28" s="61">
        <f>SUM(D6:D27)</f>
        <v/>
      </c>
      <c r="E28" s="61">
        <f>SUM(E6:E27)</f>
        <v/>
      </c>
      <c r="F28" s="61">
        <f>SUM(F6:F27)</f>
        <v/>
      </c>
      <c r="G28" s="61">
        <f>SUM(G6:G27)</f>
        <v/>
      </c>
      <c r="H28" s="62">
        <f>IFERROR(D28/(C28-COUNTIF($I$32:$I$141,"N/A")),0)</f>
        <v/>
      </c>
    </row>
    <row r="31">
      <c r="A31" s="61" t="inlineStr">
        <is>
          <t>QA ID</t>
        </is>
      </c>
      <c r="B31" s="61" t="inlineStr">
        <is>
          <t>Area</t>
        </is>
      </c>
      <c r="C31" s="61" t="inlineStr">
        <is>
          <t>Test Case</t>
        </is>
      </c>
      <c r="D31" s="61" t="inlineStr">
        <is>
          <t>Expected Result</t>
        </is>
      </c>
      <c r="E31" s="61" t="inlineStr">
        <is>
          <t>Page / URL</t>
        </is>
      </c>
      <c r="F31" s="61" t="inlineStr">
        <is>
          <t>Device / Browser</t>
        </is>
      </c>
      <c r="G31" s="61" t="inlineStr">
        <is>
          <t>Priority</t>
        </is>
      </c>
      <c r="H31" s="61" t="inlineStr">
        <is>
          <t>Linked Task</t>
        </is>
      </c>
      <c r="I31" s="61" t="inlineStr">
        <is>
          <t>Result</t>
        </is>
      </c>
      <c r="J31" s="61" t="inlineStr">
        <is>
          <t>Tested On</t>
        </is>
      </c>
      <c r="K31" s="61" t="inlineStr">
        <is>
          <t>Defect / Notes</t>
        </is>
      </c>
    </row>
    <row r="32" ht="32" customHeight="1">
      <c r="A32" s="114" t="inlineStr">
        <is>
          <t>QA-001</t>
        </is>
      </c>
      <c r="B32" s="114" t="inlineStr">
        <is>
          <t>Template 1: Homepage</t>
        </is>
      </c>
      <c r="C32" s="114" t="inlineStr">
        <is>
          <t>Homepage renders with correct template</t>
        </is>
      </c>
      <c r="D32" s="114" t="inlineStr">
        <is>
          <t>Correct template file (Query Monitor), header/footer present, no PHP notices</t>
        </is>
      </c>
      <c r="E32" s="114" t="inlineStr">
        <is>
          <t>/</t>
        </is>
      </c>
      <c r="F32" s="114" t="inlineStr">
        <is>
          <t>Desktop Chrome</t>
        </is>
      </c>
      <c r="G32" s="114" t="inlineStr">
        <is>
          <t>P0</t>
        </is>
      </c>
      <c r="H32" s="116" t="inlineStr">
        <is>
          <t>P2-24</t>
        </is>
      </c>
      <c r="I32" s="95" t="inlineStr">
        <is>
          <t>Not Run</t>
        </is>
      </c>
      <c r="J32" s="117" t="n"/>
      <c r="K32" s="95" t="n"/>
    </row>
    <row r="33" ht="32" customHeight="1">
      <c r="A33" s="114" t="inlineStr">
        <is>
          <t>QA-002</t>
        </is>
      </c>
      <c r="B33" s="114" t="inlineStr">
        <is>
          <t>Template 1: Homepage</t>
        </is>
      </c>
      <c r="C33" s="114" t="inlineStr">
        <is>
          <t>Homepage shows live WordPress content</t>
        </is>
      </c>
      <c r="D33" s="114" t="inlineStr">
        <is>
          <t>All content pulled dynamically; editing in admin updates page after cache purge</t>
        </is>
      </c>
      <c r="E33" s="114" t="inlineStr">
        <is>
          <t>/</t>
        </is>
      </c>
      <c r="F33" s="114" t="inlineStr">
        <is>
          <t>Desktop Chrome</t>
        </is>
      </c>
      <c r="G33" s="114" t="inlineStr">
        <is>
          <t>P0</t>
        </is>
      </c>
      <c r="H33" s="116" t="inlineStr">
        <is>
          <t>P2-24</t>
        </is>
      </c>
      <c r="I33" s="95" t="inlineStr">
        <is>
          <t>Not Run</t>
        </is>
      </c>
      <c r="J33" s="117" t="n"/>
      <c r="K33" s="95" t="n"/>
    </row>
    <row r="34" ht="32" customHeight="1">
      <c r="A34" s="114" t="inlineStr">
        <is>
          <t>QA-003</t>
        </is>
      </c>
      <c r="B34" s="114" t="inlineStr">
        <is>
          <t>Template 1: Homepage</t>
        </is>
      </c>
      <c r="C34" s="114" t="inlineStr">
        <is>
          <t>Homepage responsive &amp; RTL</t>
        </is>
      </c>
      <c r="D34" s="114" t="inlineStr">
        <is>
          <t>Layout correct at 360/768/1440 px, RTL alignment, no horizontal scroll</t>
        </is>
      </c>
      <c r="E34" s="114" t="inlineStr">
        <is>
          <t>/</t>
        </is>
      </c>
      <c r="F34" s="114" t="inlineStr">
        <is>
          <t>iPhone + Android + Desktop</t>
        </is>
      </c>
      <c r="G34" s="114" t="inlineStr">
        <is>
          <t>P0</t>
        </is>
      </c>
      <c r="H34" s="116" t="inlineStr">
        <is>
          <t>P2-24</t>
        </is>
      </c>
      <c r="I34" s="95" t="inlineStr">
        <is>
          <t>Not Run</t>
        </is>
      </c>
      <c r="J34" s="117" t="n"/>
      <c r="K34" s="95" t="n"/>
    </row>
    <row r="35" ht="32" customHeight="1">
      <c r="A35" s="114" t="inlineStr">
        <is>
          <t>QA-004</t>
        </is>
      </c>
      <c r="B35" s="114" t="inlineStr">
        <is>
          <t>Template 2: Single Article</t>
        </is>
      </c>
      <c r="C35" s="114" t="inlineStr">
        <is>
          <t>Single Article renders with correct template</t>
        </is>
      </c>
      <c r="D35" s="114" t="inlineStr">
        <is>
          <t>Correct template file (Query Monitor), header/footer present, no PHP notices</t>
        </is>
      </c>
      <c r="E35" s="114" t="inlineStr">
        <is>
          <t>/&lt;sample-article&gt;/</t>
        </is>
      </c>
      <c r="F35" s="114" t="inlineStr">
        <is>
          <t>Desktop Chrome</t>
        </is>
      </c>
      <c r="G35" s="114" t="inlineStr">
        <is>
          <t>P0</t>
        </is>
      </c>
      <c r="H35" s="116" t="inlineStr">
        <is>
          <t>P3-01</t>
        </is>
      </c>
      <c r="I35" s="95" t="inlineStr">
        <is>
          <t>Not Run</t>
        </is>
      </c>
      <c r="J35" s="117" t="n"/>
      <c r="K35" s="95" t="n"/>
    </row>
    <row r="36" ht="32" customHeight="1">
      <c r="A36" s="114" t="inlineStr">
        <is>
          <t>QA-005</t>
        </is>
      </c>
      <c r="B36" s="114" t="inlineStr">
        <is>
          <t>Template 2: Single Article</t>
        </is>
      </c>
      <c r="C36" s="114" t="inlineStr">
        <is>
          <t>Single Article shows live WordPress content</t>
        </is>
      </c>
      <c r="D36" s="114" t="inlineStr">
        <is>
          <t>All content pulled dynamically; editing in admin updates page after cache purge</t>
        </is>
      </c>
      <c r="E36" s="114" t="inlineStr">
        <is>
          <t>/&lt;sample-article&gt;/</t>
        </is>
      </c>
      <c r="F36" s="114" t="inlineStr">
        <is>
          <t>Desktop Chrome</t>
        </is>
      </c>
      <c r="G36" s="114" t="inlineStr">
        <is>
          <t>P0</t>
        </is>
      </c>
      <c r="H36" s="116" t="inlineStr">
        <is>
          <t>P3-01</t>
        </is>
      </c>
      <c r="I36" s="95" t="inlineStr">
        <is>
          <t>Not Run</t>
        </is>
      </c>
      <c r="J36" s="117" t="n"/>
      <c r="K36" s="95" t="n"/>
    </row>
    <row r="37" ht="32" customHeight="1">
      <c r="A37" s="114" t="inlineStr">
        <is>
          <t>QA-006</t>
        </is>
      </c>
      <c r="B37" s="114" t="inlineStr">
        <is>
          <t>Template 2: Single Article</t>
        </is>
      </c>
      <c r="C37" s="114" t="inlineStr">
        <is>
          <t>Single Article responsive &amp; RTL</t>
        </is>
      </c>
      <c r="D37" s="114" t="inlineStr">
        <is>
          <t>Layout correct at 360/768/1440 px, RTL alignment, no horizontal scroll</t>
        </is>
      </c>
      <c r="E37" s="114" t="inlineStr">
        <is>
          <t>/&lt;sample-article&gt;/</t>
        </is>
      </c>
      <c r="F37" s="114" t="inlineStr">
        <is>
          <t>iPhone + Android + Desktop</t>
        </is>
      </c>
      <c r="G37" s="114" t="inlineStr">
        <is>
          <t>P0</t>
        </is>
      </c>
      <c r="H37" s="116" t="inlineStr">
        <is>
          <t>P3-01</t>
        </is>
      </c>
      <c r="I37" s="95" t="inlineStr">
        <is>
          <t>Not Run</t>
        </is>
      </c>
      <c r="J37" s="117" t="n"/>
      <c r="K37" s="95" t="n"/>
    </row>
    <row r="38" ht="32" customHeight="1">
      <c r="A38" s="114" t="inlineStr">
        <is>
          <t>QA-007</t>
        </is>
      </c>
      <c r="B38" s="114" t="inlineStr">
        <is>
          <t>Template 3: Category Archive</t>
        </is>
      </c>
      <c r="C38" s="114" t="inlineStr">
        <is>
          <t>Category Archive renders with correct template</t>
        </is>
      </c>
      <c r="D38" s="114" t="inlineStr">
        <is>
          <t>Correct template file (Query Monitor), header/footer present, no PHP notices</t>
        </is>
      </c>
      <c r="E38" s="114" t="inlineStr">
        <is>
          <t>/category/&lt;slug&gt;/</t>
        </is>
      </c>
      <c r="F38" s="114" t="inlineStr">
        <is>
          <t>Desktop Chrome</t>
        </is>
      </c>
      <c r="G38" s="114" t="inlineStr">
        <is>
          <t>P0</t>
        </is>
      </c>
      <c r="H38" s="116" t="inlineStr">
        <is>
          <t>P3-09</t>
        </is>
      </c>
      <c r="I38" s="95" t="inlineStr">
        <is>
          <t>Not Run</t>
        </is>
      </c>
      <c r="J38" s="117" t="n"/>
      <c r="K38" s="95" t="n"/>
    </row>
    <row r="39" ht="32" customHeight="1">
      <c r="A39" s="114" t="inlineStr">
        <is>
          <t>QA-008</t>
        </is>
      </c>
      <c r="B39" s="114" t="inlineStr">
        <is>
          <t>Template 3: Category Archive</t>
        </is>
      </c>
      <c r="C39" s="114" t="inlineStr">
        <is>
          <t>Category Archive shows live WordPress content</t>
        </is>
      </c>
      <c r="D39" s="114" t="inlineStr">
        <is>
          <t>All content pulled dynamically; editing in admin updates page after cache purge</t>
        </is>
      </c>
      <c r="E39" s="114" t="inlineStr">
        <is>
          <t>/category/&lt;slug&gt;/</t>
        </is>
      </c>
      <c r="F39" s="114" t="inlineStr">
        <is>
          <t>Desktop Chrome</t>
        </is>
      </c>
      <c r="G39" s="114" t="inlineStr">
        <is>
          <t>P0</t>
        </is>
      </c>
      <c r="H39" s="116" t="inlineStr">
        <is>
          <t>P3-09</t>
        </is>
      </c>
      <c r="I39" s="95" t="inlineStr">
        <is>
          <t>Not Run</t>
        </is>
      </c>
      <c r="J39" s="117" t="n"/>
      <c r="K39" s="95" t="n"/>
    </row>
    <row r="40" ht="32" customHeight="1">
      <c r="A40" s="114" t="inlineStr">
        <is>
          <t>QA-009</t>
        </is>
      </c>
      <c r="B40" s="114" t="inlineStr">
        <is>
          <t>Template 3: Category Archive</t>
        </is>
      </c>
      <c r="C40" s="114" t="inlineStr">
        <is>
          <t>Category Archive responsive &amp; RTL</t>
        </is>
      </c>
      <c r="D40" s="114" t="inlineStr">
        <is>
          <t>Layout correct at 360/768/1440 px, RTL alignment, no horizontal scroll</t>
        </is>
      </c>
      <c r="E40" s="114" t="inlineStr">
        <is>
          <t>/category/&lt;slug&gt;/</t>
        </is>
      </c>
      <c r="F40" s="114" t="inlineStr">
        <is>
          <t>iPhone + Android + Desktop</t>
        </is>
      </c>
      <c r="G40" s="114" t="inlineStr">
        <is>
          <t>P0</t>
        </is>
      </c>
      <c r="H40" s="116" t="inlineStr">
        <is>
          <t>P3-09</t>
        </is>
      </c>
      <c r="I40" s="95" t="inlineStr">
        <is>
          <t>Not Run</t>
        </is>
      </c>
      <c r="J40" s="117" t="n"/>
      <c r="K40" s="95" t="n"/>
    </row>
    <row r="41" ht="32" customHeight="1">
      <c r="A41" s="114" t="inlineStr">
        <is>
          <t>QA-010</t>
        </is>
      </c>
      <c r="B41" s="114" t="inlineStr">
        <is>
          <t>Template 4: Author Profile</t>
        </is>
      </c>
      <c r="C41" s="114" t="inlineStr">
        <is>
          <t>Author Profile renders with correct template</t>
        </is>
      </c>
      <c r="D41" s="114" t="inlineStr">
        <is>
          <t>Correct template file (Query Monitor), header/footer present, no PHP notices</t>
        </is>
      </c>
      <c r="E41" s="114" t="inlineStr">
        <is>
          <t>/author/&lt;slug&gt;/</t>
        </is>
      </c>
      <c r="F41" s="114" t="inlineStr">
        <is>
          <t>Desktop Chrome</t>
        </is>
      </c>
      <c r="G41" s="114" t="inlineStr">
        <is>
          <t>P0</t>
        </is>
      </c>
      <c r="H41" s="116" t="inlineStr">
        <is>
          <t>P3-08</t>
        </is>
      </c>
      <c r="I41" s="95" t="inlineStr">
        <is>
          <t>Not Run</t>
        </is>
      </c>
      <c r="J41" s="117" t="n"/>
      <c r="K41" s="95" t="n"/>
    </row>
    <row r="42" ht="32" customHeight="1">
      <c r="A42" s="114" t="inlineStr">
        <is>
          <t>QA-011</t>
        </is>
      </c>
      <c r="B42" s="114" t="inlineStr">
        <is>
          <t>Template 4: Author Profile</t>
        </is>
      </c>
      <c r="C42" s="114" t="inlineStr">
        <is>
          <t>Author Profile shows live WordPress content</t>
        </is>
      </c>
      <c r="D42" s="114" t="inlineStr">
        <is>
          <t>All content pulled dynamically; editing in admin updates page after cache purge</t>
        </is>
      </c>
      <c r="E42" s="114" t="inlineStr">
        <is>
          <t>/author/&lt;slug&gt;/</t>
        </is>
      </c>
      <c r="F42" s="114" t="inlineStr">
        <is>
          <t>Desktop Chrome</t>
        </is>
      </c>
      <c r="G42" s="114" t="inlineStr">
        <is>
          <t>P0</t>
        </is>
      </c>
      <c r="H42" s="116" t="inlineStr">
        <is>
          <t>P3-08</t>
        </is>
      </c>
      <c r="I42" s="95" t="inlineStr">
        <is>
          <t>Not Run</t>
        </is>
      </c>
      <c r="J42" s="117" t="n"/>
      <c r="K42" s="95" t="n"/>
    </row>
    <row r="43" ht="32" customHeight="1">
      <c r="A43" s="114" t="inlineStr">
        <is>
          <t>QA-012</t>
        </is>
      </c>
      <c r="B43" s="114" t="inlineStr">
        <is>
          <t>Template 4: Author Profile</t>
        </is>
      </c>
      <c r="C43" s="114" t="inlineStr">
        <is>
          <t>Author Profile responsive &amp; RTL</t>
        </is>
      </c>
      <c r="D43" s="114" t="inlineStr">
        <is>
          <t>Layout correct at 360/768/1440 px, RTL alignment, no horizontal scroll</t>
        </is>
      </c>
      <c r="E43" s="114" t="inlineStr">
        <is>
          <t>/author/&lt;slug&gt;/</t>
        </is>
      </c>
      <c r="F43" s="114" t="inlineStr">
        <is>
          <t>iPhone + Android + Desktop</t>
        </is>
      </c>
      <c r="G43" s="114" t="inlineStr">
        <is>
          <t>P0</t>
        </is>
      </c>
      <c r="H43" s="116" t="inlineStr">
        <is>
          <t>P3-08</t>
        </is>
      </c>
      <c r="I43" s="95" t="inlineStr">
        <is>
          <t>Not Run</t>
        </is>
      </c>
      <c r="J43" s="117" t="n"/>
      <c r="K43" s="95" t="n"/>
    </row>
    <row r="44" ht="32" customHeight="1">
      <c r="A44" s="114" t="inlineStr">
        <is>
          <t>QA-013</t>
        </is>
      </c>
      <c r="B44" s="114" t="inlineStr">
        <is>
          <t>Template 5: Issues Archive</t>
        </is>
      </c>
      <c r="C44" s="114" t="inlineStr">
        <is>
          <t>Issues Archive renders with correct template</t>
        </is>
      </c>
      <c r="D44" s="114" t="inlineStr">
        <is>
          <t>Correct template file (Query Monitor), header/footer present, no PHP notices</t>
        </is>
      </c>
      <c r="E44" s="114" t="inlineStr">
        <is>
          <t>/issues/</t>
        </is>
      </c>
      <c r="F44" s="114" t="inlineStr">
        <is>
          <t>Desktop Chrome</t>
        </is>
      </c>
      <c r="G44" s="114" t="inlineStr">
        <is>
          <t>P0</t>
        </is>
      </c>
      <c r="H44" s="116" t="inlineStr">
        <is>
          <t>P4-06</t>
        </is>
      </c>
      <c r="I44" s="95" t="inlineStr">
        <is>
          <t>Not Run</t>
        </is>
      </c>
      <c r="J44" s="117" t="n"/>
      <c r="K44" s="95" t="n"/>
    </row>
    <row r="45" ht="32" customHeight="1">
      <c r="A45" s="114" t="inlineStr">
        <is>
          <t>QA-014</t>
        </is>
      </c>
      <c r="B45" s="114" t="inlineStr">
        <is>
          <t>Template 5: Issues Archive</t>
        </is>
      </c>
      <c r="C45" s="114" t="inlineStr">
        <is>
          <t>Issues Archive shows live WordPress content</t>
        </is>
      </c>
      <c r="D45" s="114" t="inlineStr">
        <is>
          <t>All content pulled dynamically; editing in admin updates page after cache purge</t>
        </is>
      </c>
      <c r="E45" s="114" t="inlineStr">
        <is>
          <t>/issues/</t>
        </is>
      </c>
      <c r="F45" s="114" t="inlineStr">
        <is>
          <t>Desktop Chrome</t>
        </is>
      </c>
      <c r="G45" s="114" t="inlineStr">
        <is>
          <t>P0</t>
        </is>
      </c>
      <c r="H45" s="116" t="inlineStr">
        <is>
          <t>P4-06</t>
        </is>
      </c>
      <c r="I45" s="95" t="inlineStr">
        <is>
          <t>Not Run</t>
        </is>
      </c>
      <c r="J45" s="117" t="n"/>
      <c r="K45" s="95" t="n"/>
    </row>
    <row r="46" ht="32" customHeight="1">
      <c r="A46" s="114" t="inlineStr">
        <is>
          <t>QA-015</t>
        </is>
      </c>
      <c r="B46" s="114" t="inlineStr">
        <is>
          <t>Template 5: Issues Archive</t>
        </is>
      </c>
      <c r="C46" s="114" t="inlineStr">
        <is>
          <t>Issues Archive responsive &amp; RTL</t>
        </is>
      </c>
      <c r="D46" s="114" t="inlineStr">
        <is>
          <t>Layout correct at 360/768/1440 px, RTL alignment, no horizontal scroll</t>
        </is>
      </c>
      <c r="E46" s="114" t="inlineStr">
        <is>
          <t>/issues/</t>
        </is>
      </c>
      <c r="F46" s="114" t="inlineStr">
        <is>
          <t>iPhone + Android + Desktop</t>
        </is>
      </c>
      <c r="G46" s="114" t="inlineStr">
        <is>
          <t>P0</t>
        </is>
      </c>
      <c r="H46" s="116" t="inlineStr">
        <is>
          <t>P4-06</t>
        </is>
      </c>
      <c r="I46" s="95" t="inlineStr">
        <is>
          <t>Not Run</t>
        </is>
      </c>
      <c r="J46" s="117" t="n"/>
      <c r="K46" s="95" t="n"/>
    </row>
    <row r="47" ht="32" customHeight="1">
      <c r="A47" s="114" t="inlineStr">
        <is>
          <t>QA-016</t>
        </is>
      </c>
      <c r="B47" s="114" t="inlineStr">
        <is>
          <t>Template 6: Single Issue</t>
        </is>
      </c>
      <c r="C47" s="114" t="inlineStr">
        <is>
          <t>Single Issue renders with correct template</t>
        </is>
      </c>
      <c r="D47" s="114" t="inlineStr">
        <is>
          <t>Correct template file (Query Monitor), header/footer present, no PHP notices</t>
        </is>
      </c>
      <c r="E47" s="114" t="inlineStr">
        <is>
          <t>/issues/&lt;issue&gt;/</t>
        </is>
      </c>
      <c r="F47" s="114" t="inlineStr">
        <is>
          <t>Desktop Chrome</t>
        </is>
      </c>
      <c r="G47" s="114" t="inlineStr">
        <is>
          <t>P0</t>
        </is>
      </c>
      <c r="H47" s="116" t="inlineStr">
        <is>
          <t>P4-08</t>
        </is>
      </c>
      <c r="I47" s="95" t="inlineStr">
        <is>
          <t>Not Run</t>
        </is>
      </c>
      <c r="J47" s="117" t="n"/>
      <c r="K47" s="95" t="n"/>
    </row>
    <row r="48" ht="32" customHeight="1">
      <c r="A48" s="114" t="inlineStr">
        <is>
          <t>QA-017</t>
        </is>
      </c>
      <c r="B48" s="114" t="inlineStr">
        <is>
          <t>Template 6: Single Issue</t>
        </is>
      </c>
      <c r="C48" s="114" t="inlineStr">
        <is>
          <t>Single Issue shows live WordPress content</t>
        </is>
      </c>
      <c r="D48" s="114" t="inlineStr">
        <is>
          <t>All content pulled dynamically; editing in admin updates page after cache purge</t>
        </is>
      </c>
      <c r="E48" s="114" t="inlineStr">
        <is>
          <t>/issues/&lt;issue&gt;/</t>
        </is>
      </c>
      <c r="F48" s="114" t="inlineStr">
        <is>
          <t>Desktop Chrome</t>
        </is>
      </c>
      <c r="G48" s="114" t="inlineStr">
        <is>
          <t>P0</t>
        </is>
      </c>
      <c r="H48" s="116" t="inlineStr">
        <is>
          <t>P4-08</t>
        </is>
      </c>
      <c r="I48" s="95" t="inlineStr">
        <is>
          <t>Not Run</t>
        </is>
      </c>
      <c r="J48" s="117" t="n"/>
      <c r="K48" s="95" t="n"/>
    </row>
    <row r="49" ht="32" customHeight="1">
      <c r="A49" s="114" t="inlineStr">
        <is>
          <t>QA-018</t>
        </is>
      </c>
      <c r="B49" s="114" t="inlineStr">
        <is>
          <t>Template 6: Single Issue</t>
        </is>
      </c>
      <c r="C49" s="114" t="inlineStr">
        <is>
          <t>Single Issue responsive &amp; RTL</t>
        </is>
      </c>
      <c r="D49" s="114" t="inlineStr">
        <is>
          <t>Layout correct at 360/768/1440 px, RTL alignment, no horizontal scroll</t>
        </is>
      </c>
      <c r="E49" s="114" t="inlineStr">
        <is>
          <t>/issues/&lt;issue&gt;/</t>
        </is>
      </c>
      <c r="F49" s="114" t="inlineStr">
        <is>
          <t>iPhone + Android + Desktop</t>
        </is>
      </c>
      <c r="G49" s="114" t="inlineStr">
        <is>
          <t>P0</t>
        </is>
      </c>
      <c r="H49" s="116" t="inlineStr">
        <is>
          <t>P4-08</t>
        </is>
      </c>
      <c r="I49" s="95" t="inlineStr">
        <is>
          <t>Not Run</t>
        </is>
      </c>
      <c r="J49" s="117" t="n"/>
      <c r="K49" s="95" t="n"/>
    </row>
    <row r="50" ht="32" customHeight="1">
      <c r="A50" s="114" t="inlineStr">
        <is>
          <t>QA-019</t>
        </is>
      </c>
      <c r="B50" s="114" t="inlineStr">
        <is>
          <t>Template 7: Advertise</t>
        </is>
      </c>
      <c r="C50" s="114" t="inlineStr">
        <is>
          <t>Advertise renders with correct template</t>
        </is>
      </c>
      <c r="D50" s="114" t="inlineStr">
        <is>
          <t>Correct template file (Query Monitor), header/footer present, no PHP notices</t>
        </is>
      </c>
      <c r="E50" s="114" t="inlineStr">
        <is>
          <t>/advertise/</t>
        </is>
      </c>
      <c r="F50" s="114" t="inlineStr">
        <is>
          <t>Desktop Chrome</t>
        </is>
      </c>
      <c r="G50" s="114" t="inlineStr">
        <is>
          <t>P0</t>
        </is>
      </c>
      <c r="H50" s="116" t="inlineStr">
        <is>
          <t>P5-14</t>
        </is>
      </c>
      <c r="I50" s="95" t="inlineStr">
        <is>
          <t>Not Run</t>
        </is>
      </c>
      <c r="J50" s="117" t="n"/>
      <c r="K50" s="95" t="n"/>
    </row>
    <row r="51" ht="32" customHeight="1">
      <c r="A51" s="114" t="inlineStr">
        <is>
          <t>QA-020</t>
        </is>
      </c>
      <c r="B51" s="114" t="inlineStr">
        <is>
          <t>Template 7: Advertise</t>
        </is>
      </c>
      <c r="C51" s="114" t="inlineStr">
        <is>
          <t>Advertise shows live WordPress content</t>
        </is>
      </c>
      <c r="D51" s="114" t="inlineStr">
        <is>
          <t>All content pulled dynamically; editing in admin updates page after cache purge</t>
        </is>
      </c>
      <c r="E51" s="114" t="inlineStr">
        <is>
          <t>/advertise/</t>
        </is>
      </c>
      <c r="F51" s="114" t="inlineStr">
        <is>
          <t>Desktop Chrome</t>
        </is>
      </c>
      <c r="G51" s="114" t="inlineStr">
        <is>
          <t>P0</t>
        </is>
      </c>
      <c r="H51" s="116" t="inlineStr">
        <is>
          <t>P5-14</t>
        </is>
      </c>
      <c r="I51" s="95" t="inlineStr">
        <is>
          <t>Not Run</t>
        </is>
      </c>
      <c r="J51" s="117" t="n"/>
      <c r="K51" s="95" t="n"/>
    </row>
    <row r="52" ht="32" customHeight="1">
      <c r="A52" s="114" t="inlineStr">
        <is>
          <t>QA-021</t>
        </is>
      </c>
      <c r="B52" s="114" t="inlineStr">
        <is>
          <t>Template 7: Advertise</t>
        </is>
      </c>
      <c r="C52" s="114" t="inlineStr">
        <is>
          <t>Advertise responsive &amp; RTL</t>
        </is>
      </c>
      <c r="D52" s="114" t="inlineStr">
        <is>
          <t>Layout correct at 360/768/1440 px, RTL alignment, no horizontal scroll</t>
        </is>
      </c>
      <c r="E52" s="114" t="inlineStr">
        <is>
          <t>/advertise/</t>
        </is>
      </c>
      <c r="F52" s="114" t="inlineStr">
        <is>
          <t>iPhone + Android + Desktop</t>
        </is>
      </c>
      <c r="G52" s="114" t="inlineStr">
        <is>
          <t>P0</t>
        </is>
      </c>
      <c r="H52" s="116" t="inlineStr">
        <is>
          <t>P5-14</t>
        </is>
      </c>
      <c r="I52" s="95" t="inlineStr">
        <is>
          <t>Not Run</t>
        </is>
      </c>
      <c r="J52" s="117" t="n"/>
      <c r="K52" s="95" t="n"/>
    </row>
    <row r="53" ht="32" customHeight="1">
      <c r="A53" s="114" t="inlineStr">
        <is>
          <t>QA-022</t>
        </is>
      </c>
      <c r="B53" s="114" t="inlineStr">
        <is>
          <t>Template 8: About</t>
        </is>
      </c>
      <c r="C53" s="114" t="inlineStr">
        <is>
          <t>About renders with correct template</t>
        </is>
      </c>
      <c r="D53" s="114" t="inlineStr">
        <is>
          <t>Correct template file (Query Monitor), header/footer present, no PHP notices</t>
        </is>
      </c>
      <c r="E53" s="114" t="inlineStr">
        <is>
          <t>/about/</t>
        </is>
      </c>
      <c r="F53" s="114" t="inlineStr">
        <is>
          <t>Desktop Chrome</t>
        </is>
      </c>
      <c r="G53" s="114" t="inlineStr">
        <is>
          <t>P0</t>
        </is>
      </c>
      <c r="H53" s="116" t="inlineStr">
        <is>
          <t>P5-18</t>
        </is>
      </c>
      <c r="I53" s="95" t="inlineStr">
        <is>
          <t>Not Run</t>
        </is>
      </c>
      <c r="J53" s="117" t="n"/>
      <c r="K53" s="95" t="n"/>
    </row>
    <row r="54" ht="32" customHeight="1">
      <c r="A54" s="114" t="inlineStr">
        <is>
          <t>QA-023</t>
        </is>
      </c>
      <c r="B54" s="114" t="inlineStr">
        <is>
          <t>Template 8: About</t>
        </is>
      </c>
      <c r="C54" s="114" t="inlineStr">
        <is>
          <t>About shows live WordPress content</t>
        </is>
      </c>
      <c r="D54" s="114" t="inlineStr">
        <is>
          <t>All content pulled dynamically; editing in admin updates page after cache purge</t>
        </is>
      </c>
      <c r="E54" s="114" t="inlineStr">
        <is>
          <t>/about/</t>
        </is>
      </c>
      <c r="F54" s="114" t="inlineStr">
        <is>
          <t>Desktop Chrome</t>
        </is>
      </c>
      <c r="G54" s="114" t="inlineStr">
        <is>
          <t>P0</t>
        </is>
      </c>
      <c r="H54" s="116" t="inlineStr">
        <is>
          <t>P5-18</t>
        </is>
      </c>
      <c r="I54" s="95" t="inlineStr">
        <is>
          <t>Not Run</t>
        </is>
      </c>
      <c r="J54" s="117" t="n"/>
      <c r="K54" s="95" t="n"/>
    </row>
    <row r="55" ht="32" customHeight="1">
      <c r="A55" s="114" t="inlineStr">
        <is>
          <t>QA-024</t>
        </is>
      </c>
      <c r="B55" s="114" t="inlineStr">
        <is>
          <t>Template 8: About</t>
        </is>
      </c>
      <c r="C55" s="114" t="inlineStr">
        <is>
          <t>About responsive &amp; RTL</t>
        </is>
      </c>
      <c r="D55" s="114" t="inlineStr">
        <is>
          <t>Layout correct at 360/768/1440 px, RTL alignment, no horizontal scroll</t>
        </is>
      </c>
      <c r="E55" s="114" t="inlineStr">
        <is>
          <t>/about/</t>
        </is>
      </c>
      <c r="F55" s="114" t="inlineStr">
        <is>
          <t>iPhone + Android + Desktop</t>
        </is>
      </c>
      <c r="G55" s="114" t="inlineStr">
        <is>
          <t>P0</t>
        </is>
      </c>
      <c r="H55" s="116" t="inlineStr">
        <is>
          <t>P5-18</t>
        </is>
      </c>
      <c r="I55" s="95" t="inlineStr">
        <is>
          <t>Not Run</t>
        </is>
      </c>
      <c r="J55" s="117" t="n"/>
      <c r="K55" s="95" t="n"/>
    </row>
    <row r="56" ht="32" customHeight="1">
      <c r="A56" s="114" t="inlineStr">
        <is>
          <t>QA-025</t>
        </is>
      </c>
      <c r="B56" s="114" t="inlineStr">
        <is>
          <t>Template 9: Contact</t>
        </is>
      </c>
      <c r="C56" s="114" t="inlineStr">
        <is>
          <t>Contact renders with correct template</t>
        </is>
      </c>
      <c r="D56" s="114" t="inlineStr">
        <is>
          <t>Correct template file (Query Monitor), header/footer present, no PHP notices</t>
        </is>
      </c>
      <c r="E56" s="114" t="inlineStr">
        <is>
          <t>/contact/</t>
        </is>
      </c>
      <c r="F56" s="114" t="inlineStr">
        <is>
          <t>Desktop Chrome</t>
        </is>
      </c>
      <c r="G56" s="114" t="inlineStr">
        <is>
          <t>P0</t>
        </is>
      </c>
      <c r="H56" s="116" t="inlineStr">
        <is>
          <t>P5-19</t>
        </is>
      </c>
      <c r="I56" s="95" t="inlineStr">
        <is>
          <t>Not Run</t>
        </is>
      </c>
      <c r="J56" s="117" t="n"/>
      <c r="K56" s="95" t="n"/>
    </row>
    <row r="57" ht="32" customHeight="1">
      <c r="A57" s="114" t="inlineStr">
        <is>
          <t>QA-026</t>
        </is>
      </c>
      <c r="B57" s="114" t="inlineStr">
        <is>
          <t>Template 9: Contact</t>
        </is>
      </c>
      <c r="C57" s="114" t="inlineStr">
        <is>
          <t>Contact shows live WordPress content</t>
        </is>
      </c>
      <c r="D57" s="114" t="inlineStr">
        <is>
          <t>All content pulled dynamically; editing in admin updates page after cache purge</t>
        </is>
      </c>
      <c r="E57" s="114" t="inlineStr">
        <is>
          <t>/contact/</t>
        </is>
      </c>
      <c r="F57" s="114" t="inlineStr">
        <is>
          <t>Desktop Chrome</t>
        </is>
      </c>
      <c r="G57" s="114" t="inlineStr">
        <is>
          <t>P0</t>
        </is>
      </c>
      <c r="H57" s="116" t="inlineStr">
        <is>
          <t>P5-19</t>
        </is>
      </c>
      <c r="I57" s="95" t="inlineStr">
        <is>
          <t>Not Run</t>
        </is>
      </c>
      <c r="J57" s="117" t="n"/>
      <c r="K57" s="95" t="n"/>
    </row>
    <row r="58" ht="32" customHeight="1">
      <c r="A58" s="114" t="inlineStr">
        <is>
          <t>QA-027</t>
        </is>
      </c>
      <c r="B58" s="114" t="inlineStr">
        <is>
          <t>Template 9: Contact</t>
        </is>
      </c>
      <c r="C58" s="114" t="inlineStr">
        <is>
          <t>Contact responsive &amp; RTL</t>
        </is>
      </c>
      <c r="D58" s="114" t="inlineStr">
        <is>
          <t>Layout correct at 360/768/1440 px, RTL alignment, no horizontal scroll</t>
        </is>
      </c>
      <c r="E58" s="114" t="inlineStr">
        <is>
          <t>/contact/</t>
        </is>
      </c>
      <c r="F58" s="114" t="inlineStr">
        <is>
          <t>iPhone + Android + Desktop</t>
        </is>
      </c>
      <c r="G58" s="114" t="inlineStr">
        <is>
          <t>P0</t>
        </is>
      </c>
      <c r="H58" s="116" t="inlineStr">
        <is>
          <t>P5-19</t>
        </is>
      </c>
      <c r="I58" s="95" t="inlineStr">
        <is>
          <t>Not Run</t>
        </is>
      </c>
      <c r="J58" s="117" t="n"/>
      <c r="K58" s="95" t="n"/>
    </row>
    <row r="59" ht="32" customHeight="1">
      <c r="A59" s="114" t="inlineStr">
        <is>
          <t>QA-028</t>
        </is>
      </c>
      <c r="B59" s="114" t="inlineStr">
        <is>
          <t>WordPress Dynamic Content</t>
        </is>
      </c>
      <c r="C59" s="114" t="inlineStr">
        <is>
          <t>Section source change (category/tag)</t>
        </is>
      </c>
      <c r="D59" s="114" t="inlineStr">
        <is>
          <t>Section shows posts from newly selected terms</t>
        </is>
      </c>
      <c r="E59" s="114" t="inlineStr">
        <is>
          <t>/</t>
        </is>
      </c>
      <c r="F59" s="114" t="inlineStr">
        <is>
          <t>Desktop Chrome</t>
        </is>
      </c>
      <c r="G59" s="114" t="inlineStr">
        <is>
          <t>P0</t>
        </is>
      </c>
      <c r="H59" s="116" t="inlineStr">
        <is>
          <t>P2-03</t>
        </is>
      </c>
      <c r="I59" s="95" t="inlineStr">
        <is>
          <t>Not Run</t>
        </is>
      </c>
      <c r="J59" s="117" t="n"/>
      <c r="K59" s="95" t="n"/>
    </row>
    <row r="60" ht="32" customHeight="1">
      <c r="A60" s="114" t="inlineStr">
        <is>
          <t>QA-029</t>
        </is>
      </c>
      <c r="B60" s="114" t="inlineStr">
        <is>
          <t>WordPress Dynamic Content</t>
        </is>
      </c>
      <c r="C60" s="114" t="inlineStr">
        <is>
          <t>Post count / order / offset</t>
        </is>
      </c>
      <c r="D60" s="114" t="inlineStr">
        <is>
          <t>Output matches configured values exactly</t>
        </is>
      </c>
      <c r="E60" s="114" t="inlineStr">
        <is>
          <t>/</t>
        </is>
      </c>
      <c r="F60" s="114" t="inlineStr">
        <is>
          <t>Desktop Chrome</t>
        </is>
      </c>
      <c r="G60" s="114" t="inlineStr">
        <is>
          <t>P0</t>
        </is>
      </c>
      <c r="H60" s="116" t="inlineStr">
        <is>
          <t>P2-04</t>
        </is>
      </c>
      <c r="I60" s="95" t="inlineStr">
        <is>
          <t>Not Run</t>
        </is>
      </c>
      <c r="J60" s="117" t="n"/>
      <c r="K60" s="95" t="n"/>
    </row>
    <row r="61" ht="32" customHeight="1">
      <c r="A61" s="114" t="inlineStr">
        <is>
          <t>QA-030</t>
        </is>
      </c>
      <c r="B61" s="114" t="inlineStr">
        <is>
          <t>WordPress Dynamic Content</t>
        </is>
      </c>
      <c r="C61" s="114" t="inlineStr">
        <is>
          <t>Manual post selection</t>
        </is>
      </c>
      <c r="D61" s="114" t="inlineStr">
        <is>
          <t>Pinned posts appear in chosen order</t>
        </is>
      </c>
      <c r="E61" s="114" t="inlineStr">
        <is>
          <t>/</t>
        </is>
      </c>
      <c r="F61" s="114" t="inlineStr">
        <is>
          <t>Desktop Chrome</t>
        </is>
      </c>
      <c r="G61" s="114" t="inlineStr">
        <is>
          <t>P0</t>
        </is>
      </c>
      <c r="H61" s="116" t="inlineStr">
        <is>
          <t>P2-05</t>
        </is>
      </c>
      <c r="I61" s="95" t="inlineStr">
        <is>
          <t>Not Run</t>
        </is>
      </c>
      <c r="J61" s="117" t="n"/>
      <c r="K61" s="95" t="n"/>
    </row>
    <row r="62" ht="32" customHeight="1">
      <c r="A62" s="114" t="inlineStr">
        <is>
          <t>QA-031</t>
        </is>
      </c>
      <c r="B62" s="114" t="inlineStr">
        <is>
          <t>WordPress Dynamic Content</t>
        </is>
      </c>
      <c r="C62" s="114" t="inlineStr">
        <is>
          <t>Layout switch</t>
        </is>
      </c>
      <c r="D62" s="114" t="inlineStr">
        <is>
          <t>Each layout variant renders</t>
        </is>
      </c>
      <c r="E62" s="114" t="inlineStr">
        <is>
          <t>/</t>
        </is>
      </c>
      <c r="F62" s="114" t="inlineStr">
        <is>
          <t>Desktop Chrome</t>
        </is>
      </c>
      <c r="G62" s="114" t="inlineStr">
        <is>
          <t>P0</t>
        </is>
      </c>
      <c r="H62" s="116" t="inlineStr">
        <is>
          <t>P2-06</t>
        </is>
      </c>
      <c r="I62" s="95" t="inlineStr">
        <is>
          <t>Not Run</t>
        </is>
      </c>
      <c r="J62" s="117" t="n"/>
      <c r="K62" s="95" t="n"/>
    </row>
    <row r="63" ht="32" customHeight="1">
      <c r="A63" s="114" t="inlineStr">
        <is>
          <t>QA-032</t>
        </is>
      </c>
      <c r="B63" s="114" t="inlineStr">
        <is>
          <t>WordPress Dynamic Content</t>
        </is>
      </c>
      <c r="C63" s="114" t="inlineStr">
        <is>
          <t>Section hide / reorder</t>
        </is>
      </c>
      <c r="D63" s="114" t="inlineStr">
        <is>
          <t>Hidden section gone; order updated; no duplicates</t>
        </is>
      </c>
      <c r="E63" s="114" t="inlineStr">
        <is>
          <t>/</t>
        </is>
      </c>
      <c r="F63" s="114" t="inlineStr">
        <is>
          <t>Desktop Chrome</t>
        </is>
      </c>
      <c r="G63" s="114" t="inlineStr">
        <is>
          <t>P0</t>
        </is>
      </c>
      <c r="H63" s="116" t="inlineStr">
        <is>
          <t>P2-07</t>
        </is>
      </c>
      <c r="I63" s="95" t="inlineStr">
        <is>
          <t>Not Run</t>
        </is>
      </c>
      <c r="J63" s="117" t="n"/>
      <c r="K63" s="95" t="n"/>
    </row>
    <row r="64" ht="32" customHeight="1">
      <c r="A64" s="114" t="inlineStr">
        <is>
          <t>QA-033</t>
        </is>
      </c>
      <c r="B64" s="114" t="inlineStr">
        <is>
          <t>WordPress Dynamic Content</t>
        </is>
      </c>
      <c r="C64" s="114" t="inlineStr">
        <is>
          <t>Publish new post</t>
        </is>
      </c>
      <c r="D64" s="114" t="inlineStr">
        <is>
          <t>Appears in relevant sections after auto-purge</t>
        </is>
      </c>
      <c r="E64" s="114" t="inlineStr">
        <is>
          <t>/</t>
        </is>
      </c>
      <c r="F64" s="114" t="inlineStr">
        <is>
          <t>Desktop Chrome</t>
        </is>
      </c>
      <c r="G64" s="114" t="inlineStr">
        <is>
          <t>P0</t>
        </is>
      </c>
      <c r="H64" s="116" t="inlineStr">
        <is>
          <t>P2-08</t>
        </is>
      </c>
      <c r="I64" s="95" t="inlineStr">
        <is>
          <t>Not Run</t>
        </is>
      </c>
      <c r="J64" s="117" t="n"/>
      <c r="K64" s="95" t="n"/>
    </row>
    <row r="65" ht="32" customHeight="1">
      <c r="A65" s="114" t="inlineStr">
        <is>
          <t>QA-034</t>
        </is>
      </c>
      <c r="B65" s="114" t="inlineStr">
        <is>
          <t>WordPress Dynamic Content</t>
        </is>
      </c>
      <c r="C65" s="114" t="inlineStr">
        <is>
          <t>Breaking ticker source</t>
        </is>
      </c>
      <c r="D65" s="114" t="inlineStr">
        <is>
          <t>Adding/removing breaking tag updates ticker</t>
        </is>
      </c>
      <c r="E65" s="114" t="inlineStr">
        <is>
          <t>/</t>
        </is>
      </c>
      <c r="F65" s="114" t="inlineStr">
        <is>
          <t>Desktop Chrome</t>
        </is>
      </c>
      <c r="G65" s="114" t="inlineStr">
        <is>
          <t>P0</t>
        </is>
      </c>
      <c r="H65" s="116" t="inlineStr">
        <is>
          <t>P2-10</t>
        </is>
      </c>
      <c r="I65" s="95" t="inlineStr">
        <is>
          <t>Not Run</t>
        </is>
      </c>
      <c r="J65" s="117" t="n"/>
      <c r="K65" s="95" t="n"/>
    </row>
    <row r="66" ht="32" customHeight="1">
      <c r="A66" s="114" t="inlineStr">
        <is>
          <t>QA-035</t>
        </is>
      </c>
      <c r="B66" s="114" t="inlineStr">
        <is>
          <t>WordPress Dynamic Content</t>
        </is>
      </c>
      <c r="C66" s="114" t="inlineStr">
        <is>
          <t>Most-read widget</t>
        </is>
      </c>
      <c r="D66" s="114" t="inlineStr">
        <is>
          <t>Counts increment and tabs switch</t>
        </is>
      </c>
      <c r="E66" s="114" t="inlineStr">
        <is>
          <t>/</t>
        </is>
      </c>
      <c r="F66" s="114" t="inlineStr">
        <is>
          <t>Desktop Chrome</t>
        </is>
      </c>
      <c r="G66" s="114" t="inlineStr">
        <is>
          <t>P0</t>
        </is>
      </c>
      <c r="H66" s="116" t="inlineStr">
        <is>
          <t>P2-22</t>
        </is>
      </c>
      <c r="I66" s="95" t="inlineStr">
        <is>
          <t>Not Run</t>
        </is>
      </c>
      <c r="J66" s="117" t="n"/>
      <c r="K66" s="95" t="n"/>
    </row>
    <row r="67" ht="32" customHeight="1">
      <c r="A67" s="114" t="inlineStr">
        <is>
          <t>QA-036</t>
        </is>
      </c>
      <c r="B67" s="114" t="inlineStr">
        <is>
          <t>RTL Layout</t>
        </is>
      </c>
      <c r="C67" s="114" t="inlineStr">
        <is>
          <t>Document direction</t>
        </is>
      </c>
      <c r="D67" s="114" t="inlineStr">
        <is>
          <t>&lt;html dir='rtl' lang='ar'&gt; on every template</t>
        </is>
      </c>
      <c r="E67" s="114" t="inlineStr">
        <is>
          <t>All</t>
        </is>
      </c>
      <c r="F67" s="114" t="inlineStr">
        <is>
          <t>Desktop + Mobile</t>
        </is>
      </c>
      <c r="G67" s="114" t="inlineStr">
        <is>
          <t>P0</t>
        </is>
      </c>
      <c r="H67" s="116" t="inlineStr">
        <is>
          <t>P1-09</t>
        </is>
      </c>
      <c r="I67" s="95" t="inlineStr">
        <is>
          <t>Not Run</t>
        </is>
      </c>
      <c r="J67" s="117" t="n"/>
      <c r="K67" s="95" t="n"/>
    </row>
    <row r="68" ht="32" customHeight="1">
      <c r="A68" s="114" t="inlineStr">
        <is>
          <t>QA-037</t>
        </is>
      </c>
      <c r="B68" s="114" t="inlineStr">
        <is>
          <t>RTL Layout</t>
        </is>
      </c>
      <c r="C68" s="114" t="inlineStr">
        <is>
          <t>Mixed Arabic/English text</t>
        </is>
      </c>
      <c r="D68" s="114" t="inlineStr">
        <is>
          <t>Bidi isolation correct, punctuation in right place</t>
        </is>
      </c>
      <c r="E68" s="114" t="inlineStr">
        <is>
          <t>All</t>
        </is>
      </c>
      <c r="F68" s="114" t="inlineStr">
        <is>
          <t>Desktop + Mobile</t>
        </is>
      </c>
      <c r="G68" s="114" t="inlineStr">
        <is>
          <t>P0</t>
        </is>
      </c>
      <c r="H68" s="116" t="inlineStr">
        <is>
          <t>P1-09</t>
        </is>
      </c>
      <c r="I68" s="95" t="inlineStr">
        <is>
          <t>Not Run</t>
        </is>
      </c>
      <c r="J68" s="117" t="n"/>
      <c r="K68" s="95" t="n"/>
    </row>
    <row r="69" ht="32" customHeight="1">
      <c r="A69" s="114" t="inlineStr">
        <is>
          <t>QA-038</t>
        </is>
      </c>
      <c r="B69" s="114" t="inlineStr">
        <is>
          <t>RTL Layout</t>
        </is>
      </c>
      <c r="C69" s="114" t="inlineStr">
        <is>
          <t>Icons &amp; arrows mirrored</t>
        </is>
      </c>
      <c r="D69" s="114" t="inlineStr">
        <is>
          <t>Directional icons point correctly in RTL</t>
        </is>
      </c>
      <c r="E69" s="114" t="inlineStr">
        <is>
          <t>All</t>
        </is>
      </c>
      <c r="F69" s="114" t="inlineStr">
        <is>
          <t>Desktop + Mobile</t>
        </is>
      </c>
      <c r="G69" s="114" t="inlineStr">
        <is>
          <t>P0</t>
        </is>
      </c>
      <c r="H69" s="116" t="inlineStr">
        <is>
          <t>P1-09</t>
        </is>
      </c>
      <c r="I69" s="95" t="inlineStr">
        <is>
          <t>Not Run</t>
        </is>
      </c>
      <c r="J69" s="117" t="n"/>
      <c r="K69" s="95" t="n"/>
    </row>
    <row r="70" ht="32" customHeight="1">
      <c r="A70" s="114" t="inlineStr">
        <is>
          <t>QA-039</t>
        </is>
      </c>
      <c r="B70" s="114" t="inlineStr">
        <is>
          <t>RTL Layout</t>
        </is>
      </c>
      <c r="C70" s="114" t="inlineStr">
        <is>
          <t>Forms in RTL</t>
        </is>
      </c>
      <c r="D70" s="114" t="inlineStr">
        <is>
          <t>Inputs, labels, errors aligned right</t>
        </is>
      </c>
      <c r="E70" s="114" t="inlineStr">
        <is>
          <t>All</t>
        </is>
      </c>
      <c r="F70" s="114" t="inlineStr">
        <is>
          <t>Desktop + Mobile</t>
        </is>
      </c>
      <c r="G70" s="114" t="inlineStr">
        <is>
          <t>P0</t>
        </is>
      </c>
      <c r="H70" s="116" t="inlineStr">
        <is>
          <t>P1-09</t>
        </is>
      </c>
      <c r="I70" s="95" t="inlineStr">
        <is>
          <t>Not Run</t>
        </is>
      </c>
      <c r="J70" s="117" t="n"/>
      <c r="K70" s="95" t="n"/>
    </row>
    <row r="71" ht="32" customHeight="1">
      <c r="A71" s="114" t="inlineStr">
        <is>
          <t>QA-040</t>
        </is>
      </c>
      <c r="B71" s="114" t="inlineStr">
        <is>
          <t>RTL Layout</t>
        </is>
      </c>
      <c r="C71" s="114" t="inlineStr">
        <is>
          <t>Ticker &amp; sliders direction</t>
        </is>
      </c>
      <c r="D71" s="114" t="inlineStr">
        <is>
          <t>Scroll/swipe direction natural for RTL</t>
        </is>
      </c>
      <c r="E71" s="114" t="inlineStr">
        <is>
          <t>All</t>
        </is>
      </c>
      <c r="F71" s="114" t="inlineStr">
        <is>
          <t>Desktop + Mobile</t>
        </is>
      </c>
      <c r="G71" s="114" t="inlineStr">
        <is>
          <t>P0</t>
        </is>
      </c>
      <c r="H71" s="116" t="inlineStr">
        <is>
          <t>P1-09</t>
        </is>
      </c>
      <c r="I71" s="95" t="inlineStr">
        <is>
          <t>Not Run</t>
        </is>
      </c>
      <c r="J71" s="117" t="n"/>
      <c r="K71" s="95" t="n"/>
    </row>
    <row r="72" ht="32" customHeight="1">
      <c r="A72" s="114" t="inlineStr">
        <is>
          <t>QA-041</t>
        </is>
      </c>
      <c r="B72" s="114" t="inlineStr">
        <is>
          <t>Mobile Responsiveness</t>
        </is>
      </c>
      <c r="C72" s="114" t="inlineStr">
        <is>
          <t>360 px small phone</t>
        </is>
      </c>
      <c r="D72" s="114" t="inlineStr">
        <is>
          <t>All templates usable, tap targets ≥ 44 px</t>
        </is>
      </c>
      <c r="E72" s="114" t="inlineStr">
        <is>
          <t>All</t>
        </is>
      </c>
      <c r="F72" s="114" t="inlineStr">
        <is>
          <t>iPhone Safari, Android Chrome</t>
        </is>
      </c>
      <c r="G72" s="114" t="inlineStr">
        <is>
          <t>P0</t>
        </is>
      </c>
      <c r="H72" s="116" t="inlineStr">
        <is>
          <t>P6-13</t>
        </is>
      </c>
      <c r="I72" s="95" t="inlineStr">
        <is>
          <t>Not Run</t>
        </is>
      </c>
      <c r="J72" s="117" t="n"/>
      <c r="K72" s="95" t="n"/>
    </row>
    <row r="73" ht="32" customHeight="1">
      <c r="A73" s="114" t="inlineStr">
        <is>
          <t>QA-042</t>
        </is>
      </c>
      <c r="B73" s="114" t="inlineStr">
        <is>
          <t>Mobile Responsiveness</t>
        </is>
      </c>
      <c r="C73" s="114" t="inlineStr">
        <is>
          <t>Mobile navigation drawer</t>
        </is>
      </c>
      <c r="D73" s="114" t="inlineStr">
        <is>
          <t>Opens, closes, focus trapped, scroll locked</t>
        </is>
      </c>
      <c r="E73" s="114" t="inlineStr">
        <is>
          <t>All</t>
        </is>
      </c>
      <c r="F73" s="114" t="inlineStr">
        <is>
          <t>iPhone Safari, Android Chrome</t>
        </is>
      </c>
      <c r="G73" s="114" t="inlineStr">
        <is>
          <t>P0</t>
        </is>
      </c>
      <c r="H73" s="116" t="inlineStr">
        <is>
          <t>P6-13</t>
        </is>
      </c>
      <c r="I73" s="95" t="inlineStr">
        <is>
          <t>Not Run</t>
        </is>
      </c>
      <c r="J73" s="117" t="n"/>
      <c r="K73" s="95" t="n"/>
    </row>
    <row r="74" ht="32" customHeight="1">
      <c r="A74" s="114" t="inlineStr">
        <is>
          <t>QA-043</t>
        </is>
      </c>
      <c r="B74" s="114" t="inlineStr">
        <is>
          <t>Mobile Responsiveness</t>
        </is>
      </c>
      <c r="C74" s="114" t="inlineStr">
        <is>
          <t>Tablet 768–1024 px</t>
        </is>
      </c>
      <c r="D74" s="114" t="inlineStr">
        <is>
          <t>Grids reflow correctly</t>
        </is>
      </c>
      <c r="E74" s="114" t="inlineStr">
        <is>
          <t>All</t>
        </is>
      </c>
      <c r="F74" s="114" t="inlineStr">
        <is>
          <t>iPhone Safari, Android Chrome</t>
        </is>
      </c>
      <c r="G74" s="114" t="inlineStr">
        <is>
          <t>P0</t>
        </is>
      </c>
      <c r="H74" s="116" t="inlineStr">
        <is>
          <t>P6-13</t>
        </is>
      </c>
      <c r="I74" s="95" t="inlineStr">
        <is>
          <t>Not Run</t>
        </is>
      </c>
      <c r="J74" s="117" t="n"/>
      <c r="K74" s="95" t="n"/>
    </row>
    <row r="75" ht="32" customHeight="1">
      <c r="A75" s="114" t="inlineStr">
        <is>
          <t>QA-044</t>
        </is>
      </c>
      <c r="B75" s="114" t="inlineStr">
        <is>
          <t>Mobile Responsiveness</t>
        </is>
      </c>
      <c r="C75" s="114" t="inlineStr">
        <is>
          <t>Images &amp; covers</t>
        </is>
      </c>
      <c r="D75" s="114" t="inlineStr">
        <is>
          <t>Correct srcset size served, no distortion</t>
        </is>
      </c>
      <c r="E75" s="114" t="inlineStr">
        <is>
          <t>All</t>
        </is>
      </c>
      <c r="F75" s="114" t="inlineStr">
        <is>
          <t>iPhone Safari, Android Chrome</t>
        </is>
      </c>
      <c r="G75" s="114" t="inlineStr">
        <is>
          <t>P0</t>
        </is>
      </c>
      <c r="H75" s="116" t="inlineStr">
        <is>
          <t>P6-13</t>
        </is>
      </c>
      <c r="I75" s="95" t="inlineStr">
        <is>
          <t>Not Run</t>
        </is>
      </c>
      <c r="J75" s="117" t="n"/>
      <c r="K75" s="95" t="n"/>
    </row>
    <row r="76" ht="32" customHeight="1">
      <c r="A76" s="114" t="inlineStr">
        <is>
          <t>QA-045</t>
        </is>
      </c>
      <c r="B76" s="114" t="inlineStr">
        <is>
          <t>Mobile Responsiveness</t>
        </is>
      </c>
      <c r="C76" s="114" t="inlineStr">
        <is>
          <t>Flipbook on mobile</t>
        </is>
      </c>
      <c r="D76" s="114" t="inlineStr">
        <is>
          <t>Fallback reader usable</t>
        </is>
      </c>
      <c r="E76" s="114" t="inlineStr">
        <is>
          <t>All</t>
        </is>
      </c>
      <c r="F76" s="114" t="inlineStr">
        <is>
          <t>iPhone Safari, Android Chrome</t>
        </is>
      </c>
      <c r="G76" s="114" t="inlineStr">
        <is>
          <t>P0</t>
        </is>
      </c>
      <c r="H76" s="116" t="inlineStr">
        <is>
          <t>P6-13</t>
        </is>
      </c>
      <c r="I76" s="95" t="inlineStr">
        <is>
          <t>Not Run</t>
        </is>
      </c>
      <c r="J76" s="117" t="n"/>
      <c r="K76" s="95" t="n"/>
    </row>
    <row r="77" ht="32" customHeight="1">
      <c r="A77" s="114" t="inlineStr">
        <is>
          <t>QA-046</t>
        </is>
      </c>
      <c r="B77" s="114" t="inlineStr">
        <is>
          <t>Mobile Responsiveness</t>
        </is>
      </c>
      <c r="C77" s="114" t="inlineStr">
        <is>
          <t>Forms on mobile</t>
        </is>
      </c>
      <c r="D77" s="114" t="inlineStr">
        <is>
          <t>Correct keyboard types, no zoom on focus</t>
        </is>
      </c>
      <c r="E77" s="114" t="inlineStr">
        <is>
          <t>All</t>
        </is>
      </c>
      <c r="F77" s="114" t="inlineStr">
        <is>
          <t>iPhone Safari, Android Chrome</t>
        </is>
      </c>
      <c r="G77" s="114" t="inlineStr">
        <is>
          <t>P0</t>
        </is>
      </c>
      <c r="H77" s="116" t="inlineStr">
        <is>
          <t>P6-13</t>
        </is>
      </c>
      <c r="I77" s="95" t="inlineStr">
        <is>
          <t>Not Run</t>
        </is>
      </c>
      <c r="J77" s="117" t="n"/>
      <c r="K77" s="95" t="n"/>
    </row>
    <row r="78" ht="32" customHeight="1">
      <c r="A78" s="114" t="inlineStr">
        <is>
          <t>QA-047</t>
        </is>
      </c>
      <c r="B78" s="114" t="inlineStr">
        <is>
          <t>Authentication</t>
        </is>
      </c>
      <c r="C78" s="114" t="inlineStr">
        <is>
          <t>Email registration + verification</t>
        </is>
      </c>
      <c r="D78" s="114" t="inlineStr">
        <is>
          <t>Account created, verification email received, account activated</t>
        </is>
      </c>
      <c r="E78" s="114" t="inlineStr">
        <is>
          <t>/login/, /register/, /account/</t>
        </is>
      </c>
      <c r="F78" s="114" t="inlineStr">
        <is>
          <t>Desktop + Mobile</t>
        </is>
      </c>
      <c r="G78" s="114" t="inlineStr">
        <is>
          <t>P0</t>
        </is>
      </c>
      <c r="H78" s="116" t="inlineStr">
        <is>
          <t>P5-04</t>
        </is>
      </c>
      <c r="I78" s="95" t="inlineStr">
        <is>
          <t>Not Run</t>
        </is>
      </c>
      <c r="J78" s="117" t="n"/>
      <c r="K78" s="95" t="n"/>
    </row>
    <row r="79" ht="32" customHeight="1">
      <c r="A79" s="114" t="inlineStr">
        <is>
          <t>QA-048</t>
        </is>
      </c>
      <c r="B79" s="114" t="inlineStr">
        <is>
          <t>Authentication</t>
        </is>
      </c>
      <c r="C79" s="114" t="inlineStr">
        <is>
          <t>Login / logout</t>
        </is>
      </c>
      <c r="D79" s="114" t="inlineStr">
        <is>
          <t>Redirects correct, session cleared on logout</t>
        </is>
      </c>
      <c r="E79" s="114" t="inlineStr">
        <is>
          <t>/login/, /register/, /account/</t>
        </is>
      </c>
      <c r="F79" s="114" t="inlineStr">
        <is>
          <t>Desktop + Mobile</t>
        </is>
      </c>
      <c r="G79" s="114" t="inlineStr">
        <is>
          <t>P0</t>
        </is>
      </c>
      <c r="H79" s="116" t="inlineStr">
        <is>
          <t>P5-04</t>
        </is>
      </c>
      <c r="I79" s="95" t="inlineStr">
        <is>
          <t>Not Run</t>
        </is>
      </c>
      <c r="J79" s="117" t="n"/>
      <c r="K79" s="95" t="n"/>
    </row>
    <row r="80" ht="32" customHeight="1">
      <c r="A80" s="114" t="inlineStr">
        <is>
          <t>QA-049</t>
        </is>
      </c>
      <c r="B80" s="114" t="inlineStr">
        <is>
          <t>Authentication</t>
        </is>
      </c>
      <c r="C80" s="114" t="inlineStr">
        <is>
          <t>Password reset</t>
        </is>
      </c>
      <c r="D80" s="114" t="inlineStr">
        <is>
          <t>Reset email received; link expires; new password works</t>
        </is>
      </c>
      <c r="E80" s="114" t="inlineStr">
        <is>
          <t>/login/, /register/, /account/</t>
        </is>
      </c>
      <c r="F80" s="114" t="inlineStr">
        <is>
          <t>Desktop + Mobile</t>
        </is>
      </c>
      <c r="G80" s="114" t="inlineStr">
        <is>
          <t>P0</t>
        </is>
      </c>
      <c r="H80" s="116" t="inlineStr">
        <is>
          <t>P5-04</t>
        </is>
      </c>
      <c r="I80" s="95" t="inlineStr">
        <is>
          <t>Not Run</t>
        </is>
      </c>
      <c r="J80" s="117" t="n"/>
      <c r="K80" s="95" t="n"/>
    </row>
    <row r="81" ht="32" customHeight="1">
      <c r="A81" s="114" t="inlineStr">
        <is>
          <t>QA-050</t>
        </is>
      </c>
      <c r="B81" s="114" t="inlineStr">
        <is>
          <t>Authentication</t>
        </is>
      </c>
      <c r="C81" s="114" t="inlineStr">
        <is>
          <t>Google sign-in</t>
        </is>
      </c>
      <c r="D81" s="114" t="inlineStr">
        <is>
          <t>New &amp; existing account linking works</t>
        </is>
      </c>
      <c r="E81" s="114" t="inlineStr">
        <is>
          <t>/login/, /register/, /account/</t>
        </is>
      </c>
      <c r="F81" s="114" t="inlineStr">
        <is>
          <t>Desktop + Mobile</t>
        </is>
      </c>
      <c r="G81" s="114" t="inlineStr">
        <is>
          <t>P0</t>
        </is>
      </c>
      <c r="H81" s="116" t="inlineStr">
        <is>
          <t>P5-05</t>
        </is>
      </c>
      <c r="I81" s="95" t="inlineStr">
        <is>
          <t>Not Run</t>
        </is>
      </c>
      <c r="J81" s="117" t="n"/>
      <c r="K81" s="95" t="n"/>
    </row>
    <row r="82" ht="32" customHeight="1">
      <c r="A82" s="114" t="inlineStr">
        <is>
          <t>QA-051</t>
        </is>
      </c>
      <c r="B82" s="114" t="inlineStr">
        <is>
          <t>Authentication</t>
        </is>
      </c>
      <c r="C82" s="114" t="inlineStr">
        <is>
          <t>Apple sign-in</t>
        </is>
      </c>
      <c r="D82" s="114" t="inlineStr">
        <is>
          <t>Works incl. private relay email</t>
        </is>
      </c>
      <c r="E82" s="114" t="inlineStr">
        <is>
          <t>/login/, /register/, /account/</t>
        </is>
      </c>
      <c r="F82" s="114" t="inlineStr">
        <is>
          <t>Desktop + Mobile</t>
        </is>
      </c>
      <c r="G82" s="114" t="inlineStr">
        <is>
          <t>P0</t>
        </is>
      </c>
      <c r="H82" s="116" t="inlineStr">
        <is>
          <t>P5-06</t>
        </is>
      </c>
      <c r="I82" s="95" t="inlineStr">
        <is>
          <t>Not Run</t>
        </is>
      </c>
      <c r="J82" s="117" t="n"/>
      <c r="K82" s="95" t="n"/>
    </row>
    <row r="83" ht="32" customHeight="1">
      <c r="A83" s="114" t="inlineStr">
        <is>
          <t>QA-052</t>
        </is>
      </c>
      <c r="B83" s="114" t="inlineStr">
        <is>
          <t>Authentication</t>
        </is>
      </c>
      <c r="C83" s="114" t="inlineStr">
        <is>
          <t>Rate limiting</t>
        </is>
      </c>
      <c r="D83" s="114" t="inlineStr">
        <is>
          <t>Lockout after repeated failures; generic error messages</t>
        </is>
      </c>
      <c r="E83" s="114" t="inlineStr">
        <is>
          <t>/login/, /register/, /account/</t>
        </is>
      </c>
      <c r="F83" s="114" t="inlineStr">
        <is>
          <t>Desktop + Mobile</t>
        </is>
      </c>
      <c r="G83" s="114" t="inlineStr">
        <is>
          <t>P0</t>
        </is>
      </c>
      <c r="H83" s="116" t="inlineStr">
        <is>
          <t>P5-12</t>
        </is>
      </c>
      <c r="I83" s="95" t="inlineStr">
        <is>
          <t>Not Run</t>
        </is>
      </c>
      <c r="J83" s="117" t="n"/>
      <c r="K83" s="95" t="n"/>
    </row>
    <row r="84" ht="32" customHeight="1">
      <c r="A84" s="114" t="inlineStr">
        <is>
          <t>QA-053</t>
        </is>
      </c>
      <c r="B84" s="114" t="inlineStr">
        <is>
          <t>Authentication</t>
        </is>
      </c>
      <c r="C84" s="114" t="inlineStr">
        <is>
          <t>No user enumeration</t>
        </is>
      </c>
      <c r="D84" s="114" t="inlineStr">
        <is>
          <t>Login/reset responses do not reveal whether user exists</t>
        </is>
      </c>
      <c r="E84" s="114" t="inlineStr">
        <is>
          <t>/login/, /register/, /account/</t>
        </is>
      </c>
      <c r="F84" s="114" t="inlineStr">
        <is>
          <t>Desktop + Mobile</t>
        </is>
      </c>
      <c r="G84" s="114" t="inlineStr">
        <is>
          <t>P0</t>
        </is>
      </c>
      <c r="H84" s="116" t="inlineStr">
        <is>
          <t>P5-12</t>
        </is>
      </c>
      <c r="I84" s="95" t="inlineStr">
        <is>
          <t>Not Run</t>
        </is>
      </c>
      <c r="J84" s="117" t="n"/>
      <c r="K84" s="95" t="n"/>
    </row>
    <row r="85" ht="32" customHeight="1">
      <c r="A85" s="114" t="inlineStr">
        <is>
          <t>QA-054</t>
        </is>
      </c>
      <c r="B85" s="114" t="inlineStr">
        <is>
          <t>Authentication</t>
        </is>
      </c>
      <c r="C85" s="114" t="inlineStr">
        <is>
          <t>Member dashboard</t>
        </is>
      </c>
      <c r="D85" s="114" t="inlineStr">
        <is>
          <t>Profile, plan, history, downloads visible</t>
        </is>
      </c>
      <c r="E85" s="114" t="inlineStr">
        <is>
          <t>/login/, /register/, /account/</t>
        </is>
      </c>
      <c r="F85" s="114" t="inlineStr">
        <is>
          <t>Desktop + Mobile</t>
        </is>
      </c>
      <c r="G85" s="114" t="inlineStr">
        <is>
          <t>P0</t>
        </is>
      </c>
      <c r="H85" s="116" t="inlineStr">
        <is>
          <t>P5-11</t>
        </is>
      </c>
      <c r="I85" s="95" t="inlineStr">
        <is>
          <t>Not Run</t>
        </is>
      </c>
      <c r="J85" s="117" t="n"/>
      <c r="K85" s="95" t="n"/>
    </row>
    <row r="86" ht="32" customHeight="1">
      <c r="A86" s="114" t="inlineStr">
        <is>
          <t>QA-055</t>
        </is>
      </c>
      <c r="B86" s="114" t="inlineStr">
        <is>
          <t>Subscription Functionality</t>
        </is>
      </c>
      <c r="C86" s="114" t="inlineStr">
        <is>
          <t>Tier entitlements</t>
        </is>
      </c>
      <c r="D86" s="114" t="inlineStr">
        <is>
          <t>Each tier accesses only its content/issues</t>
        </is>
      </c>
      <c r="E86" s="114" t="inlineStr">
        <is>
          <t>/subscribe/, /account/</t>
        </is>
      </c>
      <c r="F86" s="114" t="inlineStr">
        <is>
          <t>Desktop</t>
        </is>
      </c>
      <c r="G86" s="114" t="inlineStr">
        <is>
          <t>P0</t>
        </is>
      </c>
      <c r="H86" s="116" t="inlineStr">
        <is>
          <t>P5-07</t>
        </is>
      </c>
      <c r="I86" s="95" t="inlineStr">
        <is>
          <t>Not Run</t>
        </is>
      </c>
      <c r="J86" s="117" t="n"/>
      <c r="K86" s="95" t="n"/>
    </row>
    <row r="87" ht="32" customHeight="1">
      <c r="A87" s="114" t="inlineStr">
        <is>
          <t>QA-056</t>
        </is>
      </c>
      <c r="B87" s="114" t="inlineStr">
        <is>
          <t>Subscription Functionality</t>
        </is>
      </c>
      <c r="C87" s="114" t="inlineStr">
        <is>
          <t>Upgrade</t>
        </is>
      </c>
      <c r="D87" s="114" t="inlineStr">
        <is>
          <t>Upgrading changes entitlements immediately</t>
        </is>
      </c>
      <c r="E87" s="114" t="inlineStr">
        <is>
          <t>/subscribe/, /account/</t>
        </is>
      </c>
      <c r="F87" s="114" t="inlineStr">
        <is>
          <t>Desktop</t>
        </is>
      </c>
      <c r="G87" s="114" t="inlineStr">
        <is>
          <t>P0</t>
        </is>
      </c>
      <c r="H87" s="116" t="inlineStr">
        <is>
          <t>P5-07</t>
        </is>
      </c>
      <c r="I87" s="95" t="inlineStr">
        <is>
          <t>Not Run</t>
        </is>
      </c>
      <c r="J87" s="117" t="n"/>
      <c r="K87" s="95" t="n"/>
    </row>
    <row r="88" ht="32" customHeight="1">
      <c r="A88" s="114" t="inlineStr">
        <is>
          <t>QA-057</t>
        </is>
      </c>
      <c r="B88" s="114" t="inlineStr">
        <is>
          <t>Subscription Functionality</t>
        </is>
      </c>
      <c r="C88" s="114" t="inlineStr">
        <is>
          <t>Expiry</t>
        </is>
      </c>
      <c r="D88" s="114" t="inlineStr">
        <is>
          <t>Expired subscription loses access after grace period</t>
        </is>
      </c>
      <c r="E88" s="114" t="inlineStr">
        <is>
          <t>/subscribe/, /account/</t>
        </is>
      </c>
      <c r="F88" s="114" t="inlineStr">
        <is>
          <t>Desktop</t>
        </is>
      </c>
      <c r="G88" s="114" t="inlineStr">
        <is>
          <t>P0</t>
        </is>
      </c>
      <c r="H88" s="116" t="inlineStr">
        <is>
          <t>P5-07</t>
        </is>
      </c>
      <c r="I88" s="95" t="inlineStr">
        <is>
          <t>Not Run</t>
        </is>
      </c>
      <c r="J88" s="117" t="n"/>
      <c r="K88" s="95" t="n"/>
    </row>
    <row r="89" ht="32" customHeight="1">
      <c r="A89" s="114" t="inlineStr">
        <is>
          <t>QA-058</t>
        </is>
      </c>
      <c r="B89" s="114" t="inlineStr">
        <is>
          <t>Subscription Functionality</t>
        </is>
      </c>
      <c r="C89" s="114" t="inlineStr">
        <is>
          <t>Renewal reminder</t>
        </is>
      </c>
      <c r="D89" s="114" t="inlineStr">
        <is>
          <t>Reminder email sent before expiry</t>
        </is>
      </c>
      <c r="E89" s="114" t="inlineStr">
        <is>
          <t>/subscribe/, /account/</t>
        </is>
      </c>
      <c r="F89" s="114" t="inlineStr">
        <is>
          <t>Desktop</t>
        </is>
      </c>
      <c r="G89" s="114" t="inlineStr">
        <is>
          <t>P0</t>
        </is>
      </c>
      <c r="H89" s="116" t="inlineStr">
        <is>
          <t>P5-07</t>
        </is>
      </c>
      <c r="I89" s="95" t="inlineStr">
        <is>
          <t>Not Run</t>
        </is>
      </c>
      <c r="J89" s="117" t="n"/>
      <c r="K89" s="95" t="n"/>
    </row>
    <row r="90" ht="32" customHeight="1">
      <c r="A90" s="114" t="inlineStr">
        <is>
          <t>QA-059</t>
        </is>
      </c>
      <c r="B90" s="114" t="inlineStr">
        <is>
          <t>Subscription Functionality</t>
        </is>
      </c>
      <c r="C90" s="114" t="inlineStr">
        <is>
          <t>Pricing page</t>
        </is>
      </c>
      <c r="D90" s="114" t="inlineStr">
        <is>
          <t>Tiers and prices match admin config</t>
        </is>
      </c>
      <c r="E90" s="114" t="inlineStr">
        <is>
          <t>/subscribe/, /account/</t>
        </is>
      </c>
      <c r="F90" s="114" t="inlineStr">
        <is>
          <t>Desktop</t>
        </is>
      </c>
      <c r="G90" s="114" t="inlineStr">
        <is>
          <t>P0</t>
        </is>
      </c>
      <c r="H90" s="116" t="inlineStr">
        <is>
          <t>P5-07</t>
        </is>
      </c>
      <c r="I90" s="95" t="inlineStr">
        <is>
          <t>Not Run</t>
        </is>
      </c>
      <c r="J90" s="117" t="n"/>
      <c r="K90" s="95" t="n"/>
    </row>
    <row r="91" ht="32" customHeight="1">
      <c r="A91" s="114" t="inlineStr">
        <is>
          <t>QA-060</t>
        </is>
      </c>
      <c r="B91" s="114" t="inlineStr">
        <is>
          <t>Payment Workflows</t>
        </is>
      </c>
      <c r="C91" s="114" t="inlineStr">
        <is>
          <t>Successful payment (sandbox)</t>
        </is>
      </c>
      <c r="D91" s="114" t="inlineStr">
        <is>
          <t>Order recorded, tier activated, receipt emailed</t>
        </is>
      </c>
      <c r="E91" s="114" t="inlineStr">
        <is>
          <t>/checkout/</t>
        </is>
      </c>
      <c r="F91" s="114" t="inlineStr">
        <is>
          <t>Desktop</t>
        </is>
      </c>
      <c r="G91" s="114" t="inlineStr">
        <is>
          <t>P0</t>
        </is>
      </c>
      <c r="H91" s="116" t="inlineStr">
        <is>
          <t>P5-09</t>
        </is>
      </c>
      <c r="I91" s="95" t="inlineStr">
        <is>
          <t>Not Run</t>
        </is>
      </c>
      <c r="J91" s="117" t="n"/>
      <c r="K91" s="95" t="n"/>
    </row>
    <row r="92" ht="32" customHeight="1">
      <c r="A92" s="114" t="inlineStr">
        <is>
          <t>QA-061</t>
        </is>
      </c>
      <c r="B92" s="114" t="inlineStr">
        <is>
          <t>Payment Workflows</t>
        </is>
      </c>
      <c r="C92" s="114" t="inlineStr">
        <is>
          <t>Declined payment</t>
        </is>
      </c>
      <c r="D92" s="114" t="inlineStr">
        <is>
          <t>Clear error, no activation</t>
        </is>
      </c>
      <c r="E92" s="114" t="inlineStr">
        <is>
          <t>/checkout/</t>
        </is>
      </c>
      <c r="F92" s="114" t="inlineStr">
        <is>
          <t>Desktop</t>
        </is>
      </c>
      <c r="G92" s="114" t="inlineStr">
        <is>
          <t>P0</t>
        </is>
      </c>
      <c r="H92" s="116" t="inlineStr">
        <is>
          <t>P5-09</t>
        </is>
      </c>
      <c r="I92" s="95" t="inlineStr">
        <is>
          <t>Not Run</t>
        </is>
      </c>
      <c r="J92" s="117" t="n"/>
      <c r="K92" s="95" t="n"/>
    </row>
    <row r="93" ht="32" customHeight="1">
      <c r="A93" s="114" t="inlineStr">
        <is>
          <t>QA-062</t>
        </is>
      </c>
      <c r="B93" s="114" t="inlineStr">
        <is>
          <t>Payment Workflows</t>
        </is>
      </c>
      <c r="C93" s="114" t="inlineStr">
        <is>
          <t>Cancelled checkout</t>
        </is>
      </c>
      <c r="D93" s="114" t="inlineStr">
        <is>
          <t>Returns to site, no activation</t>
        </is>
      </c>
      <c r="E93" s="114" t="inlineStr">
        <is>
          <t>/checkout/</t>
        </is>
      </c>
      <c r="F93" s="114" t="inlineStr">
        <is>
          <t>Desktop</t>
        </is>
      </c>
      <c r="G93" s="114" t="inlineStr">
        <is>
          <t>P0</t>
        </is>
      </c>
      <c r="H93" s="116" t="inlineStr">
        <is>
          <t>P5-09</t>
        </is>
      </c>
      <c r="I93" s="95" t="inlineStr">
        <is>
          <t>Not Run</t>
        </is>
      </c>
      <c r="J93" s="117" t="n"/>
      <c r="K93" s="95" t="n"/>
    </row>
    <row r="94" ht="32" customHeight="1">
      <c r="A94" s="114" t="inlineStr">
        <is>
          <t>QA-063</t>
        </is>
      </c>
      <c r="B94" s="114" t="inlineStr">
        <is>
          <t>Payment Workflows</t>
        </is>
      </c>
      <c r="C94" s="114" t="inlineStr">
        <is>
          <t>Webhook signature invalid</t>
        </is>
      </c>
      <c r="D94" s="114" t="inlineStr">
        <is>
          <t>Request rejected and logged</t>
        </is>
      </c>
      <c r="E94" s="114" t="inlineStr">
        <is>
          <t>/checkout/</t>
        </is>
      </c>
      <c r="F94" s="114" t="inlineStr">
        <is>
          <t>Desktop</t>
        </is>
      </c>
      <c r="G94" s="114" t="inlineStr">
        <is>
          <t>P0</t>
        </is>
      </c>
      <c r="H94" s="116" t="inlineStr">
        <is>
          <t>P5-09</t>
        </is>
      </c>
      <c r="I94" s="95" t="inlineStr">
        <is>
          <t>Not Run</t>
        </is>
      </c>
      <c r="J94" s="117" t="n"/>
      <c r="K94" s="95" t="n"/>
    </row>
    <row r="95" ht="32" customHeight="1">
      <c r="A95" s="114" t="inlineStr">
        <is>
          <t>QA-064</t>
        </is>
      </c>
      <c r="B95" s="114" t="inlineStr">
        <is>
          <t>Payment Workflows</t>
        </is>
      </c>
      <c r="C95" s="114" t="inlineStr">
        <is>
          <t>Duplicate webhook</t>
        </is>
      </c>
      <c r="D95" s="114" t="inlineStr">
        <is>
          <t>Processed once (idempotent)</t>
        </is>
      </c>
      <c r="E95" s="114" t="inlineStr">
        <is>
          <t>/checkout/</t>
        </is>
      </c>
      <c r="F95" s="114" t="inlineStr">
        <is>
          <t>Desktop</t>
        </is>
      </c>
      <c r="G95" s="114" t="inlineStr">
        <is>
          <t>P0</t>
        </is>
      </c>
      <c r="H95" s="116" t="inlineStr">
        <is>
          <t>P5-09</t>
        </is>
      </c>
      <c r="I95" s="95" t="inlineStr">
        <is>
          <t>Not Run</t>
        </is>
      </c>
      <c r="J95" s="117" t="n"/>
      <c r="K95" s="95" t="n"/>
    </row>
    <row r="96" ht="32" customHeight="1">
      <c r="A96" s="114" t="inlineStr">
        <is>
          <t>QA-065</t>
        </is>
      </c>
      <c r="B96" s="114" t="inlineStr">
        <is>
          <t>Payment Workflows</t>
        </is>
      </c>
      <c r="C96" s="114" t="inlineStr">
        <is>
          <t>Refund event</t>
        </is>
      </c>
      <c r="D96" s="114" t="inlineStr">
        <is>
          <t>Access revoked/adjusted</t>
        </is>
      </c>
      <c r="E96" s="114" t="inlineStr">
        <is>
          <t>/checkout/</t>
        </is>
      </c>
      <c r="F96" s="114" t="inlineStr">
        <is>
          <t>Desktop</t>
        </is>
      </c>
      <c r="G96" s="114" t="inlineStr">
        <is>
          <t>P0</t>
        </is>
      </c>
      <c r="H96" s="116" t="inlineStr">
        <is>
          <t>P5-09</t>
        </is>
      </c>
      <c r="I96" s="95" t="inlineStr">
        <is>
          <t>Not Run</t>
        </is>
      </c>
      <c r="J96" s="117" t="n"/>
      <c r="K96" s="95" t="n"/>
    </row>
    <row r="97" ht="32" customHeight="1">
      <c r="A97" s="114" t="inlineStr">
        <is>
          <t>QA-066</t>
        </is>
      </c>
      <c r="B97" s="114" t="inlineStr">
        <is>
          <t>Payment Workflows</t>
        </is>
      </c>
      <c r="C97" s="114" t="inlineStr">
        <is>
          <t>Live mode smoke test</t>
        </is>
      </c>
      <c r="D97" s="114" t="inlineStr">
        <is>
          <t>One real low-value transaction succeeds post-cutover</t>
        </is>
      </c>
      <c r="E97" s="114" t="inlineStr">
        <is>
          <t>/checkout/</t>
        </is>
      </c>
      <c r="F97" s="114" t="inlineStr">
        <is>
          <t>Desktop</t>
        </is>
      </c>
      <c r="G97" s="114" t="inlineStr">
        <is>
          <t>P0</t>
        </is>
      </c>
      <c r="H97" s="116" t="inlineStr">
        <is>
          <t>P5-09</t>
        </is>
      </c>
      <c r="I97" s="95" t="inlineStr">
        <is>
          <t>Not Run</t>
        </is>
      </c>
      <c r="J97" s="117" t="n"/>
      <c r="K97" s="95" t="n"/>
    </row>
    <row r="98" ht="32" customHeight="1">
      <c r="A98" s="114" t="inlineStr">
        <is>
          <t>QA-067</t>
        </is>
      </c>
      <c r="B98" s="114" t="inlineStr">
        <is>
          <t>SEO Metadata</t>
        </is>
      </c>
      <c r="C98" s="114" t="inlineStr">
        <is>
          <t>Title tags</t>
        </is>
      </c>
      <c r="D98" s="114" t="inlineStr">
        <is>
          <t>Match baseline or approved improvements</t>
        </is>
      </c>
      <c r="E98" s="114" t="inlineStr">
        <is>
          <t>All</t>
        </is>
      </c>
      <c r="F98" s="114" t="inlineStr">
        <is>
          <t>Crawler</t>
        </is>
      </c>
      <c r="G98" s="114" t="inlineStr">
        <is>
          <t>P0</t>
        </is>
      </c>
      <c r="H98" s="116" t="inlineStr">
        <is>
          <t>P6-09</t>
        </is>
      </c>
      <c r="I98" s="95" t="inlineStr">
        <is>
          <t>Not Run</t>
        </is>
      </c>
      <c r="J98" s="117" t="n"/>
      <c r="K98" s="95" t="n"/>
    </row>
    <row r="99" ht="32" customHeight="1">
      <c r="A99" s="114" t="inlineStr">
        <is>
          <t>QA-068</t>
        </is>
      </c>
      <c r="B99" s="114" t="inlineStr">
        <is>
          <t>SEO Metadata</t>
        </is>
      </c>
      <c r="C99" s="114" t="inlineStr">
        <is>
          <t>Meta descriptions</t>
        </is>
      </c>
      <c r="D99" s="114" t="inlineStr">
        <is>
          <t>Present and match baseline</t>
        </is>
      </c>
      <c r="E99" s="114" t="inlineStr">
        <is>
          <t>All</t>
        </is>
      </c>
      <c r="F99" s="114" t="inlineStr">
        <is>
          <t>Crawler</t>
        </is>
      </c>
      <c r="G99" s="114" t="inlineStr">
        <is>
          <t>P0</t>
        </is>
      </c>
      <c r="H99" s="116" t="inlineStr">
        <is>
          <t>P6-09</t>
        </is>
      </c>
      <c r="I99" s="95" t="inlineStr">
        <is>
          <t>Not Run</t>
        </is>
      </c>
      <c r="J99" s="117" t="n"/>
      <c r="K99" s="95" t="n"/>
    </row>
    <row r="100" ht="32" customHeight="1">
      <c r="A100" s="114" t="inlineStr">
        <is>
          <t>QA-069</t>
        </is>
      </c>
      <c r="B100" s="114" t="inlineStr">
        <is>
          <t>SEO Metadata</t>
        </is>
      </c>
      <c r="C100" s="114" t="inlineStr">
        <is>
          <t>Canonical URLs</t>
        </is>
      </c>
      <c r="D100" s="114" t="inlineStr">
        <is>
          <t>Self-referencing, correct domain</t>
        </is>
      </c>
      <c r="E100" s="114" t="inlineStr">
        <is>
          <t>All</t>
        </is>
      </c>
      <c r="F100" s="114" t="inlineStr">
        <is>
          <t>Crawler</t>
        </is>
      </c>
      <c r="G100" s="114" t="inlineStr">
        <is>
          <t>P0</t>
        </is>
      </c>
      <c r="H100" s="116" t="inlineStr">
        <is>
          <t>P6-09</t>
        </is>
      </c>
      <c r="I100" s="95" t="inlineStr">
        <is>
          <t>Not Run</t>
        </is>
      </c>
      <c r="J100" s="117" t="n"/>
      <c r="K100" s="95" t="n"/>
    </row>
    <row r="101" ht="32" customHeight="1">
      <c r="A101" s="114" t="inlineStr">
        <is>
          <t>QA-070</t>
        </is>
      </c>
      <c r="B101" s="114" t="inlineStr">
        <is>
          <t>SEO Metadata</t>
        </is>
      </c>
      <c r="C101" s="114" t="inlineStr">
        <is>
          <t>Open Graph / Twitter cards</t>
        </is>
      </c>
      <c r="D101" s="114" t="inlineStr">
        <is>
          <t>Image, title, description correct when shared</t>
        </is>
      </c>
      <c r="E101" s="114" t="inlineStr">
        <is>
          <t>All</t>
        </is>
      </c>
      <c r="F101" s="114" t="inlineStr">
        <is>
          <t>Crawler</t>
        </is>
      </c>
      <c r="G101" s="114" t="inlineStr">
        <is>
          <t>P0</t>
        </is>
      </c>
      <c r="H101" s="116" t="inlineStr">
        <is>
          <t>P6-09</t>
        </is>
      </c>
      <c r="I101" s="95" t="inlineStr">
        <is>
          <t>Not Run</t>
        </is>
      </c>
      <c r="J101" s="117" t="n"/>
      <c r="K101" s="95" t="n"/>
    </row>
    <row r="102" ht="32" customHeight="1">
      <c r="A102" s="114" t="inlineStr">
        <is>
          <t>QA-071</t>
        </is>
      </c>
      <c r="B102" s="114" t="inlineStr">
        <is>
          <t>SEO Metadata</t>
        </is>
      </c>
      <c r="C102" s="114" t="inlineStr">
        <is>
          <t>Structured data</t>
        </is>
      </c>
      <c r="D102" s="114" t="inlineStr">
        <is>
          <t>NewsArticle valid in Rich Results Test</t>
        </is>
      </c>
      <c r="E102" s="114" t="inlineStr">
        <is>
          <t>All</t>
        </is>
      </c>
      <c r="F102" s="114" t="inlineStr">
        <is>
          <t>Crawler</t>
        </is>
      </c>
      <c r="G102" s="114" t="inlineStr">
        <is>
          <t>P0</t>
        </is>
      </c>
      <c r="H102" s="116" t="inlineStr">
        <is>
          <t>P6-09</t>
        </is>
      </c>
      <c r="I102" s="95" t="inlineStr">
        <is>
          <t>Not Run</t>
        </is>
      </c>
      <c r="J102" s="117" t="n"/>
      <c r="K102" s="95" t="n"/>
    </row>
    <row r="103" ht="32" customHeight="1">
      <c r="A103" s="114" t="inlineStr">
        <is>
          <t>QA-072</t>
        </is>
      </c>
      <c r="B103" s="114" t="inlineStr">
        <is>
          <t>SEO Metadata</t>
        </is>
      </c>
      <c r="C103" s="114" t="inlineStr">
        <is>
          <t>XML sitemaps</t>
        </is>
      </c>
      <c r="D103" s="114" t="inlineStr">
        <is>
          <t>Include posts, categories, issues; exclude private pages</t>
        </is>
      </c>
      <c r="E103" s="114" t="inlineStr">
        <is>
          <t>All</t>
        </is>
      </c>
      <c r="F103" s="114" t="inlineStr">
        <is>
          <t>Crawler</t>
        </is>
      </c>
      <c r="G103" s="114" t="inlineStr">
        <is>
          <t>P0</t>
        </is>
      </c>
      <c r="H103" s="116" t="inlineStr">
        <is>
          <t>P6-09</t>
        </is>
      </c>
      <c r="I103" s="95" t="inlineStr">
        <is>
          <t>Not Run</t>
        </is>
      </c>
      <c r="J103" s="117" t="n"/>
      <c r="K103" s="95" t="n"/>
    </row>
    <row r="104" ht="32" customHeight="1">
      <c r="A104" s="114" t="inlineStr">
        <is>
          <t>QA-073</t>
        </is>
      </c>
      <c r="B104" s="114" t="inlineStr">
        <is>
          <t>SEO Metadata</t>
        </is>
      </c>
      <c r="C104" s="114" t="inlineStr">
        <is>
          <t>Robots / noindex</t>
        </is>
      </c>
      <c r="D104" s="114" t="inlineStr">
        <is>
          <t>Production indexable; staging noindex removed only on production</t>
        </is>
      </c>
      <c r="E104" s="114" t="inlineStr">
        <is>
          <t>All</t>
        </is>
      </c>
      <c r="F104" s="114" t="inlineStr">
        <is>
          <t>Crawler</t>
        </is>
      </c>
      <c r="G104" s="114" t="inlineStr">
        <is>
          <t>P0</t>
        </is>
      </c>
      <c r="H104" s="116" t="inlineStr">
        <is>
          <t>P6-09</t>
        </is>
      </c>
      <c r="I104" s="95" t="inlineStr">
        <is>
          <t>Not Run</t>
        </is>
      </c>
      <c r="J104" s="117" t="n"/>
      <c r="K104" s="95" t="n"/>
    </row>
    <row r="105" ht="32" customHeight="1">
      <c r="A105" s="114" t="inlineStr">
        <is>
          <t>QA-074</t>
        </is>
      </c>
      <c r="B105" s="114" t="inlineStr">
        <is>
          <t>SEO Metadata</t>
        </is>
      </c>
      <c r="C105" s="114" t="inlineStr">
        <is>
          <t>Breadcrumbs</t>
        </is>
      </c>
      <c r="D105" s="114" t="inlineStr">
        <is>
          <t>Correct hierarchy and schema</t>
        </is>
      </c>
      <c r="E105" s="114" t="inlineStr">
        <is>
          <t>All</t>
        </is>
      </c>
      <c r="F105" s="114" t="inlineStr">
        <is>
          <t>Crawler</t>
        </is>
      </c>
      <c r="G105" s="114" t="inlineStr">
        <is>
          <t>P0</t>
        </is>
      </c>
      <c r="H105" s="116" t="inlineStr">
        <is>
          <t>P6-09</t>
        </is>
      </c>
      <c r="I105" s="95" t="inlineStr">
        <is>
          <t>Not Run</t>
        </is>
      </c>
      <c r="J105" s="117" t="n"/>
      <c r="K105" s="95" t="n"/>
    </row>
    <row r="106" ht="32" customHeight="1">
      <c r="A106" s="114" t="inlineStr">
        <is>
          <t>QA-075</t>
        </is>
      </c>
      <c r="B106" s="114" t="inlineStr">
        <is>
          <t>Existing Article URLs</t>
        </is>
      </c>
      <c r="C106" s="114" t="inlineStr">
        <is>
          <t>All 2,645 article URLs</t>
        </is>
      </c>
      <c r="D106" s="114" t="inlineStr">
        <is>
          <t>200 status, same permalink as production</t>
        </is>
      </c>
      <c r="E106" s="114" t="inlineStr">
        <is>
          <t>url-inventory.csv</t>
        </is>
      </c>
      <c r="F106" s="114" t="inlineStr">
        <is>
          <t>Crawler</t>
        </is>
      </c>
      <c r="G106" s="114" t="inlineStr">
        <is>
          <t>P0</t>
        </is>
      </c>
      <c r="H106" s="116" t="inlineStr">
        <is>
          <t>P6-08</t>
        </is>
      </c>
      <c r="I106" s="95" t="inlineStr">
        <is>
          <t>Not Run</t>
        </is>
      </c>
      <c r="J106" s="117" t="n"/>
      <c r="K106" s="95" t="n"/>
    </row>
    <row r="107" ht="32" customHeight="1">
      <c r="A107" s="114" t="inlineStr">
        <is>
          <t>QA-076</t>
        </is>
      </c>
      <c r="B107" s="114" t="inlineStr">
        <is>
          <t>Existing Article URLs</t>
        </is>
      </c>
      <c r="C107" s="114" t="inlineStr">
        <is>
          <t>Category &amp; tag URLs</t>
        </is>
      </c>
      <c r="D107" s="114" t="inlineStr">
        <is>
          <t>200 status, same slugs</t>
        </is>
      </c>
      <c r="E107" s="114" t="inlineStr">
        <is>
          <t>url-inventory.csv</t>
        </is>
      </c>
      <c r="F107" s="114" t="inlineStr">
        <is>
          <t>Crawler</t>
        </is>
      </c>
      <c r="G107" s="114" t="inlineStr">
        <is>
          <t>P0</t>
        </is>
      </c>
      <c r="H107" s="116" t="inlineStr">
        <is>
          <t>P6-08</t>
        </is>
      </c>
      <c r="I107" s="95" t="inlineStr">
        <is>
          <t>Not Run</t>
        </is>
      </c>
      <c r="J107" s="117" t="n"/>
      <c r="K107" s="95" t="n"/>
    </row>
    <row r="108" ht="32" customHeight="1">
      <c r="A108" s="114" t="inlineStr">
        <is>
          <t>QA-077</t>
        </is>
      </c>
      <c r="B108" s="114" t="inlineStr">
        <is>
          <t>Existing Article URLs</t>
        </is>
      </c>
      <c r="C108" s="114" t="inlineStr">
        <is>
          <t>Author URLs</t>
        </is>
      </c>
      <c r="D108" s="114" t="inlineStr">
        <is>
          <t>200 status</t>
        </is>
      </c>
      <c r="E108" s="114" t="inlineStr">
        <is>
          <t>url-inventory.csv</t>
        </is>
      </c>
      <c r="F108" s="114" t="inlineStr">
        <is>
          <t>Crawler</t>
        </is>
      </c>
      <c r="G108" s="114" t="inlineStr">
        <is>
          <t>P0</t>
        </is>
      </c>
      <c r="H108" s="116" t="inlineStr">
        <is>
          <t>P6-08</t>
        </is>
      </c>
      <c r="I108" s="95" t="inlineStr">
        <is>
          <t>Not Run</t>
        </is>
      </c>
      <c r="J108" s="117" t="n"/>
      <c r="K108" s="95" t="n"/>
    </row>
    <row r="109" ht="32" customHeight="1">
      <c r="A109" s="114" t="inlineStr">
        <is>
          <t>QA-078</t>
        </is>
      </c>
      <c r="B109" s="114" t="inlineStr">
        <is>
          <t>Existing Article URLs</t>
        </is>
      </c>
      <c r="C109" s="114" t="inlineStr">
        <is>
          <t>Changed URLs</t>
        </is>
      </c>
      <c r="D109" s="114" t="inlineStr">
        <is>
          <t>301 to correct target, no chains</t>
        </is>
      </c>
      <c r="E109" s="114" t="inlineStr">
        <is>
          <t>url-inventory.csv</t>
        </is>
      </c>
      <c r="F109" s="114" t="inlineStr">
        <is>
          <t>Crawler</t>
        </is>
      </c>
      <c r="G109" s="114" t="inlineStr">
        <is>
          <t>P0</t>
        </is>
      </c>
      <c r="H109" s="116" t="inlineStr">
        <is>
          <t>P6-08</t>
        </is>
      </c>
      <c r="I109" s="95" t="inlineStr">
        <is>
          <t>Not Run</t>
        </is>
      </c>
      <c r="J109" s="117" t="n"/>
      <c r="K109" s="95" t="n"/>
    </row>
    <row r="110" ht="32" customHeight="1">
      <c r="A110" s="114" t="inlineStr">
        <is>
          <t>QA-079</t>
        </is>
      </c>
      <c r="B110" s="114" t="inlineStr">
        <is>
          <t>Existing Article URLs</t>
        </is>
      </c>
      <c r="C110" s="114" t="inlineStr">
        <is>
          <t>Internal links</t>
        </is>
      </c>
      <c r="D110" s="114" t="inlineStr">
        <is>
          <t>No links to 404 pages</t>
        </is>
      </c>
      <c r="E110" s="114" t="inlineStr">
        <is>
          <t>url-inventory.csv</t>
        </is>
      </c>
      <c r="F110" s="114" t="inlineStr">
        <is>
          <t>Crawler</t>
        </is>
      </c>
      <c r="G110" s="114" t="inlineStr">
        <is>
          <t>P0</t>
        </is>
      </c>
      <c r="H110" s="116" t="inlineStr">
        <is>
          <t>P6-08</t>
        </is>
      </c>
      <c r="I110" s="95" t="inlineStr">
        <is>
          <t>Not Run</t>
        </is>
      </c>
      <c r="J110" s="117" t="n"/>
      <c r="K110" s="95" t="n"/>
    </row>
    <row r="111" ht="32" customHeight="1">
      <c r="A111" s="114" t="inlineStr">
        <is>
          <t>QA-080</t>
        </is>
      </c>
      <c r="B111" s="114" t="inlineStr">
        <is>
          <t>Performance</t>
        </is>
      </c>
      <c r="C111" s="114" t="inlineStr">
        <is>
          <t>Homepage LCP (mobile)</t>
        </is>
      </c>
      <c r="D111" s="114" t="inlineStr">
        <is>
          <t>&lt; 2.5 s</t>
        </is>
      </c>
      <c r="E111" s="114" t="inlineStr">
        <is>
          <t>/, article, category, issue</t>
        </is>
      </c>
      <c r="F111" s="114" t="inlineStr">
        <is>
          <t>PageSpeed Insights mobile</t>
        </is>
      </c>
      <c r="G111" s="114" t="inlineStr">
        <is>
          <t>P0</t>
        </is>
      </c>
      <c r="H111" s="116" t="inlineStr">
        <is>
          <t>P6-11</t>
        </is>
      </c>
      <c r="I111" s="95" t="inlineStr">
        <is>
          <t>Not Run</t>
        </is>
      </c>
      <c r="J111" s="117" t="n"/>
      <c r="K111" s="95" t="n"/>
    </row>
    <row r="112" ht="32" customHeight="1">
      <c r="A112" s="114" t="inlineStr">
        <is>
          <t>QA-081</t>
        </is>
      </c>
      <c r="B112" s="114" t="inlineStr">
        <is>
          <t>Performance</t>
        </is>
      </c>
      <c r="C112" s="114" t="inlineStr">
        <is>
          <t>Article LCP (mobile)</t>
        </is>
      </c>
      <c r="D112" s="114" t="inlineStr">
        <is>
          <t>&lt; 2.5 s</t>
        </is>
      </c>
      <c r="E112" s="114" t="inlineStr">
        <is>
          <t>/, article, category, issue</t>
        </is>
      </c>
      <c r="F112" s="114" t="inlineStr">
        <is>
          <t>PageSpeed Insights mobile</t>
        </is>
      </c>
      <c r="G112" s="114" t="inlineStr">
        <is>
          <t>P0</t>
        </is>
      </c>
      <c r="H112" s="116" t="inlineStr">
        <is>
          <t>P6-11</t>
        </is>
      </c>
      <c r="I112" s="95" t="inlineStr">
        <is>
          <t>Not Run</t>
        </is>
      </c>
      <c r="J112" s="117" t="n"/>
      <c r="K112" s="95" t="n"/>
    </row>
    <row r="113" ht="32" customHeight="1">
      <c r="A113" s="114" t="inlineStr">
        <is>
          <t>QA-082</t>
        </is>
      </c>
      <c r="B113" s="114" t="inlineStr">
        <is>
          <t>Performance</t>
        </is>
      </c>
      <c r="C113" s="114" t="inlineStr">
        <is>
          <t>CLS all templates</t>
        </is>
      </c>
      <c r="D113" s="114" t="inlineStr">
        <is>
          <t>&lt; 0.1</t>
        </is>
      </c>
      <c r="E113" s="114" t="inlineStr">
        <is>
          <t>/, article, category, issue</t>
        </is>
      </c>
      <c r="F113" s="114" t="inlineStr">
        <is>
          <t>PageSpeed Insights mobile</t>
        </is>
      </c>
      <c r="G113" s="114" t="inlineStr">
        <is>
          <t>P0</t>
        </is>
      </c>
      <c r="H113" s="116" t="inlineStr">
        <is>
          <t>P6-11</t>
        </is>
      </c>
      <c r="I113" s="95" t="inlineStr">
        <is>
          <t>Not Run</t>
        </is>
      </c>
      <c r="J113" s="117" t="n"/>
      <c r="K113" s="95" t="n"/>
    </row>
    <row r="114" ht="32" customHeight="1">
      <c r="A114" s="114" t="inlineStr">
        <is>
          <t>QA-083</t>
        </is>
      </c>
      <c r="B114" s="114" t="inlineStr">
        <is>
          <t>Performance</t>
        </is>
      </c>
      <c r="C114" s="114" t="inlineStr">
        <is>
          <t>INP</t>
        </is>
      </c>
      <c r="D114" s="114" t="inlineStr">
        <is>
          <t>&lt; 200 ms</t>
        </is>
      </c>
      <c r="E114" s="114" t="inlineStr">
        <is>
          <t>/, article, category, issue</t>
        </is>
      </c>
      <c r="F114" s="114" t="inlineStr">
        <is>
          <t>PageSpeed Insights mobile</t>
        </is>
      </c>
      <c r="G114" s="114" t="inlineStr">
        <is>
          <t>P0</t>
        </is>
      </c>
      <c r="H114" s="116" t="inlineStr">
        <is>
          <t>P6-11</t>
        </is>
      </c>
      <c r="I114" s="95" t="inlineStr">
        <is>
          <t>Not Run</t>
        </is>
      </c>
      <c r="J114" s="117" t="n"/>
      <c r="K114" s="95" t="n"/>
    </row>
    <row r="115" ht="32" customHeight="1">
      <c r="A115" s="114" t="inlineStr">
        <is>
          <t>QA-084</t>
        </is>
      </c>
      <c r="B115" s="114" t="inlineStr">
        <is>
          <t>Performance</t>
        </is>
      </c>
      <c r="C115" s="114" t="inlineStr">
        <is>
          <t>Homepage DB queries (warm cache)</t>
        </is>
      </c>
      <c r="D115" s="114" t="inlineStr">
        <is>
          <t>≤ 40 queries</t>
        </is>
      </c>
      <c r="E115" s="114" t="inlineStr">
        <is>
          <t>/, article, category, issue</t>
        </is>
      </c>
      <c r="F115" s="114" t="inlineStr">
        <is>
          <t>PageSpeed Insights mobile</t>
        </is>
      </c>
      <c r="G115" s="114" t="inlineStr">
        <is>
          <t>P0</t>
        </is>
      </c>
      <c r="H115" s="116" t="inlineStr">
        <is>
          <t>P6-11</t>
        </is>
      </c>
      <c r="I115" s="95" t="inlineStr">
        <is>
          <t>Not Run</t>
        </is>
      </c>
      <c r="J115" s="117" t="n"/>
      <c r="K115" s="95" t="n"/>
    </row>
    <row r="116" ht="32" customHeight="1">
      <c r="A116" s="114" t="inlineStr">
        <is>
          <t>QA-085</t>
        </is>
      </c>
      <c r="B116" s="114" t="inlineStr">
        <is>
          <t>Performance</t>
        </is>
      </c>
      <c r="C116" s="114" t="inlineStr">
        <is>
          <t>LiteSpeed page cache</t>
        </is>
      </c>
      <c r="D116" s="114" t="inlineStr">
        <is>
          <t>Guest pages served from cache; private pages not cached</t>
        </is>
      </c>
      <c r="E116" s="114" t="inlineStr">
        <is>
          <t>/, article, category, issue</t>
        </is>
      </c>
      <c r="F116" s="114" t="inlineStr">
        <is>
          <t>PageSpeed Insights mobile</t>
        </is>
      </c>
      <c r="G116" s="114" t="inlineStr">
        <is>
          <t>P0</t>
        </is>
      </c>
      <c r="H116" s="116" t="inlineStr">
        <is>
          <t>P6-11</t>
        </is>
      </c>
      <c r="I116" s="95" t="inlineStr">
        <is>
          <t>Not Run</t>
        </is>
      </c>
      <c r="J116" s="117" t="n"/>
      <c r="K116" s="95" t="n"/>
    </row>
    <row r="117" ht="32" customHeight="1">
      <c r="A117" s="114" t="inlineStr">
        <is>
          <t>QA-086</t>
        </is>
      </c>
      <c r="B117" s="114" t="inlineStr">
        <is>
          <t>Security</t>
        </is>
      </c>
      <c r="C117" s="114" t="inlineStr">
        <is>
          <t>Security headers</t>
        </is>
      </c>
      <c r="D117" s="114" t="inlineStr">
        <is>
          <t>HSTS, X-Content-Type-Options, Referrer-Policy, frame options present</t>
        </is>
      </c>
      <c r="E117" s="114" t="inlineStr">
        <is>
          <t>All</t>
        </is>
      </c>
      <c r="F117" s="114" t="inlineStr">
        <is>
          <t>Desktop</t>
        </is>
      </c>
      <c r="G117" s="114" t="inlineStr">
        <is>
          <t>P0</t>
        </is>
      </c>
      <c r="H117" s="116" t="inlineStr">
        <is>
          <t>P6-15</t>
        </is>
      </c>
      <c r="I117" s="95" t="inlineStr">
        <is>
          <t>Not Run</t>
        </is>
      </c>
      <c r="J117" s="117" t="n"/>
      <c r="K117" s="95" t="n"/>
    </row>
    <row r="118" ht="32" customHeight="1">
      <c r="A118" s="114" t="inlineStr">
        <is>
          <t>QA-087</t>
        </is>
      </c>
      <c r="B118" s="114" t="inlineStr">
        <is>
          <t>Security</t>
        </is>
      </c>
      <c r="C118" s="114" t="inlineStr">
        <is>
          <t>File editing disabled</t>
        </is>
      </c>
      <c r="D118" s="114" t="inlineStr">
        <is>
          <t>DISALLOW_FILE_EDIT true</t>
        </is>
      </c>
      <c r="E118" s="114" t="inlineStr">
        <is>
          <t>All</t>
        </is>
      </c>
      <c r="F118" s="114" t="inlineStr">
        <is>
          <t>Desktop</t>
        </is>
      </c>
      <c r="G118" s="114" t="inlineStr">
        <is>
          <t>P0</t>
        </is>
      </c>
      <c r="H118" s="116" t="inlineStr">
        <is>
          <t>P6-15</t>
        </is>
      </c>
      <c r="I118" s="95" t="inlineStr">
        <is>
          <t>Not Run</t>
        </is>
      </c>
      <c r="J118" s="117" t="n"/>
      <c r="K118" s="95" t="n"/>
    </row>
    <row r="119" ht="32" customHeight="1">
      <c r="A119" s="114" t="inlineStr">
        <is>
          <t>QA-088</t>
        </is>
      </c>
      <c r="B119" s="114" t="inlineStr">
        <is>
          <t>Security</t>
        </is>
      </c>
      <c r="C119" s="114" t="inlineStr">
        <is>
          <t>XML-RPC</t>
        </is>
      </c>
      <c r="D119" s="114" t="inlineStr">
        <is>
          <t>Disabled or restricted</t>
        </is>
      </c>
      <c r="E119" s="114" t="inlineStr">
        <is>
          <t>All</t>
        </is>
      </c>
      <c r="F119" s="114" t="inlineStr">
        <is>
          <t>Desktop</t>
        </is>
      </c>
      <c r="G119" s="114" t="inlineStr">
        <is>
          <t>P0</t>
        </is>
      </c>
      <c r="H119" s="116" t="inlineStr">
        <is>
          <t>P6-15</t>
        </is>
      </c>
      <c r="I119" s="95" t="inlineStr">
        <is>
          <t>Not Run</t>
        </is>
      </c>
      <c r="J119" s="117" t="n"/>
      <c r="K119" s="95" t="n"/>
    </row>
    <row r="120" ht="32" customHeight="1">
      <c r="A120" s="114" t="inlineStr">
        <is>
          <t>QA-089</t>
        </is>
      </c>
      <c r="B120" s="114" t="inlineStr">
        <is>
          <t>Security</t>
        </is>
      </c>
      <c r="C120" s="114" t="inlineStr">
        <is>
          <t>REST user enumeration</t>
        </is>
      </c>
      <c r="D120" s="114" t="inlineStr">
        <is>
          <t>/wp-json/wp/v2/users not exposing usernames publicly</t>
        </is>
      </c>
      <c r="E120" s="114" t="inlineStr">
        <is>
          <t>All</t>
        </is>
      </c>
      <c r="F120" s="114" t="inlineStr">
        <is>
          <t>Desktop</t>
        </is>
      </c>
      <c r="G120" s="114" t="inlineStr">
        <is>
          <t>P0</t>
        </is>
      </c>
      <c r="H120" s="116" t="inlineStr">
        <is>
          <t>P6-15</t>
        </is>
      </c>
      <c r="I120" s="95" t="inlineStr">
        <is>
          <t>Not Run</t>
        </is>
      </c>
      <c r="J120" s="117" t="n"/>
      <c r="K120" s="95" t="n"/>
    </row>
    <row r="121" ht="32" customHeight="1">
      <c r="A121" s="114" t="inlineStr">
        <is>
          <t>QA-090</t>
        </is>
      </c>
      <c r="B121" s="114" t="inlineStr">
        <is>
          <t>Security</t>
        </is>
      </c>
      <c r="C121" s="114" t="inlineStr">
        <is>
          <t>Form CSRF</t>
        </is>
      </c>
      <c r="D121" s="114" t="inlineStr">
        <is>
          <t>All forms reject missing/invalid nonce</t>
        </is>
      </c>
      <c r="E121" s="114" t="inlineStr">
        <is>
          <t>All</t>
        </is>
      </c>
      <c r="F121" s="114" t="inlineStr">
        <is>
          <t>Desktop</t>
        </is>
      </c>
      <c r="G121" s="114" t="inlineStr">
        <is>
          <t>P0</t>
        </is>
      </c>
      <c r="H121" s="116" t="inlineStr">
        <is>
          <t>P6-15</t>
        </is>
      </c>
      <c r="I121" s="95" t="inlineStr">
        <is>
          <t>Not Run</t>
        </is>
      </c>
      <c r="J121" s="117" t="n"/>
      <c r="K121" s="95" t="n"/>
    </row>
    <row r="122" ht="32" customHeight="1">
      <c r="A122" s="114" t="inlineStr">
        <is>
          <t>QA-091</t>
        </is>
      </c>
      <c r="B122" s="114" t="inlineStr">
        <is>
          <t>Security</t>
        </is>
      </c>
      <c r="C122" s="114" t="inlineStr">
        <is>
          <t>Output escaping</t>
        </is>
      </c>
      <c r="D122" s="114" t="inlineStr">
        <is>
          <t>No XSS with test payloads in search, forms</t>
        </is>
      </c>
      <c r="E122" s="114" t="inlineStr">
        <is>
          <t>All</t>
        </is>
      </c>
      <c r="F122" s="114" t="inlineStr">
        <is>
          <t>Desktop</t>
        </is>
      </c>
      <c r="G122" s="114" t="inlineStr">
        <is>
          <t>P0</t>
        </is>
      </c>
      <c r="H122" s="116" t="inlineStr">
        <is>
          <t>P6-15</t>
        </is>
      </c>
      <c r="I122" s="95" t="inlineStr">
        <is>
          <t>Not Run</t>
        </is>
      </c>
      <c r="J122" s="117" t="n"/>
      <c r="K122" s="95" t="n"/>
    </row>
    <row r="123" ht="32" customHeight="1">
      <c r="A123" s="114" t="inlineStr">
        <is>
          <t>QA-092</t>
        </is>
      </c>
      <c r="B123" s="114" t="inlineStr">
        <is>
          <t>Security</t>
        </is>
      </c>
      <c r="C123" s="114" t="inlineStr">
        <is>
          <t>Protected PDFs</t>
        </is>
      </c>
      <c r="D123" s="114" t="inlineStr">
        <is>
          <t>Direct URL blocked for unentitled users</t>
        </is>
      </c>
      <c r="E123" s="114" t="inlineStr">
        <is>
          <t>All</t>
        </is>
      </c>
      <c r="F123" s="114" t="inlineStr">
        <is>
          <t>Desktop</t>
        </is>
      </c>
      <c r="G123" s="114" t="inlineStr">
        <is>
          <t>P0</t>
        </is>
      </c>
      <c r="H123" s="116" t="inlineStr">
        <is>
          <t>P6-15</t>
        </is>
      </c>
      <c r="I123" s="95" t="inlineStr">
        <is>
          <t>Not Run</t>
        </is>
      </c>
      <c r="J123" s="117" t="n"/>
      <c r="K123" s="95" t="n"/>
    </row>
    <row r="124" ht="32" customHeight="1">
      <c r="A124" s="114" t="inlineStr">
        <is>
          <t>QA-093</t>
        </is>
      </c>
      <c r="B124" s="114" t="inlineStr">
        <is>
          <t>Security</t>
        </is>
      </c>
      <c r="C124" s="114" t="inlineStr">
        <is>
          <t>Admin accounts</t>
        </is>
      </c>
      <c r="D124" s="114" t="inlineStr">
        <is>
          <t>Only required admins; strong passwords; 2FA where possible</t>
        </is>
      </c>
      <c r="E124" s="114" t="inlineStr">
        <is>
          <t>All</t>
        </is>
      </c>
      <c r="F124" s="114" t="inlineStr">
        <is>
          <t>Desktop</t>
        </is>
      </c>
      <c r="G124" s="114" t="inlineStr">
        <is>
          <t>P0</t>
        </is>
      </c>
      <c r="H124" s="116" t="inlineStr">
        <is>
          <t>P6-15</t>
        </is>
      </c>
      <c r="I124" s="95" t="inlineStr">
        <is>
          <t>Not Run</t>
        </is>
      </c>
      <c r="J124" s="117" t="n"/>
      <c r="K124" s="95" t="n"/>
    </row>
    <row r="125" ht="32" customHeight="1">
      <c r="A125" s="114" t="inlineStr">
        <is>
          <t>QA-094</t>
        </is>
      </c>
      <c r="B125" s="114" t="inlineStr">
        <is>
          <t>Contact Forms</t>
        </is>
      </c>
      <c r="C125" s="114" t="inlineStr">
        <is>
          <t>Contact form valid submit</t>
        </is>
      </c>
      <c r="D125" s="114" t="inlineStr">
        <is>
          <t>Stored + email received</t>
        </is>
      </c>
      <c r="E125" s="114" t="inlineStr">
        <is>
          <t>/contact/, /advertise/</t>
        </is>
      </c>
      <c r="F125" s="114" t="inlineStr">
        <is>
          <t>Desktop + Mobile</t>
        </is>
      </c>
      <c r="G125" s="114" t="inlineStr">
        <is>
          <t>P0</t>
        </is>
      </c>
      <c r="H125" s="116" t="inlineStr">
        <is>
          <t>P5-17</t>
        </is>
      </c>
      <c r="I125" s="95" t="inlineStr">
        <is>
          <t>Not Run</t>
        </is>
      </c>
      <c r="J125" s="117" t="n"/>
      <c r="K125" s="95" t="n"/>
    </row>
    <row r="126" ht="32" customHeight="1">
      <c r="A126" s="114" t="inlineStr">
        <is>
          <t>QA-095</t>
        </is>
      </c>
      <c r="B126" s="114" t="inlineStr">
        <is>
          <t>Contact Forms</t>
        </is>
      </c>
      <c r="C126" s="114" t="inlineStr">
        <is>
          <t>Validation errors</t>
        </is>
      </c>
      <c r="D126" s="114" t="inlineStr">
        <is>
          <t>Arabic messages; data preserved</t>
        </is>
      </c>
      <c r="E126" s="114" t="inlineStr">
        <is>
          <t>/contact/, /advertise/</t>
        </is>
      </c>
      <c r="F126" s="114" t="inlineStr">
        <is>
          <t>Desktop + Mobile</t>
        </is>
      </c>
      <c r="G126" s="114" t="inlineStr">
        <is>
          <t>P0</t>
        </is>
      </c>
      <c r="H126" s="116" t="inlineStr">
        <is>
          <t>P5-17</t>
        </is>
      </c>
      <c r="I126" s="95" t="inlineStr">
        <is>
          <t>Not Run</t>
        </is>
      </c>
      <c r="J126" s="117" t="n"/>
      <c r="K126" s="95" t="n"/>
    </row>
    <row r="127" ht="32" customHeight="1">
      <c r="A127" s="114" t="inlineStr">
        <is>
          <t>QA-096</t>
        </is>
      </c>
      <c r="B127" s="114" t="inlineStr">
        <is>
          <t>Contact Forms</t>
        </is>
      </c>
      <c r="C127" s="114" t="inlineStr">
        <is>
          <t>Spam submission</t>
        </is>
      </c>
      <c r="D127" s="114" t="inlineStr">
        <is>
          <t>Blocked by honeypot/CAPTCHA</t>
        </is>
      </c>
      <c r="E127" s="114" t="inlineStr">
        <is>
          <t>/contact/, /advertise/</t>
        </is>
      </c>
      <c r="F127" s="114" t="inlineStr">
        <is>
          <t>Desktop + Mobile</t>
        </is>
      </c>
      <c r="G127" s="114" t="inlineStr">
        <is>
          <t>P0</t>
        </is>
      </c>
      <c r="H127" s="116" t="inlineStr">
        <is>
          <t>P5-17</t>
        </is>
      </c>
      <c r="I127" s="95" t="inlineStr">
        <is>
          <t>Not Run</t>
        </is>
      </c>
      <c r="J127" s="117" t="n"/>
      <c r="K127" s="95" t="n"/>
    </row>
    <row r="128" ht="32" customHeight="1">
      <c r="A128" s="114" t="inlineStr">
        <is>
          <t>QA-097</t>
        </is>
      </c>
      <c r="B128" s="114" t="inlineStr">
        <is>
          <t>Contact Forms</t>
        </is>
      </c>
      <c r="C128" s="114" t="inlineStr">
        <is>
          <t>Advertising lead form</t>
        </is>
      </c>
      <c r="D128" s="114" t="inlineStr">
        <is>
          <t>Stored in leads, notification sent</t>
        </is>
      </c>
      <c r="E128" s="114" t="inlineStr">
        <is>
          <t>/contact/, /advertise/</t>
        </is>
      </c>
      <c r="F128" s="114" t="inlineStr">
        <is>
          <t>Desktop + Mobile</t>
        </is>
      </c>
      <c r="G128" s="114" t="inlineStr">
        <is>
          <t>P0</t>
        </is>
      </c>
      <c r="H128" s="116" t="inlineStr">
        <is>
          <t>P5-17</t>
        </is>
      </c>
      <c r="I128" s="95" t="inlineStr">
        <is>
          <t>Not Run</t>
        </is>
      </c>
      <c r="J128" s="117" t="n"/>
      <c r="K128" s="95" t="n"/>
    </row>
    <row r="129" ht="32" customHeight="1">
      <c r="A129" s="114" t="inlineStr">
        <is>
          <t>QA-098</t>
        </is>
      </c>
      <c r="B129" s="114" t="inlineStr">
        <is>
          <t>Contact Forms</t>
        </is>
      </c>
      <c r="C129" s="114" t="inlineStr">
        <is>
          <t>Lead CSV export</t>
        </is>
      </c>
      <c r="D129" s="114" t="inlineStr">
        <is>
          <t>Export opens with Arabic text intact (UTF-8)</t>
        </is>
      </c>
      <c r="E129" s="114" t="inlineStr">
        <is>
          <t>/contact/, /advertise/</t>
        </is>
      </c>
      <c r="F129" s="114" t="inlineStr">
        <is>
          <t>Desktop + Mobile</t>
        </is>
      </c>
      <c r="G129" s="114" t="inlineStr">
        <is>
          <t>P0</t>
        </is>
      </c>
      <c r="H129" s="116" t="inlineStr">
        <is>
          <t>P5-17</t>
        </is>
      </c>
      <c r="I129" s="95" t="inlineStr">
        <is>
          <t>Not Run</t>
        </is>
      </c>
      <c r="J129" s="117" t="n"/>
      <c r="K129" s="95" t="n"/>
    </row>
    <row r="130" ht="32" customHeight="1">
      <c r="A130" s="114" t="inlineStr">
        <is>
          <t>QA-099</t>
        </is>
      </c>
      <c r="B130" s="114" t="inlineStr">
        <is>
          <t>Magazine PDFs</t>
        </is>
      </c>
      <c r="C130" s="114" t="inlineStr">
        <is>
          <t>48 issues present</t>
        </is>
      </c>
      <c r="D130" s="114" t="inlineStr">
        <is>
          <t>48/48 in archive</t>
        </is>
      </c>
      <c r="E130" s="114" t="inlineStr">
        <is>
          <t>/issues/</t>
        </is>
      </c>
      <c r="F130" s="114" t="inlineStr">
        <is>
          <t>Desktop + Mobile</t>
        </is>
      </c>
      <c r="G130" s="114" t="inlineStr">
        <is>
          <t>P0</t>
        </is>
      </c>
      <c r="H130" s="116" t="inlineStr">
        <is>
          <t>P4-12</t>
        </is>
      </c>
      <c r="I130" s="95" t="inlineStr">
        <is>
          <t>Not Run</t>
        </is>
      </c>
      <c r="J130" s="117" t="n"/>
      <c r="K130" s="95" t="n"/>
    </row>
    <row r="131" ht="32" customHeight="1">
      <c r="A131" s="114" t="inlineStr">
        <is>
          <t>QA-100</t>
        </is>
      </c>
      <c r="B131" s="114" t="inlineStr">
        <is>
          <t>Magazine PDFs</t>
        </is>
      </c>
      <c r="C131" s="114" t="inlineStr">
        <is>
          <t>Every PDF opens</t>
        </is>
      </c>
      <c r="D131" s="114" t="inlineStr">
        <is>
          <t>No broken/corrupt files</t>
        </is>
      </c>
      <c r="E131" s="114" t="inlineStr">
        <is>
          <t>/issues/</t>
        </is>
      </c>
      <c r="F131" s="114" t="inlineStr">
        <is>
          <t>Desktop + Mobile</t>
        </is>
      </c>
      <c r="G131" s="114" t="inlineStr">
        <is>
          <t>P0</t>
        </is>
      </c>
      <c r="H131" s="116" t="inlineStr">
        <is>
          <t>P4-12</t>
        </is>
      </c>
      <c r="I131" s="95" t="inlineStr">
        <is>
          <t>Not Run</t>
        </is>
      </c>
      <c r="J131" s="117" t="n"/>
      <c r="K131" s="95" t="n"/>
    </row>
    <row r="132" ht="32" customHeight="1">
      <c r="A132" s="114" t="inlineStr">
        <is>
          <t>QA-101</t>
        </is>
      </c>
      <c r="B132" s="114" t="inlineStr">
        <is>
          <t>Magazine PDFs</t>
        </is>
      </c>
      <c r="C132" s="114" t="inlineStr">
        <is>
          <t>Flipbook load</t>
        </is>
      </c>
      <c r="D132" s="114" t="inlineStr">
        <is>
          <t>First page &lt; 3 s on 4G</t>
        </is>
      </c>
      <c r="E132" s="114" t="inlineStr">
        <is>
          <t>/issues/</t>
        </is>
      </c>
      <c r="F132" s="114" t="inlineStr">
        <is>
          <t>Desktop + Mobile</t>
        </is>
      </c>
      <c r="G132" s="114" t="inlineStr">
        <is>
          <t>P0</t>
        </is>
      </c>
      <c r="H132" s="116" t="inlineStr">
        <is>
          <t>P4-12</t>
        </is>
      </c>
      <c r="I132" s="95" t="inlineStr">
        <is>
          <t>Not Run</t>
        </is>
      </c>
      <c r="J132" s="117" t="n"/>
      <c r="K132" s="95" t="n"/>
    </row>
    <row r="133" ht="32" customHeight="1">
      <c r="A133" s="114" t="inlineStr">
        <is>
          <t>QA-102</t>
        </is>
      </c>
      <c r="B133" s="114" t="inlineStr">
        <is>
          <t>Magazine PDFs</t>
        </is>
      </c>
      <c r="C133" s="114" t="inlineStr">
        <is>
          <t>Download filenames</t>
        </is>
      </c>
      <c r="D133" s="114" t="inlineStr">
        <is>
          <t>Meaningful names, correct headers</t>
        </is>
      </c>
      <c r="E133" s="114" t="inlineStr">
        <is>
          <t>/issues/</t>
        </is>
      </c>
      <c r="F133" s="114" t="inlineStr">
        <is>
          <t>Desktop + Mobile</t>
        </is>
      </c>
      <c r="G133" s="114" t="inlineStr">
        <is>
          <t>P0</t>
        </is>
      </c>
      <c r="H133" s="116" t="inlineStr">
        <is>
          <t>P4-12</t>
        </is>
      </c>
      <c r="I133" s="95" t="inlineStr">
        <is>
          <t>Not Run</t>
        </is>
      </c>
      <c r="J133" s="117" t="n"/>
      <c r="K133" s="95" t="n"/>
    </row>
    <row r="134" ht="32" customHeight="1">
      <c r="A134" s="114" t="inlineStr">
        <is>
          <t>QA-103</t>
        </is>
      </c>
      <c r="B134" s="114" t="inlineStr">
        <is>
          <t>Magazine PDFs</t>
        </is>
      </c>
      <c r="C134" s="114" t="inlineStr">
        <is>
          <t>Access restriction</t>
        </is>
      </c>
      <c r="D134" s="114" t="inlineStr">
        <is>
          <t>Gated issues blocked for guests</t>
        </is>
      </c>
      <c r="E134" s="114" t="inlineStr">
        <is>
          <t>/issues/</t>
        </is>
      </c>
      <c r="F134" s="114" t="inlineStr">
        <is>
          <t>Desktop + Mobile</t>
        </is>
      </c>
      <c r="G134" s="114" t="inlineStr">
        <is>
          <t>P0</t>
        </is>
      </c>
      <c r="H134" s="116" t="inlineStr">
        <is>
          <t>P4-12</t>
        </is>
      </c>
      <c r="I134" s="95" t="inlineStr">
        <is>
          <t>Not Run</t>
        </is>
      </c>
      <c r="J134" s="117" t="n"/>
      <c r="K134" s="95" t="n"/>
    </row>
    <row r="135" ht="32" customHeight="1">
      <c r="A135" s="114" t="inlineStr">
        <is>
          <t>QA-104</t>
        </is>
      </c>
      <c r="B135" s="114" t="inlineStr">
        <is>
          <t>Magazine PDFs</t>
        </is>
      </c>
      <c r="C135" s="114" t="inlineStr">
        <is>
          <t>Year/decade filters</t>
        </is>
      </c>
      <c r="D135" s="114" t="inlineStr">
        <is>
          <t>Counts match manifest</t>
        </is>
      </c>
      <c r="E135" s="114" t="inlineStr">
        <is>
          <t>/issues/</t>
        </is>
      </c>
      <c r="F135" s="114" t="inlineStr">
        <is>
          <t>Desktop + Mobile</t>
        </is>
      </c>
      <c r="G135" s="114" t="inlineStr">
        <is>
          <t>P0</t>
        </is>
      </c>
      <c r="H135" s="116" t="inlineStr">
        <is>
          <t>P4-12</t>
        </is>
      </c>
      <c r="I135" s="95" t="inlineStr">
        <is>
          <t>Not Run</t>
        </is>
      </c>
      <c r="J135" s="117" t="n"/>
      <c r="K135" s="95" t="n"/>
    </row>
    <row r="136" ht="32" customHeight="1">
      <c r="A136" s="114" t="inlineStr">
        <is>
          <t>QA-105</t>
        </is>
      </c>
      <c r="B136" s="114" t="inlineStr">
        <is>
          <t>Browser Compatibility</t>
        </is>
      </c>
      <c r="C136" s="114" t="inlineStr">
        <is>
          <t>Core journeys in Chrome (latest, Windows/macOS)</t>
        </is>
      </c>
      <c r="D136" s="114" t="inlineStr">
        <is>
          <t>Homepage, article, archive, issue reader, login and checkout work without visual/functional defects</t>
        </is>
      </c>
      <c r="E136" s="114" t="inlineStr">
        <is>
          <t>All</t>
        </is>
      </c>
      <c r="F136" s="114" t="inlineStr">
        <is>
          <t>Chrome (latest, Windows/macOS)</t>
        </is>
      </c>
      <c r="G136" s="114" t="inlineStr">
        <is>
          <t>P0</t>
        </is>
      </c>
      <c r="H136" s="116" t="inlineStr">
        <is>
          <t>P6-14</t>
        </is>
      </c>
      <c r="I136" s="95" t="inlineStr">
        <is>
          <t>Not Run</t>
        </is>
      </c>
      <c r="J136" s="117" t="n"/>
      <c r="K136" s="95" t="n"/>
    </row>
    <row r="137" ht="32" customHeight="1">
      <c r="A137" s="114" t="inlineStr">
        <is>
          <t>QA-106</t>
        </is>
      </c>
      <c r="B137" s="114" t="inlineStr">
        <is>
          <t>Browser Compatibility</t>
        </is>
      </c>
      <c r="C137" s="114" t="inlineStr">
        <is>
          <t>Core journeys in Safari (macOS)</t>
        </is>
      </c>
      <c r="D137" s="114" t="inlineStr">
        <is>
          <t>Homepage, article, archive, issue reader, login and checkout work without visual/functional defects</t>
        </is>
      </c>
      <c r="E137" s="114" t="inlineStr">
        <is>
          <t>All</t>
        </is>
      </c>
      <c r="F137" s="114" t="inlineStr">
        <is>
          <t>Safari (macOS)</t>
        </is>
      </c>
      <c r="G137" s="114" t="inlineStr">
        <is>
          <t>P0</t>
        </is>
      </c>
      <c r="H137" s="116" t="inlineStr">
        <is>
          <t>P6-14</t>
        </is>
      </c>
      <c r="I137" s="95" t="inlineStr">
        <is>
          <t>Not Run</t>
        </is>
      </c>
      <c r="J137" s="117" t="n"/>
      <c r="K137" s="95" t="n"/>
    </row>
    <row r="138" ht="32" customHeight="1">
      <c r="A138" s="114" t="inlineStr">
        <is>
          <t>QA-107</t>
        </is>
      </c>
      <c r="B138" s="114" t="inlineStr">
        <is>
          <t>Browser Compatibility</t>
        </is>
      </c>
      <c r="C138" s="114" t="inlineStr">
        <is>
          <t>Core journeys in Safari (iOS)</t>
        </is>
      </c>
      <c r="D138" s="114" t="inlineStr">
        <is>
          <t>Homepage, article, archive, issue reader, login and checkout work without visual/functional defects</t>
        </is>
      </c>
      <c r="E138" s="114" t="inlineStr">
        <is>
          <t>All</t>
        </is>
      </c>
      <c r="F138" s="114" t="inlineStr">
        <is>
          <t>Safari (iOS)</t>
        </is>
      </c>
      <c r="G138" s="114" t="inlineStr">
        <is>
          <t>P0</t>
        </is>
      </c>
      <c r="H138" s="116" t="inlineStr">
        <is>
          <t>P6-14</t>
        </is>
      </c>
      <c r="I138" s="95" t="inlineStr">
        <is>
          <t>Not Run</t>
        </is>
      </c>
      <c r="J138" s="117" t="n"/>
      <c r="K138" s="95" t="n"/>
    </row>
    <row r="139" ht="32" customHeight="1">
      <c r="A139" s="114" t="inlineStr">
        <is>
          <t>QA-108</t>
        </is>
      </c>
      <c r="B139" s="114" t="inlineStr">
        <is>
          <t>Browser Compatibility</t>
        </is>
      </c>
      <c r="C139" s="114" t="inlineStr">
        <is>
          <t>Core journeys in Firefox (latest)</t>
        </is>
      </c>
      <c r="D139" s="114" t="inlineStr">
        <is>
          <t>Homepage, article, archive, issue reader, login and checkout work without visual/functional defects</t>
        </is>
      </c>
      <c r="E139" s="114" t="inlineStr">
        <is>
          <t>All</t>
        </is>
      </c>
      <c r="F139" s="114" t="inlineStr">
        <is>
          <t>Firefox (latest)</t>
        </is>
      </c>
      <c r="G139" s="114" t="inlineStr">
        <is>
          <t>P0</t>
        </is>
      </c>
      <c r="H139" s="116" t="inlineStr">
        <is>
          <t>P6-14</t>
        </is>
      </c>
      <c r="I139" s="95" t="inlineStr">
        <is>
          <t>Not Run</t>
        </is>
      </c>
      <c r="J139" s="117" t="n"/>
      <c r="K139" s="95" t="n"/>
    </row>
    <row r="140" ht="32" customHeight="1">
      <c r="A140" s="114" t="inlineStr">
        <is>
          <t>QA-109</t>
        </is>
      </c>
      <c r="B140" s="114" t="inlineStr">
        <is>
          <t>Browser Compatibility</t>
        </is>
      </c>
      <c r="C140" s="114" t="inlineStr">
        <is>
          <t>Core journeys in Edge (latest)</t>
        </is>
      </c>
      <c r="D140" s="114" t="inlineStr">
        <is>
          <t>Homepage, article, archive, issue reader, login and checkout work without visual/functional defects</t>
        </is>
      </c>
      <c r="E140" s="114" t="inlineStr">
        <is>
          <t>All</t>
        </is>
      </c>
      <c r="F140" s="114" t="inlineStr">
        <is>
          <t>Edge (latest)</t>
        </is>
      </c>
      <c r="G140" s="114" t="inlineStr">
        <is>
          <t>P0</t>
        </is>
      </c>
      <c r="H140" s="116" t="inlineStr">
        <is>
          <t>P6-14</t>
        </is>
      </c>
      <c r="I140" s="95" t="inlineStr">
        <is>
          <t>Not Run</t>
        </is>
      </c>
      <c r="J140" s="117" t="n"/>
      <c r="K140" s="95" t="n"/>
    </row>
    <row r="141" ht="32" customHeight="1">
      <c r="A141" s="114" t="inlineStr">
        <is>
          <t>QA-110</t>
        </is>
      </c>
      <c r="B141" s="114" t="inlineStr">
        <is>
          <t>Browser Compatibility</t>
        </is>
      </c>
      <c r="C141" s="114" t="inlineStr">
        <is>
          <t>Core journeys in Samsung Internet (Android)</t>
        </is>
      </c>
      <c r="D141" s="114" t="inlineStr">
        <is>
          <t>Homepage, article, archive, issue reader, login and checkout work without visual/functional defects</t>
        </is>
      </c>
      <c r="E141" s="114" t="inlineStr">
        <is>
          <t>All</t>
        </is>
      </c>
      <c r="F141" s="114" t="inlineStr">
        <is>
          <t>Samsung Internet (Android)</t>
        </is>
      </c>
      <c r="G141" s="114" t="inlineStr">
        <is>
          <t>P0</t>
        </is>
      </c>
      <c r="H141" s="116" t="inlineStr">
        <is>
          <t>P6-14</t>
        </is>
      </c>
      <c r="I141" s="95" t="inlineStr">
        <is>
          <t>Not Run</t>
        </is>
      </c>
      <c r="J141" s="117" t="n"/>
      <c r="K141" s="95" t="n"/>
    </row>
  </sheetData>
  <mergeCells count="2">
    <mergeCell ref="A2:K2"/>
    <mergeCell ref="A1:K1"/>
  </mergeCells>
  <conditionalFormatting sqref="H6:H28">
    <cfRule type="dataBar" priority="1">
      <dataBar>
        <cfvo type="num" val="0"/>
        <cfvo type="num" val="1"/>
        <color rgb="0010B981"/>
      </dataBar>
    </cfRule>
  </conditionalFormatting>
  <conditionalFormatting sqref="E6:E28">
    <cfRule type="expression" priority="2" dxfId="0">
      <formula>E6&gt;0</formula>
    </cfRule>
  </conditionalFormatting>
  <conditionalFormatting sqref="I32:I141">
    <cfRule type="expression" priority="3" dxfId="4">
      <formula>$I32="Pass"</formula>
    </cfRule>
    <cfRule type="expression" priority="4" dxfId="6">
      <formula>$I32="Fail"</formula>
    </cfRule>
    <cfRule type="expression" priority="5" dxfId="6">
      <formula>$I32="Blocked"</formula>
    </cfRule>
    <cfRule type="expression" priority="6" dxfId="7">
      <formula>$I32="Not Run"</formula>
    </cfRule>
  </conditionalFormatting>
  <dataValidations count="7">
    <dataValidation sqref="I32:I141" showDropDown="0" showInputMessage="0" showErrorMessage="1" allowBlank="1" errorTitle="Invalid value" error="Please choose a value from the dropdown list." type="list" errorStyle="stop">
      <formula1>=Lists!$G$2:$G$6</formula1>
    </dataValidation>
    <dataValidation sqref="G32:G141" showDropDown="0" showInputMessage="0" showErrorMessage="1" allowBlank="1" errorTitle="Invalid value" error="Please choose a value from the dropdown list." type="list" errorStyle="stop">
      <formula1>=Lists!$B$2:$B$4</formula1>
    </dataValidation>
    <dataValidation sqref="B32:B141" showDropDown="0" showInputMessage="0" showErrorMessage="1" allowBlank="1" errorTitle="Custom value" error="This value is not in the list — click OK to keep it." type="list" errorStyle="information">
      <formula1>=Lists!$AA$2:$AA$23</formula1>
    </dataValidation>
    <dataValidation sqref="F32:F141" showDropDown="0" showInputMessage="0" showErrorMessage="1" allowBlank="1" errorTitle="Custom value" error="This value is not in the list — click OK to keep it." type="list" errorStyle="information">
      <formula1>=Lists!$V$2:$V$14</formula1>
    </dataValidation>
    <dataValidation sqref="H32:H141" showDropDown="0" showInputMessage="0" showErrorMessage="1" allowBlank="1" errorTitle="Custom value" error="This value is not in the list — click OK to keep it." type="list" errorStyle="information">
      <formula1>='Master Tracker'!$A$6:$A$400</formula1>
    </dataValidation>
    <dataValidation sqref="J32:J141" showDropDown="0" showInputMessage="0" showErrorMessage="1" allowBlank="1" errorTitle="Custom value" error="This value is not in the list — click OK to keep it." type="list" errorStyle="information">
      <formula1>=Lists!$S$2:$S$62</formula1>
    </dataValidation>
    <dataValidation sqref="K32:K141" showDropDown="0" showInputMessage="0" showErrorMessage="1" allowBlank="1" errorTitle="Custom value" error="This value is not in the list — click OK to keep it." type="list" errorStyle="information">
      <formula1>=Lists!$W$2:$W$7</formula1>
    </dataValidation>
  </dataValidations>
  <hyperlinks>
    <hyperlink xmlns:r="http://schemas.openxmlformats.org/officeDocument/2006/relationships" ref="A3" r:id="rId1"/>
    <hyperlink xmlns:r="http://schemas.openxmlformats.org/officeDocument/2006/relationships" ref="C3" r:id="rId2"/>
    <hyperlink xmlns:r="http://schemas.openxmlformats.org/officeDocument/2006/relationships" ref="H32" r:id="rId3"/>
    <hyperlink xmlns:r="http://schemas.openxmlformats.org/officeDocument/2006/relationships" ref="H33" r:id="rId4"/>
    <hyperlink xmlns:r="http://schemas.openxmlformats.org/officeDocument/2006/relationships" ref="H34" r:id="rId5"/>
    <hyperlink xmlns:r="http://schemas.openxmlformats.org/officeDocument/2006/relationships" ref="H35" r:id="rId6"/>
    <hyperlink xmlns:r="http://schemas.openxmlformats.org/officeDocument/2006/relationships" ref="H36" r:id="rId7"/>
    <hyperlink xmlns:r="http://schemas.openxmlformats.org/officeDocument/2006/relationships" ref="H37" r:id="rId8"/>
    <hyperlink xmlns:r="http://schemas.openxmlformats.org/officeDocument/2006/relationships" ref="H38" r:id="rId9"/>
    <hyperlink xmlns:r="http://schemas.openxmlformats.org/officeDocument/2006/relationships" ref="H39" r:id="rId10"/>
    <hyperlink xmlns:r="http://schemas.openxmlformats.org/officeDocument/2006/relationships" ref="H40" r:id="rId11"/>
    <hyperlink xmlns:r="http://schemas.openxmlformats.org/officeDocument/2006/relationships" ref="H41" r:id="rId12"/>
    <hyperlink xmlns:r="http://schemas.openxmlformats.org/officeDocument/2006/relationships" ref="H42" r:id="rId13"/>
    <hyperlink xmlns:r="http://schemas.openxmlformats.org/officeDocument/2006/relationships" ref="H43" r:id="rId14"/>
    <hyperlink xmlns:r="http://schemas.openxmlformats.org/officeDocument/2006/relationships" ref="H44" r:id="rId15"/>
    <hyperlink xmlns:r="http://schemas.openxmlformats.org/officeDocument/2006/relationships" ref="H45" r:id="rId16"/>
    <hyperlink xmlns:r="http://schemas.openxmlformats.org/officeDocument/2006/relationships" ref="H46" r:id="rId17"/>
    <hyperlink xmlns:r="http://schemas.openxmlformats.org/officeDocument/2006/relationships" ref="H47" r:id="rId18"/>
    <hyperlink xmlns:r="http://schemas.openxmlformats.org/officeDocument/2006/relationships" ref="H48" r:id="rId19"/>
    <hyperlink xmlns:r="http://schemas.openxmlformats.org/officeDocument/2006/relationships" ref="H49" r:id="rId20"/>
    <hyperlink xmlns:r="http://schemas.openxmlformats.org/officeDocument/2006/relationships" ref="H50" r:id="rId21"/>
    <hyperlink xmlns:r="http://schemas.openxmlformats.org/officeDocument/2006/relationships" ref="H51" r:id="rId22"/>
    <hyperlink xmlns:r="http://schemas.openxmlformats.org/officeDocument/2006/relationships" ref="H52" r:id="rId23"/>
    <hyperlink xmlns:r="http://schemas.openxmlformats.org/officeDocument/2006/relationships" ref="H53" r:id="rId24"/>
    <hyperlink xmlns:r="http://schemas.openxmlformats.org/officeDocument/2006/relationships" ref="H54" r:id="rId25"/>
    <hyperlink xmlns:r="http://schemas.openxmlformats.org/officeDocument/2006/relationships" ref="H55" r:id="rId26"/>
    <hyperlink xmlns:r="http://schemas.openxmlformats.org/officeDocument/2006/relationships" ref="H56" r:id="rId27"/>
    <hyperlink xmlns:r="http://schemas.openxmlformats.org/officeDocument/2006/relationships" ref="H57" r:id="rId28"/>
    <hyperlink xmlns:r="http://schemas.openxmlformats.org/officeDocument/2006/relationships" ref="H58" r:id="rId29"/>
    <hyperlink xmlns:r="http://schemas.openxmlformats.org/officeDocument/2006/relationships" ref="H59" r:id="rId30"/>
    <hyperlink xmlns:r="http://schemas.openxmlformats.org/officeDocument/2006/relationships" ref="H60" r:id="rId31"/>
    <hyperlink xmlns:r="http://schemas.openxmlformats.org/officeDocument/2006/relationships" ref="H61" r:id="rId32"/>
    <hyperlink xmlns:r="http://schemas.openxmlformats.org/officeDocument/2006/relationships" ref="H62" r:id="rId33"/>
    <hyperlink xmlns:r="http://schemas.openxmlformats.org/officeDocument/2006/relationships" ref="H63" r:id="rId34"/>
    <hyperlink xmlns:r="http://schemas.openxmlformats.org/officeDocument/2006/relationships" ref="H64" r:id="rId35"/>
    <hyperlink xmlns:r="http://schemas.openxmlformats.org/officeDocument/2006/relationships" ref="H65" r:id="rId36"/>
    <hyperlink xmlns:r="http://schemas.openxmlformats.org/officeDocument/2006/relationships" ref="H66" r:id="rId37"/>
    <hyperlink xmlns:r="http://schemas.openxmlformats.org/officeDocument/2006/relationships" ref="H67" r:id="rId38"/>
    <hyperlink xmlns:r="http://schemas.openxmlformats.org/officeDocument/2006/relationships" ref="H68" r:id="rId39"/>
    <hyperlink xmlns:r="http://schemas.openxmlformats.org/officeDocument/2006/relationships" ref="H69" r:id="rId40"/>
    <hyperlink xmlns:r="http://schemas.openxmlformats.org/officeDocument/2006/relationships" ref="H70" r:id="rId41"/>
    <hyperlink xmlns:r="http://schemas.openxmlformats.org/officeDocument/2006/relationships" ref="H71" r:id="rId42"/>
    <hyperlink xmlns:r="http://schemas.openxmlformats.org/officeDocument/2006/relationships" ref="H72" r:id="rId43"/>
    <hyperlink xmlns:r="http://schemas.openxmlformats.org/officeDocument/2006/relationships" ref="H73" r:id="rId44"/>
    <hyperlink xmlns:r="http://schemas.openxmlformats.org/officeDocument/2006/relationships" ref="H74" r:id="rId45"/>
    <hyperlink xmlns:r="http://schemas.openxmlformats.org/officeDocument/2006/relationships" ref="H75" r:id="rId46"/>
    <hyperlink xmlns:r="http://schemas.openxmlformats.org/officeDocument/2006/relationships" ref="H76" r:id="rId47"/>
    <hyperlink xmlns:r="http://schemas.openxmlformats.org/officeDocument/2006/relationships" ref="H77" r:id="rId48"/>
    <hyperlink xmlns:r="http://schemas.openxmlformats.org/officeDocument/2006/relationships" ref="H78" r:id="rId49"/>
    <hyperlink xmlns:r="http://schemas.openxmlformats.org/officeDocument/2006/relationships" ref="H79" r:id="rId50"/>
    <hyperlink xmlns:r="http://schemas.openxmlformats.org/officeDocument/2006/relationships" ref="H80" r:id="rId51"/>
    <hyperlink xmlns:r="http://schemas.openxmlformats.org/officeDocument/2006/relationships" ref="H81" r:id="rId52"/>
    <hyperlink xmlns:r="http://schemas.openxmlformats.org/officeDocument/2006/relationships" ref="H82" r:id="rId53"/>
    <hyperlink xmlns:r="http://schemas.openxmlformats.org/officeDocument/2006/relationships" ref="H83" r:id="rId54"/>
    <hyperlink xmlns:r="http://schemas.openxmlformats.org/officeDocument/2006/relationships" ref="H84" r:id="rId55"/>
    <hyperlink xmlns:r="http://schemas.openxmlformats.org/officeDocument/2006/relationships" ref="H85" r:id="rId56"/>
    <hyperlink xmlns:r="http://schemas.openxmlformats.org/officeDocument/2006/relationships" ref="H86" r:id="rId57"/>
    <hyperlink xmlns:r="http://schemas.openxmlformats.org/officeDocument/2006/relationships" ref="H87" r:id="rId58"/>
    <hyperlink xmlns:r="http://schemas.openxmlformats.org/officeDocument/2006/relationships" ref="H88" r:id="rId59"/>
    <hyperlink xmlns:r="http://schemas.openxmlformats.org/officeDocument/2006/relationships" ref="H89" r:id="rId60"/>
    <hyperlink xmlns:r="http://schemas.openxmlformats.org/officeDocument/2006/relationships" ref="H90" r:id="rId61"/>
    <hyperlink xmlns:r="http://schemas.openxmlformats.org/officeDocument/2006/relationships" ref="H91" r:id="rId62"/>
    <hyperlink xmlns:r="http://schemas.openxmlformats.org/officeDocument/2006/relationships" ref="H92" r:id="rId63"/>
    <hyperlink xmlns:r="http://schemas.openxmlformats.org/officeDocument/2006/relationships" ref="H93" r:id="rId64"/>
    <hyperlink xmlns:r="http://schemas.openxmlformats.org/officeDocument/2006/relationships" ref="H94" r:id="rId65"/>
    <hyperlink xmlns:r="http://schemas.openxmlformats.org/officeDocument/2006/relationships" ref="H95" r:id="rId66"/>
    <hyperlink xmlns:r="http://schemas.openxmlformats.org/officeDocument/2006/relationships" ref="H96" r:id="rId67"/>
    <hyperlink xmlns:r="http://schemas.openxmlformats.org/officeDocument/2006/relationships" ref="H97" r:id="rId68"/>
    <hyperlink xmlns:r="http://schemas.openxmlformats.org/officeDocument/2006/relationships" ref="H98" r:id="rId69"/>
    <hyperlink xmlns:r="http://schemas.openxmlformats.org/officeDocument/2006/relationships" ref="H99" r:id="rId70"/>
    <hyperlink xmlns:r="http://schemas.openxmlformats.org/officeDocument/2006/relationships" ref="H100" r:id="rId71"/>
    <hyperlink xmlns:r="http://schemas.openxmlformats.org/officeDocument/2006/relationships" ref="H101" r:id="rId72"/>
    <hyperlink xmlns:r="http://schemas.openxmlformats.org/officeDocument/2006/relationships" ref="H102" r:id="rId73"/>
    <hyperlink xmlns:r="http://schemas.openxmlformats.org/officeDocument/2006/relationships" ref="H103" r:id="rId74"/>
    <hyperlink xmlns:r="http://schemas.openxmlformats.org/officeDocument/2006/relationships" ref="H104" r:id="rId75"/>
    <hyperlink xmlns:r="http://schemas.openxmlformats.org/officeDocument/2006/relationships" ref="H105" r:id="rId76"/>
    <hyperlink xmlns:r="http://schemas.openxmlformats.org/officeDocument/2006/relationships" ref="H106" r:id="rId77"/>
    <hyperlink xmlns:r="http://schemas.openxmlformats.org/officeDocument/2006/relationships" ref="H107" r:id="rId78"/>
    <hyperlink xmlns:r="http://schemas.openxmlformats.org/officeDocument/2006/relationships" ref="H108" r:id="rId79"/>
    <hyperlink xmlns:r="http://schemas.openxmlformats.org/officeDocument/2006/relationships" ref="H109" r:id="rId80"/>
    <hyperlink xmlns:r="http://schemas.openxmlformats.org/officeDocument/2006/relationships" ref="H110" r:id="rId81"/>
    <hyperlink xmlns:r="http://schemas.openxmlformats.org/officeDocument/2006/relationships" ref="H111" r:id="rId82"/>
    <hyperlink xmlns:r="http://schemas.openxmlformats.org/officeDocument/2006/relationships" ref="H112" r:id="rId83"/>
    <hyperlink xmlns:r="http://schemas.openxmlformats.org/officeDocument/2006/relationships" ref="H113" r:id="rId84"/>
    <hyperlink xmlns:r="http://schemas.openxmlformats.org/officeDocument/2006/relationships" ref="H114" r:id="rId85"/>
    <hyperlink xmlns:r="http://schemas.openxmlformats.org/officeDocument/2006/relationships" ref="H115" r:id="rId86"/>
    <hyperlink xmlns:r="http://schemas.openxmlformats.org/officeDocument/2006/relationships" ref="H116" r:id="rId87"/>
    <hyperlink xmlns:r="http://schemas.openxmlformats.org/officeDocument/2006/relationships" ref="H117" r:id="rId88"/>
    <hyperlink xmlns:r="http://schemas.openxmlformats.org/officeDocument/2006/relationships" ref="H118" r:id="rId89"/>
    <hyperlink xmlns:r="http://schemas.openxmlformats.org/officeDocument/2006/relationships" ref="H119" r:id="rId90"/>
    <hyperlink xmlns:r="http://schemas.openxmlformats.org/officeDocument/2006/relationships" ref="H120" r:id="rId91"/>
    <hyperlink xmlns:r="http://schemas.openxmlformats.org/officeDocument/2006/relationships" ref="H121" r:id="rId92"/>
    <hyperlink xmlns:r="http://schemas.openxmlformats.org/officeDocument/2006/relationships" ref="H122" r:id="rId93"/>
    <hyperlink xmlns:r="http://schemas.openxmlformats.org/officeDocument/2006/relationships" ref="H123" r:id="rId94"/>
    <hyperlink xmlns:r="http://schemas.openxmlformats.org/officeDocument/2006/relationships" ref="H124" r:id="rId95"/>
    <hyperlink xmlns:r="http://schemas.openxmlformats.org/officeDocument/2006/relationships" ref="H125" r:id="rId96"/>
    <hyperlink xmlns:r="http://schemas.openxmlformats.org/officeDocument/2006/relationships" ref="H126" r:id="rId97"/>
    <hyperlink xmlns:r="http://schemas.openxmlformats.org/officeDocument/2006/relationships" ref="H127" r:id="rId98"/>
    <hyperlink xmlns:r="http://schemas.openxmlformats.org/officeDocument/2006/relationships" ref="H128" r:id="rId99"/>
    <hyperlink xmlns:r="http://schemas.openxmlformats.org/officeDocument/2006/relationships" ref="H129" r:id="rId100"/>
    <hyperlink xmlns:r="http://schemas.openxmlformats.org/officeDocument/2006/relationships" ref="H130" r:id="rId101"/>
    <hyperlink xmlns:r="http://schemas.openxmlformats.org/officeDocument/2006/relationships" ref="H131" r:id="rId102"/>
    <hyperlink xmlns:r="http://schemas.openxmlformats.org/officeDocument/2006/relationships" ref="H132" r:id="rId103"/>
    <hyperlink xmlns:r="http://schemas.openxmlformats.org/officeDocument/2006/relationships" ref="H133" r:id="rId104"/>
    <hyperlink xmlns:r="http://schemas.openxmlformats.org/officeDocument/2006/relationships" ref="H134" r:id="rId105"/>
    <hyperlink xmlns:r="http://schemas.openxmlformats.org/officeDocument/2006/relationships" ref="H135" r:id="rId106"/>
    <hyperlink xmlns:r="http://schemas.openxmlformats.org/officeDocument/2006/relationships" ref="H136" r:id="rId107"/>
    <hyperlink xmlns:r="http://schemas.openxmlformats.org/officeDocument/2006/relationships" ref="H137" r:id="rId108"/>
    <hyperlink xmlns:r="http://schemas.openxmlformats.org/officeDocument/2006/relationships" ref="H138" r:id="rId109"/>
    <hyperlink xmlns:r="http://schemas.openxmlformats.org/officeDocument/2006/relationships" ref="H139" r:id="rId110"/>
    <hyperlink xmlns:r="http://schemas.openxmlformats.org/officeDocument/2006/relationships" ref="H140" r:id="rId111"/>
    <hyperlink xmlns:r="http://schemas.openxmlformats.org/officeDocument/2006/relationships" ref="H141" r:id="rId112"/>
  </hyperlinks>
  <pageMargins left="0.75" right="0.75" top="1" bottom="1" header="0.5" footer="0.5"/>
  <pageSetup orientation="landscape" fitToHeight="0" fitToWidth="1"/>
  <tableParts count="1">
    <tablePart xmlns:r="http://schemas.openxmlformats.org/officeDocument/2006/relationships" r:id="rId113"/>
  </tableParts>
</worksheet>
</file>

<file path=xl/worksheets/sheet10.xml><?xml version="1.0" encoding="utf-8"?>
<worksheet xmlns="http://schemas.openxmlformats.org/spreadsheetml/2006/main">
  <sheetPr>
    <tabColor rgb="0064748B"/>
    <outlinePr summaryBelow="1" summaryRight="1"/>
    <pageSetUpPr fitToPage="1"/>
  </sheetPr>
  <dimension ref="A1:J56"/>
  <sheetViews>
    <sheetView showGridLines="0" zoomScale="90" workbookViewId="0">
      <pane ySplit="6" topLeftCell="A7" activePane="bottomLeft" state="frozen"/>
      <selection pane="bottomLeft" activeCell="A1" sqref="A1"/>
    </sheetView>
  </sheetViews>
  <sheetFormatPr baseColWidth="8" defaultRowHeight="15"/>
  <cols>
    <col width="6" customWidth="1" min="1" max="1"/>
    <col width="22" customWidth="1" min="2" max="2"/>
    <col width="44" customWidth="1" min="3" max="3"/>
    <col width="40" customWidth="1" min="4" max="4"/>
    <col width="18" customWidth="1" min="5" max="5"/>
    <col width="11" customWidth="1" min="6" max="6"/>
    <col width="12" customWidth="1" min="7" max="7"/>
    <col width="14" customWidth="1" min="8" max="8"/>
    <col width="34" customWidth="1" min="9" max="9"/>
    <col width="14" customWidth="1" min="10" max="10"/>
  </cols>
  <sheetData>
    <row r="1" ht="34" customHeight="1">
      <c r="A1" s="1" t="inlineStr">
        <is>
          <t xml:space="preserve">  DEPLOYMENT &amp; ROLLBACK RUNBOOK  ·  Cutover 1 Nov 2026</t>
        </is>
      </c>
      <c r="B1" s="2" t="n"/>
      <c r="C1" s="2" t="n"/>
      <c r="D1" s="2" t="n"/>
      <c r="E1" s="2" t="n"/>
      <c r="F1" s="2" t="n"/>
      <c r="G1" s="2" t="n"/>
      <c r="H1" s="2" t="n"/>
      <c r="I1" s="2" t="n"/>
      <c r="J1" s="2" t="n"/>
    </row>
    <row r="2" ht="20" customHeight="1">
      <c r="A2" s="3" t="inlineStr">
        <is>
          <t xml:space="preserve">  Production stays untouched until every Stage 1 item is Done and the client has approved deployment.</t>
        </is>
      </c>
      <c r="B2" s="4" t="n"/>
      <c r="C2" s="4" t="n"/>
      <c r="D2" s="4" t="n"/>
      <c r="E2" s="4" t="n"/>
      <c r="F2" s="4" t="n"/>
      <c r="G2" s="4" t="n"/>
      <c r="H2" s="4" t="n"/>
      <c r="I2" s="4" t="n"/>
      <c r="J2" s="4" t="n"/>
    </row>
    <row r="3">
      <c r="A3" s="87" t="inlineStr">
        <is>
          <t>← Dashboard</t>
        </is>
      </c>
      <c r="C3" s="6" t="inlineStr">
        <is>
          <t>Production ↗</t>
        </is>
      </c>
      <c r="D3" s="118">
        <f>"Readiness: "&amp;TEXT(IFERROR(COUNTIF(G7:G200,"Done")/(COUNTA(C7:C45)-COUNTIF(G7:G200,"N/A")),0),"0%")&amp;"   ·   Failed steps: "&amp;COUNTIF(G7:G200,"Failed")</f>
        <v/>
      </c>
    </row>
    <row r="6">
      <c r="A6" s="61" t="inlineStr">
        <is>
          <t>Step</t>
        </is>
      </c>
      <c r="B6" s="61" t="inlineStr">
        <is>
          <t>Stage</t>
        </is>
      </c>
      <c r="C6" s="61" t="inlineStr">
        <is>
          <t>Action</t>
        </is>
      </c>
      <c r="D6" s="61" t="inlineStr">
        <is>
          <t>Verification</t>
        </is>
      </c>
      <c r="E6" s="61" t="inlineStr">
        <is>
          <t>Tool / Location</t>
        </is>
      </c>
      <c r="F6" s="61" t="inlineStr">
        <is>
          <t>Owner</t>
        </is>
      </c>
      <c r="G6" s="61" t="inlineStr">
        <is>
          <t>Status</t>
        </is>
      </c>
      <c r="H6" s="61" t="inlineStr">
        <is>
          <t>Done At</t>
        </is>
      </c>
      <c r="I6" s="61" t="inlineStr">
        <is>
          <t>Notes</t>
        </is>
      </c>
    </row>
    <row r="7" ht="30" customHeight="1">
      <c r="A7" s="114" t="n">
        <v>1</v>
      </c>
      <c r="B7" s="114" t="inlineStr">
        <is>
          <t>1. Staging Verification</t>
        </is>
      </c>
      <c r="C7" s="114" t="inlineStr">
        <is>
          <t>All P0 tasks Completed in Master Tracker</t>
        </is>
      </c>
      <c r="D7" s="114" t="inlineStr">
        <is>
          <t>Dashboard shows 0 open P0 tasks and 0 blocked</t>
        </is>
      </c>
      <c r="E7" s="114" t="inlineStr">
        <is>
          <t>Dashboard</t>
        </is>
      </c>
      <c r="F7" s="95" t="inlineStr">
        <is>
          <t>Developer</t>
        </is>
      </c>
      <c r="G7" s="95" t="inlineStr">
        <is>
          <t>Not Started</t>
        </is>
      </c>
      <c r="H7" s="119" t="n"/>
      <c r="I7" s="95" t="n"/>
    </row>
    <row r="8" ht="30" customHeight="1">
      <c r="A8" s="114" t="n">
        <v>2</v>
      </c>
      <c r="B8" s="114" t="inlineStr">
        <is>
          <t>1. Staging Verification</t>
        </is>
      </c>
      <c r="C8" s="114" t="inlineStr">
        <is>
          <t>QA &amp; Testing: all P0 cases Pass</t>
        </is>
      </c>
      <c r="D8" s="114" t="inlineStr">
        <is>
          <t>QA summary pass rate for P0 = 100%</t>
        </is>
      </c>
      <c r="E8" s="114" t="inlineStr">
        <is>
          <t>QA sheet</t>
        </is>
      </c>
      <c r="F8" s="95" t="inlineStr">
        <is>
          <t>Developer</t>
        </is>
      </c>
      <c r="G8" s="95" t="inlineStr">
        <is>
          <t>Not Started</t>
        </is>
      </c>
      <c r="H8" s="119" t="n"/>
      <c r="I8" s="95" t="n"/>
    </row>
    <row r="9" ht="30" customHeight="1">
      <c r="A9" s="114" t="n">
        <v>3</v>
      </c>
      <c r="B9" s="114" t="inlineStr">
        <is>
          <t>1. Staging Verification</t>
        </is>
      </c>
      <c r="C9" s="114" t="inlineStr">
        <is>
          <t>Client UAT written approval received</t>
        </is>
      </c>
      <c r="D9" s="114" t="inlineStr">
        <is>
          <t>Email/document archived (P6-18)</t>
        </is>
      </c>
      <c r="E9" s="114" t="inlineStr">
        <is>
          <t>Approval email</t>
        </is>
      </c>
      <c r="F9" s="95" t="inlineStr">
        <is>
          <t>Developer</t>
        </is>
      </c>
      <c r="G9" s="95" t="inlineStr">
        <is>
          <t>Not Started</t>
        </is>
      </c>
      <c r="H9" s="119" t="n"/>
      <c r="I9" s="95" t="n"/>
    </row>
    <row r="10" ht="30" customHeight="1">
      <c r="A10" s="114" t="n">
        <v>4</v>
      </c>
      <c r="B10" s="114" t="inlineStr">
        <is>
          <t>1. Staging Verification</t>
        </is>
      </c>
      <c r="C10" s="114" t="inlineStr">
        <is>
          <t>Live payment keys &amp; production OAuth redirect URIs confirmed</t>
        </is>
      </c>
      <c r="D10" s="114" t="inlineStr">
        <is>
          <t>Gateway live mode approved; Google/Apple allow production domain</t>
        </is>
      </c>
      <c r="E10" s="114" t="inlineStr">
        <is>
          <t>Provider dashboards</t>
        </is>
      </c>
      <c r="F10" s="95" t="inlineStr">
        <is>
          <t>Developer</t>
        </is>
      </c>
      <c r="G10" s="95" t="inlineStr">
        <is>
          <t>Not Started</t>
        </is>
      </c>
      <c r="H10" s="119" t="n"/>
      <c r="I10" s="95" t="n"/>
    </row>
    <row r="11" ht="30" customHeight="1">
      <c r="A11" s="114" t="n">
        <v>5</v>
      </c>
      <c r="B11" s="114" t="inlineStr">
        <is>
          <t>1. Staging Verification</t>
        </is>
      </c>
      <c r="C11" s="114" t="inlineStr">
        <is>
          <t>Announce content freeze window to editors</t>
        </is>
      </c>
      <c r="D11" s="114" t="inlineStr">
        <is>
          <t>Editors confirm no publishing during cutover</t>
        </is>
      </c>
      <c r="E11" s="114" t="inlineStr">
        <is>
          <t>Email</t>
        </is>
      </c>
      <c r="F11" s="95" t="inlineStr">
        <is>
          <t>Developer</t>
        </is>
      </c>
      <c r="G11" s="95" t="inlineStr">
        <is>
          <t>Not Started</t>
        </is>
      </c>
      <c r="H11" s="119" t="n"/>
      <c r="I11" s="95" t="n"/>
    </row>
    <row r="12" ht="30" customHeight="1">
      <c r="A12" s="114" t="n">
        <v>6</v>
      </c>
      <c r="B12" s="114" t="inlineStr">
        <is>
          <t>2. Full Backup</t>
        </is>
      </c>
      <c r="C12" s="114" t="inlineStr">
        <is>
          <t>Full production files backup (incl. uploads)</t>
        </is>
      </c>
      <c r="D12" s="114" t="inlineStr">
        <is>
          <t>Archive size &amp; checksum recorded; stored off-server</t>
        </is>
      </c>
      <c r="E12" s="114" t="inlineStr">
        <is>
          <t>hPanel / SSH</t>
        </is>
      </c>
      <c r="F12" s="95" t="inlineStr">
        <is>
          <t>Developer</t>
        </is>
      </c>
      <c r="G12" s="95" t="inlineStr">
        <is>
          <t>Not Started</t>
        </is>
      </c>
      <c r="H12" s="119" t="n"/>
      <c r="I12" s="95" t="n"/>
    </row>
    <row r="13" ht="30" customHeight="1">
      <c r="A13" s="114" t="n">
        <v>7</v>
      </c>
      <c r="B13" s="114" t="inlineStr">
        <is>
          <t>2. Full Backup</t>
        </is>
      </c>
      <c r="C13" s="114" t="inlineStr">
        <is>
          <t>Export current theme, plugin list &amp; settings</t>
        </is>
      </c>
      <c r="D13" s="114" t="inlineStr">
        <is>
          <t>JNews theme + plugin versions recorded</t>
        </is>
      </c>
      <c r="E13" s="114" t="inlineStr">
        <is>
          <t>WP admin</t>
        </is>
      </c>
      <c r="F13" s="95" t="inlineStr">
        <is>
          <t>Developer</t>
        </is>
      </c>
      <c r="G13" s="95" t="inlineStr">
        <is>
          <t>Not Started</t>
        </is>
      </c>
      <c r="H13" s="119" t="n"/>
      <c r="I13" s="95" t="n"/>
    </row>
    <row r="14" ht="30" customHeight="1">
      <c r="A14" s="114" t="n">
        <v>8</v>
      </c>
      <c r="B14" s="114" t="inlineStr">
        <is>
          <t>2. Full Backup</t>
        </is>
      </c>
      <c r="C14" s="114" t="inlineStr">
        <is>
          <t>Export Customizer/widgets/menus from production</t>
        </is>
      </c>
      <c r="D14" s="114" t="inlineStr">
        <is>
          <t>Export files saved</t>
        </is>
      </c>
      <c r="E14" s="114" t="inlineStr">
        <is>
          <t>WP admin</t>
        </is>
      </c>
      <c r="F14" s="95" t="inlineStr">
        <is>
          <t>Developer</t>
        </is>
      </c>
      <c r="G14" s="95" t="inlineStr">
        <is>
          <t>Not Started</t>
        </is>
      </c>
      <c r="H14" s="119" t="n"/>
      <c r="I14" s="95" t="n"/>
    </row>
    <row r="15" ht="30" customHeight="1">
      <c r="A15" s="114" t="n">
        <v>9</v>
      </c>
      <c r="B15" s="114" t="inlineStr">
        <is>
          <t>3. Database Backup</t>
        </is>
      </c>
      <c r="C15" s="114" t="inlineStr">
        <is>
          <t>Full production DB dump</t>
        </is>
      </c>
      <c r="D15" s="114" t="inlineStr">
        <is>
          <t>Dump imports cleanly into scratch DB</t>
        </is>
      </c>
      <c r="E15" s="114" t="inlineStr">
        <is>
          <t>phpMyAdmin / mysqldump</t>
        </is>
      </c>
      <c r="F15" s="95" t="inlineStr">
        <is>
          <t>Developer</t>
        </is>
      </c>
      <c r="G15" s="95" t="inlineStr">
        <is>
          <t>Not Started</t>
        </is>
      </c>
      <c r="H15" s="119" t="n"/>
      <c r="I15" s="95" t="n"/>
    </row>
    <row r="16" ht="30" customHeight="1">
      <c r="A16" s="114" t="n">
        <v>10</v>
      </c>
      <c r="B16" s="114" t="inlineStr">
        <is>
          <t>3. Database Backup</t>
        </is>
      </c>
      <c r="C16" s="114" t="inlineStr">
        <is>
          <t>Record row counts (posts 2,645 articles, users, terms)</t>
        </is>
      </c>
      <c r="D16" s="114" t="inlineStr">
        <is>
          <t>Counts saved for post-launch comparison</t>
        </is>
      </c>
      <c r="E16" s="114" t="inlineStr">
        <is>
          <t>SQL</t>
        </is>
      </c>
      <c r="F16" s="95" t="inlineStr">
        <is>
          <t>Developer</t>
        </is>
      </c>
      <c r="G16" s="95" t="inlineStr">
        <is>
          <t>Not Started</t>
        </is>
      </c>
      <c r="H16" s="119" t="n"/>
      <c r="I16" s="95" t="n"/>
    </row>
    <row r="17" ht="30" customHeight="1">
      <c r="A17" s="114" t="n">
        <v>11</v>
      </c>
      <c r="B17" s="114" t="inlineStr">
        <is>
          <t>4. SEO Comparison</t>
        </is>
      </c>
      <c r="C17" s="114" t="inlineStr">
        <is>
          <t>Final staging crawl vs baseline</t>
        </is>
      </c>
      <c r="D17" s="114" t="inlineStr">
        <is>
          <t>No unexpected title/meta/canonical differences</t>
        </is>
      </c>
      <c r="E17" s="114" t="inlineStr">
        <is>
          <t>Crawler</t>
        </is>
      </c>
      <c r="F17" s="95" t="inlineStr">
        <is>
          <t>Developer</t>
        </is>
      </c>
      <c r="G17" s="95" t="inlineStr">
        <is>
          <t>Not Started</t>
        </is>
      </c>
      <c r="H17" s="119" t="n"/>
      <c r="I17" s="95" t="n"/>
    </row>
    <row r="18" ht="30" customHeight="1">
      <c r="A18" s="114" t="n">
        <v>12</v>
      </c>
      <c r="B18" s="114" t="inlineStr">
        <is>
          <t>4. SEO Comparison</t>
        </is>
      </c>
      <c r="C18" s="114" t="inlineStr">
        <is>
          <t>Redirect map loaded and tested</t>
        </is>
      </c>
      <c r="D18" s="114" t="inlineStr">
        <is>
          <t>All mapped URLs 301 correctly</t>
        </is>
      </c>
      <c r="E18" s="114" t="inlineStr">
        <is>
          <t>Redirect tool</t>
        </is>
      </c>
      <c r="F18" s="95" t="inlineStr">
        <is>
          <t>Developer</t>
        </is>
      </c>
      <c r="G18" s="95" t="inlineStr">
        <is>
          <t>Not Started</t>
        </is>
      </c>
      <c r="H18" s="119" t="n"/>
      <c r="I18" s="95" t="n"/>
    </row>
    <row r="19" ht="30" customHeight="1">
      <c r="A19" s="114" t="n">
        <v>13</v>
      </c>
      <c r="B19" s="114" t="inlineStr">
        <is>
          <t>4. SEO Comparison</t>
        </is>
      </c>
      <c r="C19" s="114" t="inlineStr">
        <is>
          <t>Confirm production will stay indexable</t>
        </is>
      </c>
      <c r="D19" s="114" t="inlineStr">
        <is>
          <t>Search engine visibility setting ON in production; staging noindex not migrated</t>
        </is>
      </c>
      <c r="E19" s="114" t="inlineStr">
        <is>
          <t>WP admin</t>
        </is>
      </c>
      <c r="F19" s="95" t="inlineStr">
        <is>
          <t>Developer</t>
        </is>
      </c>
      <c r="G19" s="95" t="inlineStr">
        <is>
          <t>Not Started</t>
        </is>
      </c>
      <c r="H19" s="119" t="n"/>
      <c r="I19" s="95" t="n"/>
    </row>
    <row r="20" ht="30" customHeight="1">
      <c r="A20" s="114" t="n">
        <v>14</v>
      </c>
      <c r="B20" s="114" t="inlineStr">
        <is>
          <t>5. Theme Activation</t>
        </is>
      </c>
      <c r="C20" s="114" t="inlineStr">
        <is>
          <t>Enable maintenance mode (short)</t>
        </is>
      </c>
      <c r="D20" s="114" t="inlineStr">
        <is>
          <t>Visitors see maintenance page; admins can access</t>
        </is>
      </c>
      <c r="E20" s="114" t="inlineStr">
        <is>
          <t>Maintenance plugin</t>
        </is>
      </c>
      <c r="F20" s="95" t="inlineStr">
        <is>
          <t>Developer</t>
        </is>
      </c>
      <c r="G20" s="95" t="inlineStr">
        <is>
          <t>Not Started</t>
        </is>
      </c>
      <c r="H20" s="119" t="n"/>
      <c r="I20" s="95" t="n"/>
    </row>
    <row r="21" ht="30" customHeight="1">
      <c r="A21" s="114" t="n">
        <v>15</v>
      </c>
      <c r="B21" s="114" t="inlineStr">
        <is>
          <t>5. Theme Activation</t>
        </is>
      </c>
      <c r="C21" s="114" t="inlineStr">
        <is>
          <t>Upload theme package to production</t>
        </is>
      </c>
      <c r="D21" s="114" t="inlineStr">
        <is>
          <t>Files match tagged Git release</t>
        </is>
      </c>
      <c r="E21" s="114" t="inlineStr">
        <is>
          <t>SFTP / Git</t>
        </is>
      </c>
      <c r="F21" s="95" t="inlineStr">
        <is>
          <t>Developer</t>
        </is>
      </c>
      <c r="G21" s="95" t="inlineStr">
        <is>
          <t>Not Started</t>
        </is>
      </c>
      <c r="H21" s="119" t="n"/>
      <c r="I21" s="95" t="n"/>
    </row>
    <row r="22" ht="30" customHeight="1">
      <c r="A22" s="114" t="n">
        <v>16</v>
      </c>
      <c r="B22" s="114" t="inlineStr">
        <is>
          <t>5. Theme Activation</t>
        </is>
      </c>
      <c r="C22" s="114" t="inlineStr">
        <is>
          <t>Install/activate required plugins &amp; settings</t>
        </is>
      </c>
      <c r="D22" s="114" t="inlineStr">
        <is>
          <t>Plugin list matches staging</t>
        </is>
      </c>
      <c r="E22" s="114" t="inlineStr">
        <is>
          <t>WP admin</t>
        </is>
      </c>
      <c r="F22" s="95" t="inlineStr">
        <is>
          <t>Developer</t>
        </is>
      </c>
      <c r="G22" s="95" t="inlineStr">
        <is>
          <t>Not Started</t>
        </is>
      </c>
      <c r="H22" s="119" t="n"/>
      <c r="I22" s="95" t="n"/>
    </row>
    <row r="23" ht="30" customHeight="1">
      <c r="A23" s="114" t="n">
        <v>17</v>
      </c>
      <c r="B23" s="114" t="inlineStr">
        <is>
          <t>5. Theme Activation</t>
        </is>
      </c>
      <c r="C23" s="114" t="inlineStr">
        <is>
          <t>Migrate magazine issues (48), leads config, roles, Customizer settings</t>
        </is>
      </c>
      <c r="D23" s="114" t="inlineStr">
        <is>
          <t>48 issues present; homepage sections configured</t>
        </is>
      </c>
      <c r="E23" s="114" t="inlineStr">
        <is>
          <t>Import tools</t>
        </is>
      </c>
      <c r="F23" s="95" t="inlineStr">
        <is>
          <t>Developer</t>
        </is>
      </c>
      <c r="G23" s="95" t="inlineStr">
        <is>
          <t>Not Started</t>
        </is>
      </c>
      <c r="H23" s="119" t="n"/>
      <c r="I23" s="95" t="n"/>
    </row>
    <row r="24" ht="30" customHeight="1">
      <c r="A24" s="114" t="n">
        <v>18</v>
      </c>
      <c r="B24" s="114" t="inlineStr">
        <is>
          <t>5. Theme Activation</t>
        </is>
      </c>
      <c r="C24" s="114" t="inlineStr">
        <is>
          <t>Run approved DB optimizations</t>
        </is>
      </c>
      <c r="D24" s="114" t="inlineStr">
        <is>
          <t>Only steps rehearsed on staging executed</t>
        </is>
      </c>
      <c r="E24" s="114" t="inlineStr">
        <is>
          <t>SQL / plugin</t>
        </is>
      </c>
      <c r="F24" s="95" t="inlineStr">
        <is>
          <t>Developer</t>
        </is>
      </c>
      <c r="G24" s="95" t="inlineStr">
        <is>
          <t>Not Started</t>
        </is>
      </c>
      <c r="H24" s="119" t="n"/>
      <c r="I24" s="95" t="n"/>
    </row>
    <row r="25" ht="30" customHeight="1">
      <c r="A25" s="114" t="n">
        <v>19</v>
      </c>
      <c r="B25" s="114" t="inlineStr">
        <is>
          <t>5. Theme Activation</t>
        </is>
      </c>
      <c r="C25" s="114" t="inlineStr">
        <is>
          <t>Activate theme 'altijara'</t>
        </is>
      </c>
      <c r="D25" s="114" t="inlineStr">
        <is>
          <t>Homepage renders new theme</t>
        </is>
      </c>
      <c r="E25" s="114" t="inlineStr">
        <is>
          <t>WP admin</t>
        </is>
      </c>
      <c r="F25" s="95" t="inlineStr">
        <is>
          <t>Developer</t>
        </is>
      </c>
      <c r="G25" s="95" t="inlineStr">
        <is>
          <t>Not Started</t>
        </is>
      </c>
      <c r="H25" s="119" t="n"/>
      <c r="I25" s="95" t="n"/>
    </row>
    <row r="26" ht="30" customHeight="1">
      <c r="A26" s="114" t="n">
        <v>20</v>
      </c>
      <c r="B26" s="114" t="inlineStr">
        <is>
          <t>5. Theme Activation</t>
        </is>
      </c>
      <c r="C26" s="114" t="inlineStr">
        <is>
          <t>Switch credentials/webhooks to production (payments, OAuth, SMTP)</t>
        </is>
      </c>
      <c r="D26" s="114" t="inlineStr">
        <is>
          <t>Webhook endpoint registered with live secret</t>
        </is>
      </c>
      <c r="E26" s="114" t="inlineStr">
        <is>
          <t>Provider dashboards</t>
        </is>
      </c>
      <c r="F26" s="95" t="inlineStr">
        <is>
          <t>Developer</t>
        </is>
      </c>
      <c r="G26" s="95" t="inlineStr">
        <is>
          <t>Not Started</t>
        </is>
      </c>
      <c r="H26" s="119" t="n"/>
      <c r="I26" s="95" t="n"/>
    </row>
    <row r="27" ht="30" customHeight="1">
      <c r="A27" s="114" t="n">
        <v>21</v>
      </c>
      <c r="B27" s="114" t="inlineStr">
        <is>
          <t>5. Theme Activation</t>
        </is>
      </c>
      <c r="C27" s="114" t="inlineStr">
        <is>
          <t>Flush permalinks</t>
        </is>
      </c>
      <c r="D27" s="114" t="inlineStr">
        <is>
          <t>Settings &gt; Permalinks saved</t>
        </is>
      </c>
      <c r="E27" s="114" t="inlineStr">
        <is>
          <t>WP admin</t>
        </is>
      </c>
      <c r="F27" s="95" t="inlineStr">
        <is>
          <t>Developer</t>
        </is>
      </c>
      <c r="G27" s="95" t="inlineStr">
        <is>
          <t>Not Started</t>
        </is>
      </c>
      <c r="H27" s="119" t="n"/>
      <c r="I27" s="95" t="n"/>
    </row>
    <row r="28" ht="30" customHeight="1">
      <c r="A28" s="114" t="n">
        <v>22</v>
      </c>
      <c r="B28" s="114" t="inlineStr">
        <is>
          <t>6. Cache Clearing</t>
        </is>
      </c>
      <c r="C28" s="114" t="inlineStr">
        <is>
          <t>Purge LiteSpeed cache (all)</t>
        </is>
      </c>
      <c r="D28" s="114" t="inlineStr">
        <is>
          <t>Purge confirmation</t>
        </is>
      </c>
      <c r="E28" s="114" t="inlineStr">
        <is>
          <t>LiteSpeed</t>
        </is>
      </c>
      <c r="F28" s="95" t="inlineStr">
        <is>
          <t>Developer</t>
        </is>
      </c>
      <c r="G28" s="95" t="inlineStr">
        <is>
          <t>Not Started</t>
        </is>
      </c>
      <c r="H28" s="119" t="n"/>
      <c r="I28" s="95" t="n"/>
    </row>
    <row r="29" ht="30" customHeight="1">
      <c r="A29" s="114" t="n">
        <v>23</v>
      </c>
      <c r="B29" s="114" t="inlineStr">
        <is>
          <t>6. Cache Clearing</t>
        </is>
      </c>
      <c r="C29" s="114" t="inlineStr">
        <is>
          <t>Purge CDN / hosting cache if applicable</t>
        </is>
      </c>
      <c r="D29" s="114" t="inlineStr">
        <is>
          <t>Fresh assets served (versioned URLs)</t>
        </is>
      </c>
      <c r="E29" s="114" t="inlineStr">
        <is>
          <t>hPanel / CDN</t>
        </is>
      </c>
      <c r="F29" s="95" t="inlineStr">
        <is>
          <t>Developer</t>
        </is>
      </c>
      <c r="G29" s="95" t="inlineStr">
        <is>
          <t>Not Started</t>
        </is>
      </c>
      <c r="H29" s="119" t="n"/>
      <c r="I29" s="95" t="n"/>
    </row>
    <row r="30" ht="30" customHeight="1">
      <c r="A30" s="114" t="n">
        <v>24</v>
      </c>
      <c r="B30" s="114" t="inlineStr">
        <is>
          <t>6. Cache Clearing</t>
        </is>
      </c>
      <c r="C30" s="114" t="inlineStr">
        <is>
          <t>Disable maintenance mode</t>
        </is>
      </c>
      <c r="D30" s="114" t="inlineStr">
        <is>
          <t>Public site visible</t>
        </is>
      </c>
      <c r="E30" s="114" t="inlineStr">
        <is>
          <t>WP admin</t>
        </is>
      </c>
      <c r="F30" s="95" t="inlineStr">
        <is>
          <t>Developer</t>
        </is>
      </c>
      <c r="G30" s="95" t="inlineStr">
        <is>
          <t>Not Started</t>
        </is>
      </c>
      <c r="H30" s="119" t="n"/>
      <c r="I30" s="95" t="n"/>
    </row>
    <row r="31" ht="30" customHeight="1">
      <c r="A31" s="114" t="n">
        <v>25</v>
      </c>
      <c r="B31" s="114" t="inlineStr">
        <is>
          <t>7. Smoke Testing</t>
        </is>
      </c>
      <c r="C31" s="114" t="inlineStr">
        <is>
          <t>Homepage, article, category, author load (guest)</t>
        </is>
      </c>
      <c r="D31" s="114" t="inlineStr">
        <is>
          <t>200, correct layout</t>
        </is>
      </c>
      <c r="E31" s="114" t="inlineStr">
        <is>
          <t>Browser</t>
        </is>
      </c>
      <c r="F31" s="95" t="inlineStr">
        <is>
          <t>Developer</t>
        </is>
      </c>
      <c r="G31" s="95" t="inlineStr">
        <is>
          <t>Not Started</t>
        </is>
      </c>
      <c r="H31" s="119" t="n"/>
      <c r="I31" s="95" t="n"/>
    </row>
    <row r="32" ht="30" customHeight="1">
      <c r="A32" s="114" t="n">
        <v>26</v>
      </c>
      <c r="B32" s="114" t="inlineStr">
        <is>
          <t>7. Smoke Testing</t>
        </is>
      </c>
      <c r="C32" s="114" t="inlineStr">
        <is>
          <t>Issue archive, single issue, flipbook, download</t>
        </is>
      </c>
      <c r="D32" s="114" t="inlineStr">
        <is>
          <t>Works per access rules</t>
        </is>
      </c>
      <c r="E32" s="114" t="inlineStr">
        <is>
          <t>Browser</t>
        </is>
      </c>
      <c r="F32" s="95" t="inlineStr">
        <is>
          <t>Developer</t>
        </is>
      </c>
      <c r="G32" s="95" t="inlineStr">
        <is>
          <t>Not Started</t>
        </is>
      </c>
      <c r="H32" s="119" t="n"/>
      <c r="I32" s="95" t="n"/>
    </row>
    <row r="33" ht="30" customHeight="1">
      <c r="A33" s="114" t="n">
        <v>27</v>
      </c>
      <c r="B33" s="114" t="inlineStr">
        <is>
          <t>7. Smoke Testing</t>
        </is>
      </c>
      <c r="C33" s="114" t="inlineStr">
        <is>
          <t>Login, register, reset, Google sign-in</t>
        </is>
      </c>
      <c r="D33" s="114" t="inlineStr">
        <is>
          <t>All succeed</t>
        </is>
      </c>
      <c r="E33" s="114" t="inlineStr">
        <is>
          <t>Browser</t>
        </is>
      </c>
      <c r="F33" s="95" t="inlineStr">
        <is>
          <t>Developer</t>
        </is>
      </c>
      <c r="G33" s="95" t="inlineStr">
        <is>
          <t>Not Started</t>
        </is>
      </c>
      <c r="H33" s="119" t="n"/>
      <c r="I33" s="95" t="n"/>
    </row>
    <row r="34" ht="30" customHeight="1">
      <c r="A34" s="114" t="n">
        <v>28</v>
      </c>
      <c r="B34" s="114" t="inlineStr">
        <is>
          <t>7. Smoke Testing</t>
        </is>
      </c>
      <c r="C34" s="114" t="inlineStr">
        <is>
          <t>Live payment test (low value) + webhook received</t>
        </is>
      </c>
      <c r="D34" s="114" t="inlineStr">
        <is>
          <t>Tier activated; refund test transaction</t>
        </is>
      </c>
      <c r="E34" s="114" t="inlineStr">
        <is>
          <t>Gateway</t>
        </is>
      </c>
      <c r="F34" s="95" t="inlineStr">
        <is>
          <t>Developer</t>
        </is>
      </c>
      <c r="G34" s="95" t="inlineStr">
        <is>
          <t>Not Started</t>
        </is>
      </c>
      <c r="H34" s="119" t="n"/>
      <c r="I34" s="95" t="n"/>
    </row>
    <row r="35" ht="30" customHeight="1">
      <c r="A35" s="114" t="n">
        <v>29</v>
      </c>
      <c r="B35" s="114" t="inlineStr">
        <is>
          <t>7. Smoke Testing</t>
        </is>
      </c>
      <c r="C35" s="114" t="inlineStr">
        <is>
          <t>Contact &amp; lead forms</t>
        </is>
      </c>
      <c r="D35" s="114" t="inlineStr">
        <is>
          <t>Stored + emailed</t>
        </is>
      </c>
      <c r="E35" s="114" t="inlineStr">
        <is>
          <t>Browser</t>
        </is>
      </c>
      <c r="F35" s="95" t="inlineStr">
        <is>
          <t>Developer</t>
        </is>
      </c>
      <c r="G35" s="95" t="inlineStr">
        <is>
          <t>Not Started</t>
        </is>
      </c>
      <c r="H35" s="119" t="n"/>
      <c r="I35" s="95" t="n"/>
    </row>
    <row r="36" ht="30" customHeight="1">
      <c r="A36" s="114" t="n">
        <v>30</v>
      </c>
      <c r="B36" s="114" t="inlineStr">
        <is>
          <t>7. Smoke Testing</t>
        </is>
      </c>
      <c r="C36" s="114" t="inlineStr">
        <is>
          <t>Sample crawl of 200 legacy URLs</t>
        </is>
      </c>
      <c r="D36" s="114" t="inlineStr">
        <is>
          <t>All 200, no 404</t>
        </is>
      </c>
      <c r="E36" s="114" t="inlineStr">
        <is>
          <t>Crawler</t>
        </is>
      </c>
      <c r="F36" s="95" t="inlineStr">
        <is>
          <t>Developer</t>
        </is>
      </c>
      <c r="G36" s="95" t="inlineStr">
        <is>
          <t>Not Started</t>
        </is>
      </c>
      <c r="H36" s="119" t="n"/>
      <c r="I36" s="95" t="n"/>
    </row>
    <row r="37" ht="30" customHeight="1">
      <c r="A37" s="114" t="n">
        <v>31</v>
      </c>
      <c r="B37" s="114" t="inlineStr">
        <is>
          <t>8. Rollback Readiness</t>
        </is>
      </c>
      <c r="C37" s="114" t="inlineStr">
        <is>
          <t>Rollback decision owner &amp; go/no-go criteria agreed</t>
        </is>
      </c>
      <c r="D37" s="114" t="inlineStr">
        <is>
          <t>Criteria documented (see Rollback Plan)</t>
        </is>
      </c>
      <c r="E37" s="114" t="inlineStr">
        <is>
          <t>—</t>
        </is>
      </c>
      <c r="F37" s="95" t="inlineStr">
        <is>
          <t>Developer</t>
        </is>
      </c>
      <c r="G37" s="95" t="inlineStr">
        <is>
          <t>Not Started</t>
        </is>
      </c>
      <c r="H37" s="119" t="n"/>
      <c r="I37" s="95" t="n"/>
    </row>
    <row r="38" ht="30" customHeight="1">
      <c r="A38" s="114" t="n">
        <v>32</v>
      </c>
      <c r="B38" s="114" t="inlineStr">
        <is>
          <t>8. Rollback Readiness</t>
        </is>
      </c>
      <c r="C38" s="114" t="inlineStr">
        <is>
          <t>Backup files reachable &amp; restore commands ready</t>
        </is>
      </c>
      <c r="D38" s="114" t="inlineStr">
        <is>
          <t>Paths and commands in Notes</t>
        </is>
      </c>
      <c r="E38" s="114" t="inlineStr">
        <is>
          <t>—</t>
        </is>
      </c>
      <c r="F38" s="95" t="inlineStr">
        <is>
          <t>Developer</t>
        </is>
      </c>
      <c r="G38" s="95" t="inlineStr">
        <is>
          <t>Not Started</t>
        </is>
      </c>
      <c r="H38" s="119" t="n"/>
      <c r="I38" s="95" t="n"/>
    </row>
    <row r="39" ht="30" customHeight="1">
      <c r="A39" s="114" t="n">
        <v>33</v>
      </c>
      <c r="B39" s="114" t="inlineStr">
        <is>
          <t>8. Rollback Readiness</t>
        </is>
      </c>
      <c r="C39" s="114" t="inlineStr">
        <is>
          <t>Go / No-Go decision recorded</t>
        </is>
      </c>
      <c r="D39" s="114" t="inlineStr">
        <is>
          <t>Decision + time recorded</t>
        </is>
      </c>
      <c r="E39" s="114" t="inlineStr">
        <is>
          <t>—</t>
        </is>
      </c>
      <c r="F39" s="95" t="inlineStr">
        <is>
          <t>Developer</t>
        </is>
      </c>
      <c r="G39" s="95" t="inlineStr">
        <is>
          <t>Not Started</t>
        </is>
      </c>
      <c r="H39" s="119" t="n"/>
      <c r="I39" s="95" t="n"/>
    </row>
    <row r="40" ht="30" customHeight="1">
      <c r="A40" s="114" t="n">
        <v>34</v>
      </c>
      <c r="B40" s="114" t="inlineStr">
        <is>
          <t>9. Post-launch Monitoring</t>
        </is>
      </c>
      <c r="C40" s="114" t="inlineStr">
        <is>
          <t>Resubmit sitemaps in Google Search Console</t>
        </is>
      </c>
      <c r="D40" s="114" t="inlineStr">
        <is>
          <t>Sitemaps processed</t>
        </is>
      </c>
      <c r="E40" s="114" t="inlineStr">
        <is>
          <t>GSC</t>
        </is>
      </c>
      <c r="F40" s="95" t="inlineStr">
        <is>
          <t>Developer</t>
        </is>
      </c>
      <c r="G40" s="95" t="inlineStr">
        <is>
          <t>Not Started</t>
        </is>
      </c>
      <c r="H40" s="119" t="n"/>
      <c r="I40" s="95" t="n"/>
    </row>
    <row r="41" ht="30" customHeight="1">
      <c r="A41" s="114" t="n">
        <v>35</v>
      </c>
      <c r="B41" s="114" t="inlineStr">
        <is>
          <t>9. Post-launch Monitoring</t>
        </is>
      </c>
      <c r="C41" s="114" t="inlineStr">
        <is>
          <t>Monitor PHP error log (24–48 h)</t>
        </is>
      </c>
      <c r="D41" s="114" t="inlineStr">
        <is>
          <t>No fatal errors</t>
        </is>
      </c>
      <c r="E41" s="114" t="inlineStr">
        <is>
          <t>debug.log / hPanel</t>
        </is>
      </c>
      <c r="F41" s="95" t="inlineStr">
        <is>
          <t>Developer</t>
        </is>
      </c>
      <c r="G41" s="95" t="inlineStr">
        <is>
          <t>Not Started</t>
        </is>
      </c>
      <c r="H41" s="119" t="n"/>
      <c r="I41" s="95" t="n"/>
    </row>
    <row r="42" ht="30" customHeight="1">
      <c r="A42" s="114" t="n">
        <v>36</v>
      </c>
      <c r="B42" s="114" t="inlineStr">
        <is>
          <t>9. Post-launch Monitoring</t>
        </is>
      </c>
      <c r="C42" s="114" t="inlineStr">
        <is>
          <t>Monitor Search Console coverage/404s (7 days)</t>
        </is>
      </c>
      <c r="D42" s="114" t="inlineStr">
        <is>
          <t>No spike in 404s</t>
        </is>
      </c>
      <c r="E42" s="114" t="inlineStr">
        <is>
          <t>GSC</t>
        </is>
      </c>
      <c r="F42" s="95" t="inlineStr">
        <is>
          <t>Developer</t>
        </is>
      </c>
      <c r="G42" s="95" t="inlineStr">
        <is>
          <t>Not Started</t>
        </is>
      </c>
      <c r="H42" s="119" t="n"/>
      <c r="I42" s="95" t="n"/>
    </row>
    <row r="43" ht="30" customHeight="1">
      <c r="A43" s="114" t="n">
        <v>37</v>
      </c>
      <c r="B43" s="114" t="inlineStr">
        <is>
          <t>9. Post-launch Monitoring</t>
        </is>
      </c>
      <c r="C43" s="114" t="inlineStr">
        <is>
          <t>Check Core Web Vitals on production</t>
        </is>
      </c>
      <c r="D43" s="114" t="inlineStr">
        <is>
          <t>Targets met</t>
        </is>
      </c>
      <c r="E43" s="114" t="inlineStr">
        <is>
          <t>PageSpeed</t>
        </is>
      </c>
      <c r="F43" s="95" t="inlineStr">
        <is>
          <t>Developer</t>
        </is>
      </c>
      <c r="G43" s="95" t="inlineStr">
        <is>
          <t>Not Started</t>
        </is>
      </c>
      <c r="H43" s="119" t="n"/>
      <c r="I43" s="95" t="n"/>
    </row>
    <row r="44" ht="30" customHeight="1">
      <c r="A44" s="114" t="n">
        <v>38</v>
      </c>
      <c r="B44" s="114" t="inlineStr">
        <is>
          <t>9. Post-launch Monitoring</t>
        </is>
      </c>
      <c r="C44" s="114" t="inlineStr">
        <is>
          <t>Compare post-launch row counts with pre-cutover</t>
        </is>
      </c>
      <c r="D44" s="114" t="inlineStr">
        <is>
          <t>Counts identical</t>
        </is>
      </c>
      <c r="E44" s="114" t="inlineStr">
        <is>
          <t>SQL</t>
        </is>
      </c>
      <c r="F44" s="95" t="inlineStr">
        <is>
          <t>Developer</t>
        </is>
      </c>
      <c r="G44" s="95" t="inlineStr">
        <is>
          <t>Not Started</t>
        </is>
      </c>
      <c r="H44" s="119" t="n"/>
      <c r="I44" s="95" t="n"/>
    </row>
    <row r="45" ht="30" customHeight="1">
      <c r="A45" s="114" t="n">
        <v>39</v>
      </c>
      <c r="B45" s="114" t="inlineStr">
        <is>
          <t>9. Post-launch Monitoring</t>
        </is>
      </c>
      <c r="C45" s="114" t="inlineStr">
        <is>
          <t>Lift content freeze; notify editors</t>
        </is>
      </c>
      <c r="D45" s="114" t="inlineStr">
        <is>
          <t>Editors publishing normally</t>
        </is>
      </c>
      <c r="E45" s="114" t="inlineStr">
        <is>
          <t>Email</t>
        </is>
      </c>
      <c r="F45" s="95" t="inlineStr">
        <is>
          <t>Developer</t>
        </is>
      </c>
      <c r="G45" s="95" t="inlineStr">
        <is>
          <t>Not Started</t>
        </is>
      </c>
      <c r="H45" s="119" t="n"/>
      <c r="I45" s="95" t="n"/>
    </row>
    <row r="48" ht="22" customHeight="1">
      <c r="A48" s="9" t="inlineStr">
        <is>
          <t xml:space="preserve">  ROLLBACK PLAN   (rehearsed in task P6-19 — record rehearsal time in Notes)</t>
        </is>
      </c>
      <c r="B48" s="10" t="n"/>
      <c r="C48" s="10" t="n"/>
      <c r="D48" s="10" t="n"/>
      <c r="E48" s="10" t="n"/>
      <c r="F48" s="10" t="n"/>
      <c r="G48" s="10" t="n"/>
      <c r="H48" s="10" t="n"/>
      <c r="I48" s="10" t="n"/>
      <c r="J48" s="10" t="n"/>
    </row>
    <row r="49">
      <c r="A49" s="48" t="inlineStr">
        <is>
          <t>#</t>
        </is>
      </c>
      <c r="B49" s="48" t="inlineStr">
        <is>
          <t>Trigger</t>
        </is>
      </c>
      <c r="C49" s="50" t="n"/>
      <c r="D49" s="48" t="inlineStr">
        <is>
          <t>Rollback action</t>
        </is>
      </c>
      <c r="E49" s="49" t="n"/>
      <c r="F49" s="50" t="n"/>
      <c r="G49" s="48" t="inlineStr">
        <is>
          <t>Target time</t>
        </is>
      </c>
      <c r="H49" s="48" t="inlineStr">
        <is>
          <t>Rehearsed?</t>
        </is>
      </c>
      <c r="I49" s="50" t="n"/>
      <c r="J49" s="48" t="inlineStr">
        <is>
          <t>Notes</t>
        </is>
      </c>
    </row>
    <row r="50" ht="36" customHeight="1">
      <c r="A50" s="114" t="n">
        <v>1</v>
      </c>
      <c r="B50" s="114" t="inlineStr">
        <is>
          <t>Fatal error / white screen after activation</t>
        </is>
      </c>
      <c r="C50" s="114" t="n"/>
      <c r="D50" s="114" t="inlineStr">
        <is>
          <t>Re-activate previous theme from WP admin or rename theme folder via SFTP; purge cache</t>
        </is>
      </c>
      <c r="E50" s="114" t="n"/>
      <c r="F50" s="114" t="n"/>
      <c r="G50" s="114" t="inlineStr">
        <is>
          <t>&lt; 5 min</t>
        </is>
      </c>
      <c r="H50" s="95" t="inlineStr">
        <is>
          <t>Not Started</t>
        </is>
      </c>
      <c r="I50" s="95" t="n"/>
      <c r="J50" s="95" t="n"/>
    </row>
    <row r="51" ht="36" customHeight="1">
      <c r="A51" s="114" t="n">
        <v>2</v>
      </c>
      <c r="B51" s="114" t="inlineStr">
        <is>
          <t>Data corruption or missing content</t>
        </is>
      </c>
      <c r="C51" s="114" t="n"/>
      <c r="D51" s="114" t="inlineStr">
        <is>
          <t>Enable maintenance; restore pre-cutover DB dump; purge cache; verify row counts</t>
        </is>
      </c>
      <c r="E51" s="114" t="n"/>
      <c r="F51" s="114" t="n"/>
      <c r="G51" s="114" t="inlineStr">
        <is>
          <t>&lt; 30 min</t>
        </is>
      </c>
      <c r="H51" s="95" t="inlineStr">
        <is>
          <t>Not Started</t>
        </is>
      </c>
      <c r="I51" s="95" t="n"/>
      <c r="J51" s="95" t="n"/>
    </row>
    <row r="52" ht="36" customHeight="1">
      <c r="A52" s="114" t="n">
        <v>3</v>
      </c>
      <c r="B52" s="114" t="inlineStr">
        <is>
          <t>Widespread 404s / permalink failure</t>
        </is>
      </c>
      <c r="C52" s="114" t="n"/>
      <c r="D52" s="114" t="inlineStr">
        <is>
          <t>Flush permalinks; if unresolved re-activate previous theme; restore .htaccess backup</t>
        </is>
      </c>
      <c r="E52" s="114" t="n"/>
      <c r="F52" s="114" t="n"/>
      <c r="G52" s="114" t="inlineStr">
        <is>
          <t>&lt; 10 min</t>
        </is>
      </c>
      <c r="H52" s="95" t="inlineStr">
        <is>
          <t>Not Started</t>
        </is>
      </c>
      <c r="I52" s="95" t="n"/>
      <c r="J52" s="95" t="n"/>
    </row>
    <row r="53" ht="36" customHeight="1">
      <c r="A53" s="114" t="n">
        <v>4</v>
      </c>
      <c r="B53" s="114" t="inlineStr">
        <is>
          <t>Payments failing in live mode</t>
        </is>
      </c>
      <c r="C53" s="114" t="n"/>
      <c r="D53" s="114" t="inlineStr">
        <is>
          <t>Disable checkout (maintenance notice on subscribe page); switch webhooks back; keep site live</t>
        </is>
      </c>
      <c r="E53" s="114" t="n"/>
      <c r="F53" s="114" t="n"/>
      <c r="G53" s="114" t="inlineStr">
        <is>
          <t>&lt; 10 min</t>
        </is>
      </c>
      <c r="H53" s="95" t="inlineStr">
        <is>
          <t>Not Started</t>
        </is>
      </c>
      <c r="I53" s="95" t="n"/>
      <c r="J53" s="95" t="n"/>
    </row>
    <row r="54" ht="36" customHeight="1">
      <c r="A54" s="114" t="n">
        <v>5</v>
      </c>
      <c r="B54" s="114" t="inlineStr">
        <is>
          <t>Severe performance degradation</t>
        </is>
      </c>
      <c r="C54" s="114" t="n"/>
      <c r="D54" s="114" t="inlineStr">
        <is>
          <t>Revert LiteSpeed settings export; disable new heavy features via settings; else theme rollback</t>
        </is>
      </c>
      <c r="E54" s="114" t="n"/>
      <c r="F54" s="114" t="n"/>
      <c r="G54" s="114" t="inlineStr">
        <is>
          <t>&lt; 15 min</t>
        </is>
      </c>
      <c r="H54" s="95" t="inlineStr">
        <is>
          <t>Not Started</t>
        </is>
      </c>
      <c r="I54" s="95" t="n"/>
      <c r="J54" s="95" t="n"/>
    </row>
    <row r="56" ht="36" customHeight="1">
      <c r="A56" s="120" t="inlineStr">
        <is>
          <t>Go / No-Go rule: roll back if any P0 smoke test in Stage 7 fails and cannot be fixed within 30 minutes, if content/row counts differ from the pre-cutover record, or if payments cannot be confirmed in live mode (payments may instead be disabled while the site stays live).</t>
        </is>
      </c>
    </row>
  </sheetData>
  <mergeCells count="22">
    <mergeCell ref="H53:I53"/>
    <mergeCell ref="B54:C54"/>
    <mergeCell ref="H54:I54"/>
    <mergeCell ref="H50:I50"/>
    <mergeCell ref="D53:F53"/>
    <mergeCell ref="B52:C52"/>
    <mergeCell ref="H49:I49"/>
    <mergeCell ref="H51:I51"/>
    <mergeCell ref="A48:J48"/>
    <mergeCell ref="H52:I52"/>
    <mergeCell ref="B53:C53"/>
    <mergeCell ref="D51:F51"/>
    <mergeCell ref="A1:J1"/>
    <mergeCell ref="D54:F54"/>
    <mergeCell ref="D50:F50"/>
    <mergeCell ref="B49:C49"/>
    <mergeCell ref="B51:C51"/>
    <mergeCell ref="A2:J2"/>
    <mergeCell ref="A56:J56"/>
    <mergeCell ref="B50:C50"/>
    <mergeCell ref="D52:F52"/>
    <mergeCell ref="D49:F49"/>
  </mergeCells>
  <conditionalFormatting sqref="G7:G45">
    <cfRule type="expression" priority="1" dxfId="4">
      <formula>$G7="Done"</formula>
    </cfRule>
    <cfRule type="expression" priority="2" dxfId="5">
      <formula>$G7="In Progress"</formula>
    </cfRule>
    <cfRule type="expression" priority="3" dxfId="16">
      <formula>$G7="Failed"</formula>
    </cfRule>
    <cfRule type="expression" priority="4" dxfId="7">
      <formula>$G7="Not Started"</formula>
    </cfRule>
  </conditionalFormatting>
  <conditionalFormatting sqref="B7:B45">
    <cfRule type="expression" priority="5" dxfId="1">
      <formula>$B7="1. Staging Verification"</formula>
    </cfRule>
    <cfRule type="expression" priority="6" dxfId="23">
      <formula>$B7="2. Full Backup"</formula>
    </cfRule>
    <cfRule type="expression" priority="7" dxfId="1">
      <formula>$B7="3. Database Backup"</formula>
    </cfRule>
    <cfRule type="expression" priority="8" dxfId="23">
      <formula>$B7="4. SEO Comparison"</formula>
    </cfRule>
    <cfRule type="expression" priority="9" dxfId="1">
      <formula>$B7="5. Theme Activation"</formula>
    </cfRule>
    <cfRule type="expression" priority="10" dxfId="23">
      <formula>$B7="6. Cache Clearing"</formula>
    </cfRule>
    <cfRule type="expression" priority="11" dxfId="1">
      <formula>$B7="7. Smoke Testing"</formula>
    </cfRule>
    <cfRule type="expression" priority="12" dxfId="23">
      <formula>$B7="8. Rollback Readiness"</formula>
    </cfRule>
    <cfRule type="expression" priority="13" dxfId="1">
      <formula>$B7="9. Post-launch Monitoring"</formula>
    </cfRule>
  </conditionalFormatting>
  <dataValidations count="7">
    <dataValidation sqref="G7:G45" showDropDown="0" showInputMessage="0" showErrorMessage="1" allowBlank="1" errorTitle="Invalid value" error="Please choose a value from the dropdown list." type="list" errorStyle="stop">
      <formula1>=Lists!$H$2:$H$6</formula1>
    </dataValidation>
    <dataValidation sqref="B7:B45" showDropDown="0" showInputMessage="0" showErrorMessage="1" allowBlank="1" errorTitle="Custom value" error="This value is not in the list — click OK to keep it." type="list" errorStyle="information">
      <formula1>=Lists!$Z$2:$Z$10</formula1>
    </dataValidation>
    <dataValidation sqref="F7:F45" showDropDown="0" showInputMessage="0" showErrorMessage="1" allowBlank="1" errorTitle="Custom value" error="This value is not in the list — click OK to keep it." type="list" errorStyle="information">
      <formula1>=Lists!$T$2:$T$6</formula1>
    </dataValidation>
    <dataValidation sqref="H7:H45" showDropDown="0" showInputMessage="0" showErrorMessage="1" allowBlank="1" errorTitle="Custom value" error="This value is not in the list — click OK to keep it." type="list" errorStyle="information">
      <formula1>=Lists!$S$2:$S$62</formula1>
    </dataValidation>
    <dataValidation sqref="I7:I45" showDropDown="0" showInputMessage="0" showErrorMessage="1" allowBlank="1" errorTitle="Custom value" error="This value is not in the list — click OK to keep it." type="list" errorStyle="information">
      <formula1>=Lists!$X$2:$X$6</formula1>
    </dataValidation>
    <dataValidation sqref="H50:H54" showDropDown="0" showInputMessage="0" showErrorMessage="1" allowBlank="1" errorTitle="Invalid value" error="Please choose a value from the dropdown list." type="list" errorStyle="stop">
      <formula1>=Lists!$H$2:$H$6</formula1>
    </dataValidation>
    <dataValidation sqref="J50:J54" showDropDown="0" showInputMessage="0" showErrorMessage="1" allowBlank="1" errorTitle="Custom value" error="This value is not in the list — click OK to keep it." type="list" errorStyle="information">
      <formula1>=Lists!$X$2:$X$6</formula1>
    </dataValidation>
  </dataValidations>
  <hyperlinks>
    <hyperlink xmlns:r="http://schemas.openxmlformats.org/officeDocument/2006/relationships" ref="A3" r:id="rId1"/>
    <hyperlink xmlns:r="http://schemas.openxmlformats.org/officeDocument/2006/relationships" ref="C3" r:id="rId2"/>
  </hyperlinks>
  <pageMargins left="0.75" right="0.75" top="1" bottom="1" header="0.5" footer="0.5"/>
  <pageSetup orientation="landscape" fitToHeight="0" fitToWidth="1"/>
  <tableParts count="1">
    <tablePart xmlns:r="http://schemas.openxmlformats.org/officeDocument/2006/relationships" r:id="rId3"/>
  </tableParts>
</worksheet>
</file>

<file path=xl/worksheets/sheet11.xml><?xml version="1.0" encoding="utf-8"?>
<worksheet xmlns="http://schemas.openxmlformats.org/spreadsheetml/2006/main">
  <sheetPr>
    <tabColor rgb="0064748B"/>
    <outlinePr summaryBelow="1" summaryRight="1"/>
    <pageSetUpPr fitToPage="1"/>
  </sheetPr>
  <dimension ref="A1:K33"/>
  <sheetViews>
    <sheetView showGridLines="0" zoomScale="90" workbookViewId="0">
      <pane xSplit="3" ySplit="5" topLeftCell="D6"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50" customWidth="1" min="3" max="3"/>
    <col width="10" customWidth="1" min="4" max="4"/>
    <col width="11" customWidth="1" min="5" max="5"/>
    <col width="28" customWidth="1" min="6" max="6"/>
    <col width="54" customWidth="1" min="7" max="7"/>
    <col width="14" customWidth="1" min="8" max="8"/>
    <col width="11" customWidth="1" min="9" max="9"/>
    <col width="30" customWidth="1" min="10" max="10"/>
    <col width="11" customWidth="1" min="11" max="11"/>
  </cols>
  <sheetData>
    <row r="1" ht="34" customHeight="1">
      <c r="A1" s="1" t="inlineStr">
        <is>
          <t xml:space="preserve">  RISKS &amp; BLOCKERS REGISTER</t>
        </is>
      </c>
      <c r="B1" s="2" t="n"/>
      <c r="C1" s="2" t="n"/>
      <c r="D1" s="2" t="n"/>
      <c r="E1" s="2" t="n"/>
      <c r="F1" s="2" t="n"/>
      <c r="G1" s="2" t="n"/>
      <c r="H1" s="2" t="n"/>
      <c r="I1" s="2" t="n"/>
      <c r="J1" s="2" t="n"/>
      <c r="K1" s="2" t="n"/>
    </row>
    <row r="2" ht="20" customHeight="1">
      <c r="A2" s="3" t="inlineStr">
        <is>
          <t xml:space="preserve">  Severity and Status are dropdowns. Open Critical/High risks are highlighted. Review daily during stand-up.</t>
        </is>
      </c>
      <c r="B2" s="4" t="n"/>
      <c r="C2" s="4" t="n"/>
      <c r="D2" s="4" t="n"/>
      <c r="E2" s="4" t="n"/>
      <c r="F2" s="4" t="n"/>
      <c r="G2" s="4" t="n"/>
      <c r="H2" s="4" t="n"/>
      <c r="I2" s="4" t="n"/>
      <c r="J2" s="4" t="n"/>
      <c r="K2" s="4" t="n"/>
    </row>
    <row r="3">
      <c r="A3" s="87" t="inlineStr">
        <is>
          <t>← Dashboard</t>
        </is>
      </c>
      <c r="C3" s="118">
        <f>"Open: "&amp;COUNTIFS(I6:I200,"Open")&amp;"   ·   Open Critical: "&amp;COUNTIFS(I6:I200,"Open",D6:D200,"Critical")&amp;"   ·   Open High: "&amp;COUNTIFS(I6:I200,"Open",D6:D200,"High")&amp;"   ·   Realized: "&amp;COUNTIF(I6:I200,"Realized")</f>
        <v/>
      </c>
    </row>
    <row r="5">
      <c r="A5" s="61" t="inlineStr">
        <is>
          <t>Risk ID</t>
        </is>
      </c>
      <c r="B5" s="61" t="inlineStr">
        <is>
          <t>Related Phase</t>
        </is>
      </c>
      <c r="C5" s="61" t="inlineStr">
        <is>
          <t>Description</t>
        </is>
      </c>
      <c r="D5" s="61" t="inlineStr">
        <is>
          <t>Severity</t>
        </is>
      </c>
      <c r="E5" s="61" t="inlineStr">
        <is>
          <t>Likelihood</t>
        </is>
      </c>
      <c r="F5" s="61" t="inlineStr">
        <is>
          <t>Impact</t>
        </is>
      </c>
      <c r="G5" s="61" t="inlineStr">
        <is>
          <t>Mitigation</t>
        </is>
      </c>
      <c r="H5" s="61" t="inlineStr">
        <is>
          <t>Owner</t>
        </is>
      </c>
      <c r="I5" s="61" t="inlineStr">
        <is>
          <t>Status</t>
        </is>
      </c>
      <c r="J5" s="61" t="inlineStr">
        <is>
          <t>Resolution</t>
        </is>
      </c>
      <c r="K5" s="61" t="inlineStr">
        <is>
          <t>Date Raised</t>
        </is>
      </c>
    </row>
    <row r="6" ht="44" customHeight="1">
      <c r="A6" s="114" t="inlineStr">
        <is>
          <t>R-01</t>
        </is>
      </c>
      <c r="B6" s="114" t="inlineStr">
        <is>
          <t>All</t>
        </is>
      </c>
      <c r="C6" s="114" t="inlineStr">
        <is>
          <t>Source Engineering Directive PDF was not available when this tracker was generated; detailed acceptance criteria may differ from the brief.</t>
        </is>
      </c>
      <c r="D6" s="95" t="inlineStr">
        <is>
          <t>High</t>
        </is>
      </c>
      <c r="E6" s="95" t="inlineStr">
        <is>
          <t>Possible</t>
        </is>
      </c>
      <c r="F6" s="114" t="inlineStr">
        <is>
          <t>Missed or mis-specified requirements</t>
        </is>
      </c>
      <c r="G6" s="114" t="inlineStr">
        <is>
          <t>Reconcile every task's Acceptance Criteria against the 13-page PDF on Day 1; add missing tasks in spare rows</t>
        </is>
      </c>
      <c r="H6" s="95" t="inlineStr">
        <is>
          <t>Developer</t>
        </is>
      </c>
      <c r="I6" s="95" t="inlineStr">
        <is>
          <t>Open</t>
        </is>
      </c>
      <c r="J6" s="95" t="n"/>
      <c r="K6" s="121" t="n">
        <v>46306</v>
      </c>
    </row>
    <row r="7" ht="44" customHeight="1">
      <c r="A7" s="114" t="inlineStr">
        <is>
          <t>R-02</t>
        </is>
      </c>
      <c r="B7" s="114" t="inlineStr">
        <is>
          <t>All</t>
        </is>
      </c>
      <c r="C7" s="114" t="inlineStr">
        <is>
          <t>Full scope (111 tasks) is very ambitious for one developer between 12 Oct and 1 Nov.</t>
        </is>
      </c>
      <c r="D7" s="95" t="inlineStr">
        <is>
          <t>Critical</t>
        </is>
      </c>
      <c r="E7" s="95" t="inlineStr">
        <is>
          <t>Likely</t>
        </is>
      </c>
      <c r="F7" s="114" t="inlineStr">
        <is>
          <t>Deadline miss or quality loss</t>
        </is>
      </c>
      <c r="G7" s="114" t="inlineStr">
        <is>
          <t>Watch the Dashboard Schedule Health daily; agree with client now which P2 items (e.g. Apple sign-in, print CSS, grid/list toggle, media kit gating) may move post-launch; protect P0 scope</t>
        </is>
      </c>
      <c r="H7" s="95" t="inlineStr">
        <is>
          <t>Developer + Client</t>
        </is>
      </c>
      <c r="I7" s="95" t="inlineStr">
        <is>
          <t>Open</t>
        </is>
      </c>
      <c r="J7" s="95" t="n"/>
      <c r="K7" s="121" t="n">
        <v>46306</v>
      </c>
    </row>
    <row r="8" ht="44" customHeight="1">
      <c r="A8" s="114" t="inlineStr">
        <is>
          <t>R-03</t>
        </is>
      </c>
      <c r="B8" s="114" t="inlineStr">
        <is>
          <t>P6</t>
        </is>
      </c>
      <c r="C8" s="114" t="inlineStr">
        <is>
          <t>Very large WordPress backup (uploads) may exceed Hostinger limits/timeouts.</t>
        </is>
      </c>
      <c r="D8" s="95" t="inlineStr">
        <is>
          <t>High</t>
        </is>
      </c>
      <c r="E8" s="95" t="inlineStr">
        <is>
          <t>Possible</t>
        </is>
      </c>
      <c r="F8" s="114" t="inlineStr">
        <is>
          <t>No restorable backup; cutover blocked</t>
        </is>
      </c>
      <c r="G8" s="114" t="inlineStr">
        <is>
          <t>Split backup (DB, uploads by year, theme/plugins); use SSH tar/rsync; store off-server; verify checksums</t>
        </is>
      </c>
      <c r="H8" s="95" t="inlineStr">
        <is>
          <t>Developer</t>
        </is>
      </c>
      <c r="I8" s="95" t="inlineStr">
        <is>
          <t>Open</t>
        </is>
      </c>
      <c r="J8" s="95" t="n"/>
      <c r="K8" s="121" t="n">
        <v>46306</v>
      </c>
    </row>
    <row r="9" ht="44" customHeight="1">
      <c r="A9" s="114" t="inlineStr">
        <is>
          <t>R-04</t>
        </is>
      </c>
      <c r="B9" s="114" t="inlineStr">
        <is>
          <t>P6</t>
        </is>
      </c>
      <c r="C9" s="114" t="inlineStr">
        <is>
          <t>Database import to staging/production may fail (size, max_allowed_packet, timeouts, charset utf8mb4 Arabic).</t>
        </is>
      </c>
      <c r="D9" s="95" t="inlineStr">
        <is>
          <t>High</t>
        </is>
      </c>
      <c r="E9" s="95" t="inlineStr">
        <is>
          <t>Possible</t>
        </is>
      </c>
      <c r="F9" s="114" t="inlineStr">
        <is>
          <t>Corrupt Arabic text or incomplete DB</t>
        </is>
      </c>
      <c r="G9" s="114" t="inlineStr">
        <is>
          <t>Use mysqldump/CLI import or chunked import; confirm utf8mb4; compare row counts</t>
        </is>
      </c>
      <c r="H9" s="95" t="inlineStr">
        <is>
          <t>Developer</t>
        </is>
      </c>
      <c r="I9" s="95" t="inlineStr">
        <is>
          <t>Open</t>
        </is>
      </c>
      <c r="J9" s="95" t="n"/>
      <c r="K9" s="121" t="n">
        <v>46306</v>
      </c>
    </row>
    <row r="10" ht="44" customHeight="1">
      <c r="A10" s="114" t="inlineStr">
        <is>
          <t>R-05</t>
        </is>
      </c>
      <c r="B10" s="114" t="inlineStr">
        <is>
          <t>P6</t>
        </is>
      </c>
      <c r="C10" s="114" t="inlineStr">
        <is>
          <t>Hosting restrictions (no SSH/WP-CLI, PHP limits, cron, .htaccess rules) on Hostinger plan.</t>
        </is>
      </c>
      <c r="D10" s="95" t="inlineStr">
        <is>
          <t>Medium</t>
        </is>
      </c>
      <c r="E10" s="95" t="inlineStr">
        <is>
          <t>Possible</t>
        </is>
      </c>
      <c r="F10" s="114" t="inlineStr">
        <is>
          <t>Slower migration; blocked PDF protection</t>
        </is>
      </c>
      <c r="G10" s="114" t="inlineStr">
        <is>
          <t>Confirm plan capabilities Day 1 (P1-01); fallback to admin-based importer and PHP-served PDFs</t>
        </is>
      </c>
      <c r="H10" s="95" t="inlineStr">
        <is>
          <t>Developer</t>
        </is>
      </c>
      <c r="I10" s="95" t="inlineStr">
        <is>
          <t>Open</t>
        </is>
      </c>
      <c r="J10" s="95" t="n"/>
      <c r="K10" s="121" t="n">
        <v>46306</v>
      </c>
    </row>
    <row r="11" ht="44" customHeight="1">
      <c r="A11" s="114" t="inlineStr">
        <is>
          <t>R-06</t>
        </is>
      </c>
      <c r="B11" s="114" t="inlineStr">
        <is>
          <t>P5</t>
        </is>
      </c>
      <c r="C11" s="114" t="inlineStr">
        <is>
          <t>Payment provider approval or live keys not ready by cutover.</t>
        </is>
      </c>
      <c r="D11" s="95" t="inlineStr">
        <is>
          <t>Critical</t>
        </is>
      </c>
      <c r="E11" s="95" t="inlineStr">
        <is>
          <t>Likely</t>
        </is>
      </c>
      <c r="F11" s="114" t="inlineStr">
        <is>
          <t>Subscriptions cannot launch</t>
        </is>
      </c>
      <c r="G11" s="114" t="inlineStr">
        <is>
          <t>Request Day 1 (P5-03); launch with subscriptions in sandbox-off/'coming soon' mode if not approved</t>
        </is>
      </c>
      <c r="H11" s="95" t="inlineStr">
        <is>
          <t>Client</t>
        </is>
      </c>
      <c r="I11" s="95" t="inlineStr">
        <is>
          <t>Open</t>
        </is>
      </c>
      <c r="J11" s="95" t="n"/>
      <c r="K11" s="121" t="n">
        <v>46306</v>
      </c>
    </row>
    <row r="12" ht="44" customHeight="1">
      <c r="A12" s="114" t="inlineStr">
        <is>
          <t>R-07</t>
        </is>
      </c>
      <c r="B12" s="114" t="inlineStr">
        <is>
          <t>P5</t>
        </is>
      </c>
      <c r="C12" s="114" t="inlineStr">
        <is>
          <t>Google / Apple credentials delayed (Apple requires paid developer account + domain verification).</t>
        </is>
      </c>
      <c r="D12" s="95" t="inlineStr">
        <is>
          <t>Medium</t>
        </is>
      </c>
      <c r="E12" s="95" t="inlineStr">
        <is>
          <t>Possible</t>
        </is>
      </c>
      <c r="F12" s="114" t="inlineStr">
        <is>
          <t>Social login missing at launch</t>
        </is>
      </c>
      <c r="G12" s="114" t="inlineStr">
        <is>
          <t>Request Day 1; ship email login first; Apple as P2</t>
        </is>
      </c>
      <c r="H12" s="95" t="inlineStr">
        <is>
          <t>Client</t>
        </is>
      </c>
      <c r="I12" s="95" t="inlineStr">
        <is>
          <t>Open</t>
        </is>
      </c>
      <c r="J12" s="95" t="n"/>
      <c r="K12" s="121" t="n">
        <v>46306</v>
      </c>
    </row>
    <row r="13" ht="44" customHeight="1">
      <c r="A13" s="114" t="inlineStr">
        <is>
          <t>R-08</t>
        </is>
      </c>
      <c r="B13" s="114" t="inlineStr">
        <is>
          <t>P4</t>
        </is>
      </c>
      <c r="C13" s="114" t="inlineStr">
        <is>
          <t>48 historical PDFs/covers incomplete or low quality.</t>
        </is>
      </c>
      <c r="D13" s="95" t="inlineStr">
        <is>
          <t>High</t>
        </is>
      </c>
      <c r="E13" s="95" t="inlineStr">
        <is>
          <t>Possible</t>
        </is>
      </c>
      <c r="F13" s="114" t="inlineStr">
        <is>
          <t>Archive incomplete</t>
        </is>
      </c>
      <c r="G13" s="114" t="inlineStr">
        <is>
          <t>Request Day 1 (P4-03); track missing list; launch with available issues clearly marked</t>
        </is>
      </c>
      <c r="H13" s="95" t="inlineStr">
        <is>
          <t>Client</t>
        </is>
      </c>
      <c r="I13" s="95" t="inlineStr">
        <is>
          <t>Open</t>
        </is>
      </c>
      <c r="J13" s="95" t="n"/>
      <c r="K13" s="121" t="n">
        <v>46306</v>
      </c>
    </row>
    <row r="14" ht="44" customHeight="1">
      <c r="A14" s="114" t="inlineStr">
        <is>
          <t>R-09</t>
        </is>
      </c>
      <c r="B14" s="114" t="inlineStr">
        <is>
          <t>P4</t>
        </is>
      </c>
      <c r="C14" s="114" t="inlineStr">
        <is>
          <t>Large PDFs slow flipbook / exceed upload limits.</t>
        </is>
      </c>
      <c r="D14" s="95" t="inlineStr">
        <is>
          <t>Medium</t>
        </is>
      </c>
      <c r="E14" s="95" t="inlineStr">
        <is>
          <t>Possible</t>
        </is>
      </c>
      <c r="F14" s="114" t="inlineStr">
        <is>
          <t>Poor reader UX</t>
        </is>
      </c>
      <c r="G14" s="114" t="inlineStr">
        <is>
          <t>Compress PDFs, lazy-load PDF.js, increase upload limit or upload via SFTP</t>
        </is>
      </c>
      <c r="H14" s="95" t="inlineStr">
        <is>
          <t>Developer</t>
        </is>
      </c>
      <c r="I14" s="95" t="inlineStr">
        <is>
          <t>Open</t>
        </is>
      </c>
      <c r="J14" s="95" t="n"/>
      <c r="K14" s="121" t="n">
        <v>46306</v>
      </c>
    </row>
    <row r="15" ht="44" customHeight="1">
      <c r="A15" s="114" t="inlineStr">
        <is>
          <t>R-10</t>
        </is>
      </c>
      <c r="B15" s="114" t="inlineStr">
        <is>
          <t>P3</t>
        </is>
      </c>
      <c r="C15" s="114" t="inlineStr">
        <is>
          <t>Legacy JNews shortcodes/meta embedded in 2,645 articles break after theme switch.</t>
        </is>
      </c>
      <c r="D15" s="95" t="inlineStr">
        <is>
          <t>High</t>
        </is>
      </c>
      <c r="E15" s="95" t="inlineStr">
        <is>
          <t>Possible</t>
        </is>
      </c>
      <c r="F15" s="114" t="inlineStr">
        <is>
          <t>Broken article content, lost view counts</t>
        </is>
      </c>
      <c r="G15" s="114" t="inlineStr">
        <is>
          <t>Audit on Day 2 (P6-04); add shortcode fallbacks; migrate view meta</t>
        </is>
      </c>
      <c r="H15" s="95" t="inlineStr">
        <is>
          <t>Developer</t>
        </is>
      </c>
      <c r="I15" s="95" t="inlineStr">
        <is>
          <t>Open</t>
        </is>
      </c>
      <c r="J15" s="95" t="n"/>
      <c r="K15" s="121" t="n">
        <v>46306</v>
      </c>
    </row>
    <row r="16" ht="44" customHeight="1">
      <c r="A16" s="114" t="inlineStr">
        <is>
          <t>R-11</t>
        </is>
      </c>
      <c r="B16" s="114" t="inlineStr">
        <is>
          <t>P6</t>
        </is>
      </c>
      <c r="C16" s="114" t="inlineStr">
        <is>
          <t>Permalink/SEO regressions after replacing JNews.</t>
        </is>
      </c>
      <c r="D16" s="95" t="inlineStr">
        <is>
          <t>Critical</t>
        </is>
      </c>
      <c r="E16" s="95" t="inlineStr">
        <is>
          <t>Likely</t>
        </is>
      </c>
      <c r="F16" s="114" t="inlineStr">
        <is>
          <t>Traffic loss</t>
        </is>
      </c>
      <c r="G16" s="114" t="inlineStr">
        <is>
          <t>Baseline crawl, full URL validation, redirect map, post-launch GSC monitoring</t>
        </is>
      </c>
      <c r="H16" s="95" t="inlineStr">
        <is>
          <t>Developer</t>
        </is>
      </c>
      <c r="I16" s="95" t="inlineStr">
        <is>
          <t>Open</t>
        </is>
      </c>
      <c r="J16" s="95" t="n"/>
      <c r="K16" s="121" t="n">
        <v>46306</v>
      </c>
    </row>
    <row r="17" ht="44" customHeight="1">
      <c r="A17" s="114" t="inlineStr">
        <is>
          <t>R-12</t>
        </is>
      </c>
      <c r="B17" s="114" t="inlineStr">
        <is>
          <t>All</t>
        </is>
      </c>
      <c r="C17" s="114" t="inlineStr">
        <is>
          <t>Working directly on shared staging without local environment — accidental breakage without history.</t>
        </is>
      </c>
      <c r="D17" s="95" t="inlineStr">
        <is>
          <t>Medium</t>
        </is>
      </c>
      <c r="E17" s="95" t="inlineStr">
        <is>
          <t>Possible</t>
        </is>
      </c>
      <c r="F17" s="114" t="inlineStr">
        <is>
          <t>Lost work / downtime of staging</t>
        </is>
      </c>
      <c r="G17" s="114" t="inlineStr">
        <is>
          <t>Git repo for theme; daily DB snapshot of staging; small incremental deploys</t>
        </is>
      </c>
      <c r="H17" s="95" t="inlineStr">
        <is>
          <t>Developer</t>
        </is>
      </c>
      <c r="I17" s="95" t="inlineStr">
        <is>
          <t>Open</t>
        </is>
      </c>
      <c r="J17" s="95" t="n"/>
      <c r="K17" s="121" t="n">
        <v>46306</v>
      </c>
    </row>
    <row r="18" ht="44" customHeight="1">
      <c r="A18" s="114" t="inlineStr">
        <is>
          <t>R-13</t>
        </is>
      </c>
      <c r="B18" s="114" t="inlineStr">
        <is>
          <t>All</t>
        </is>
      </c>
      <c r="C18" s="114" t="inlineStr">
        <is>
          <t>Content published on production during development diverges from staging.</t>
        </is>
      </c>
      <c r="D18" s="95" t="inlineStr">
        <is>
          <t>Medium</t>
        </is>
      </c>
      <c r="E18" s="95" t="inlineStr">
        <is>
          <t>Possible</t>
        </is>
      </c>
      <c r="F18" s="114" t="inlineStr">
        <is>
          <t>Lost posts at cutover</t>
        </is>
      </c>
      <c r="G18" s="114" t="inlineStr">
        <is>
          <t>Theme-only deployment strategy (production DB kept); content freeze only during cutover window</t>
        </is>
      </c>
      <c r="H18" s="95" t="inlineStr">
        <is>
          <t>Developer + Client</t>
        </is>
      </c>
      <c r="I18" s="95" t="inlineStr">
        <is>
          <t>Open</t>
        </is>
      </c>
      <c r="J18" s="95" t="n"/>
      <c r="K18" s="121" t="n">
        <v>46306</v>
      </c>
    </row>
    <row r="19" ht="44" customHeight="1">
      <c r="A19" s="114" t="inlineStr">
        <is>
          <t>R-14</t>
        </is>
      </c>
      <c r="B19" s="114" t="inlineStr">
        <is>
          <t>P6</t>
        </is>
      </c>
      <c r="C19" s="114" t="inlineStr">
        <is>
          <t>LiteSpeed caching of private pages (account, checkout) or stale homepage.</t>
        </is>
      </c>
      <c r="D19" s="95" t="inlineStr">
        <is>
          <t>High</t>
        </is>
      </c>
      <c r="E19" s="95" t="inlineStr">
        <is>
          <t>Possible</t>
        </is>
      </c>
      <c r="F19" s="114" t="inlineStr">
        <is>
          <t>Data exposure / stale content</t>
        </is>
      </c>
      <c r="G19" s="114" t="inlineStr">
        <is>
          <t>Exclude private URLs, vary on login cookie, purge on publish; test as guest &amp; member</t>
        </is>
      </c>
      <c r="H19" s="95" t="inlineStr">
        <is>
          <t>Developer</t>
        </is>
      </c>
      <c r="I19" s="95" t="inlineStr">
        <is>
          <t>Open</t>
        </is>
      </c>
      <c r="J19" s="95" t="n"/>
      <c r="K19" s="121" t="n">
        <v>46306</v>
      </c>
    </row>
    <row r="20" ht="44" customHeight="1">
      <c r="A20" s="114" t="inlineStr">
        <is>
          <t>R-15</t>
        </is>
      </c>
      <c r="B20" s="114" t="inlineStr">
        <is>
          <t>P5</t>
        </is>
      </c>
      <c r="C20" s="114" t="inlineStr">
        <is>
          <t>Webhook spoofing or duplicate events corrupt subscription state.</t>
        </is>
      </c>
      <c r="D20" s="95" t="inlineStr">
        <is>
          <t>High</t>
        </is>
      </c>
      <c r="E20" s="95" t="inlineStr">
        <is>
          <t>Possible</t>
        </is>
      </c>
      <c r="F20" s="114" t="inlineStr">
        <is>
          <t>Revenue / access errors</t>
        </is>
      </c>
      <c r="G20" s="114" t="inlineStr">
        <is>
          <t>Signature verification, idempotency keys, event log</t>
        </is>
      </c>
      <c r="H20" s="95" t="inlineStr">
        <is>
          <t>Developer</t>
        </is>
      </c>
      <c r="I20" s="95" t="inlineStr">
        <is>
          <t>Open</t>
        </is>
      </c>
      <c r="J20" s="95" t="n"/>
      <c r="K20" s="121" t="n">
        <v>46306</v>
      </c>
    </row>
    <row r="21" ht="44" customHeight="1">
      <c r="A21" s="114" t="inlineStr">
        <is>
          <t>R-16</t>
        </is>
      </c>
      <c r="B21" s="114" t="inlineStr">
        <is>
          <t>All</t>
        </is>
      </c>
      <c r="C21" s="114" t="inlineStr">
        <is>
          <t>Client feedback/approval delays (content for About/Advertise, UAT).</t>
        </is>
      </c>
      <c r="D21" s="95" t="inlineStr">
        <is>
          <t>Medium</t>
        </is>
      </c>
      <c r="E21" s="95" t="inlineStr">
        <is>
          <t>Possible</t>
        </is>
      </c>
      <c r="F21" s="114" t="inlineStr">
        <is>
          <t>Schedule slip</t>
        </is>
      </c>
      <c r="G21" s="114" t="inlineStr">
        <is>
          <t>Share staging link early (P2-24); set feedback deadlines; placeholders until content arrives</t>
        </is>
      </c>
      <c r="H21" s="95" t="inlineStr">
        <is>
          <t>Client</t>
        </is>
      </c>
      <c r="I21" s="95" t="inlineStr">
        <is>
          <t>Open</t>
        </is>
      </c>
      <c r="J21" s="95" t="n"/>
      <c r="K21" s="121" t="n">
        <v>46306</v>
      </c>
    </row>
    <row r="22" ht="44" customHeight="1">
      <c r="A22" s="114" t="inlineStr">
        <is>
          <t>R-17</t>
        </is>
      </c>
      <c r="B22" s="114" t="inlineStr">
        <is>
          <t>All</t>
        </is>
      </c>
      <c r="C22" s="114" t="inlineStr">
        <is>
          <t>Third-party plugin conflicts with new theme (SEO, LiteSpeed, forms).</t>
        </is>
      </c>
      <c r="D22" s="95" t="inlineStr">
        <is>
          <t>Medium</t>
        </is>
      </c>
      <c r="E22" s="95" t="inlineStr">
        <is>
          <t>Possible</t>
        </is>
      </c>
      <c r="F22" s="114" t="inlineStr">
        <is>
          <t>Features break</t>
        </is>
      </c>
      <c r="G22" s="114" t="inlineStr">
        <is>
          <t>Keep plugin set minimal; test each on staging; document versions</t>
        </is>
      </c>
      <c r="H22" s="95" t="inlineStr">
        <is>
          <t>Developer</t>
        </is>
      </c>
      <c r="I22" s="95" t="inlineStr">
        <is>
          <t>Open</t>
        </is>
      </c>
      <c r="J22" s="95" t="n"/>
      <c r="K22" s="121" t="n">
        <v>46306</v>
      </c>
    </row>
    <row r="23" ht="44" customHeight="1">
      <c r="A23" s="114" t="inlineStr">
        <is>
          <t>R-18</t>
        </is>
      </c>
      <c r="B23" s="114" t="inlineStr">
        <is>
          <t>All</t>
        </is>
      </c>
      <c r="C23" s="114" t="inlineStr">
        <is>
          <t>Single-developer availability (illness, fatigue) with no backup resource.</t>
        </is>
      </c>
      <c r="D23" s="95" t="inlineStr">
        <is>
          <t>High</t>
        </is>
      </c>
      <c r="E23" s="95" t="inlineStr">
        <is>
          <t>Possible</t>
        </is>
      </c>
      <c r="F23" s="114" t="inlineStr">
        <is>
          <t>Deadline miss</t>
        </is>
      </c>
      <c r="G23" s="114" t="inlineStr">
        <is>
          <t>Daily planner tracking, 6 h bug buffer, early escalation when daily variance appears</t>
        </is>
      </c>
      <c r="H23" s="95" t="inlineStr">
        <is>
          <t>Developer</t>
        </is>
      </c>
      <c r="I23" s="95" t="inlineStr">
        <is>
          <t>Open</t>
        </is>
      </c>
      <c r="J23" s="95" t="n"/>
      <c r="K23" s="121" t="n">
        <v>46306</v>
      </c>
    </row>
    <row r="24">
      <c r="A24" s="114" t="n"/>
      <c r="B24" s="114" t="n"/>
      <c r="C24" s="114" t="n"/>
      <c r="D24" s="114" t="n"/>
      <c r="E24" s="114" t="n"/>
      <c r="F24" s="114" t="n"/>
      <c r="G24" s="114" t="n"/>
      <c r="H24" s="114" t="n"/>
      <c r="I24" s="114" t="n"/>
      <c r="J24" s="114" t="n"/>
      <c r="K24" s="114" t="n"/>
    </row>
    <row r="25">
      <c r="A25" s="114" t="n"/>
      <c r="B25" s="114" t="n"/>
      <c r="C25" s="114" t="n"/>
      <c r="D25" s="114" t="n"/>
      <c r="E25" s="114" t="n"/>
      <c r="F25" s="114" t="n"/>
      <c r="G25" s="114" t="n"/>
      <c r="H25" s="114" t="n"/>
      <c r="I25" s="114" t="n"/>
      <c r="J25" s="114" t="n"/>
      <c r="K25" s="114" t="n"/>
    </row>
    <row r="26">
      <c r="A26" s="114" t="n"/>
      <c r="B26" s="114" t="n"/>
      <c r="C26" s="114" t="n"/>
      <c r="D26" s="114" t="n"/>
      <c r="E26" s="114" t="n"/>
      <c r="F26" s="114" t="n"/>
      <c r="G26" s="114" t="n"/>
      <c r="H26" s="114" t="n"/>
      <c r="I26" s="114" t="n"/>
      <c r="J26" s="114" t="n"/>
      <c r="K26" s="114" t="n"/>
    </row>
    <row r="27">
      <c r="A27" s="114" t="n"/>
      <c r="B27" s="114" t="n"/>
      <c r="C27" s="114" t="n"/>
      <c r="D27" s="114" t="n"/>
      <c r="E27" s="114" t="n"/>
      <c r="F27" s="114" t="n"/>
      <c r="G27" s="114" t="n"/>
      <c r="H27" s="114" t="n"/>
      <c r="I27" s="114" t="n"/>
      <c r="J27" s="114" t="n"/>
      <c r="K27" s="114" t="n"/>
    </row>
    <row r="28">
      <c r="A28" s="114" t="n"/>
      <c r="B28" s="114" t="n"/>
      <c r="C28" s="114" t="n"/>
      <c r="D28" s="114" t="n"/>
      <c r="E28" s="114" t="n"/>
      <c r="F28" s="114" t="n"/>
      <c r="G28" s="114" t="n"/>
      <c r="H28" s="114" t="n"/>
      <c r="I28" s="114" t="n"/>
      <c r="J28" s="114" t="n"/>
      <c r="K28" s="114" t="n"/>
    </row>
    <row r="29">
      <c r="A29" s="114" t="n"/>
      <c r="B29" s="114" t="n"/>
      <c r="C29" s="114" t="n"/>
      <c r="D29" s="114" t="n"/>
      <c r="E29" s="114" t="n"/>
      <c r="F29" s="114" t="n"/>
      <c r="G29" s="114" t="n"/>
      <c r="H29" s="114" t="n"/>
      <c r="I29" s="114" t="n"/>
      <c r="J29" s="114" t="n"/>
      <c r="K29" s="114" t="n"/>
    </row>
    <row r="30">
      <c r="A30" s="114" t="n"/>
      <c r="B30" s="114" t="n"/>
      <c r="C30" s="114" t="n"/>
      <c r="D30" s="114" t="n"/>
      <c r="E30" s="114" t="n"/>
      <c r="F30" s="114" t="n"/>
      <c r="G30" s="114" t="n"/>
      <c r="H30" s="114" t="n"/>
      <c r="I30" s="114" t="n"/>
      <c r="J30" s="114" t="n"/>
      <c r="K30" s="114" t="n"/>
    </row>
    <row r="31">
      <c r="A31" s="114" t="n"/>
      <c r="B31" s="114" t="n"/>
      <c r="C31" s="114" t="n"/>
      <c r="D31" s="114" t="n"/>
      <c r="E31" s="114" t="n"/>
      <c r="F31" s="114" t="n"/>
      <c r="G31" s="114" t="n"/>
      <c r="H31" s="114" t="n"/>
      <c r="I31" s="114" t="n"/>
      <c r="J31" s="114" t="n"/>
      <c r="K31" s="114" t="n"/>
    </row>
    <row r="32">
      <c r="A32" s="114" t="n"/>
      <c r="B32" s="114" t="n"/>
      <c r="C32" s="114" t="n"/>
      <c r="D32" s="114" t="n"/>
      <c r="E32" s="114" t="n"/>
      <c r="F32" s="114" t="n"/>
      <c r="G32" s="114" t="n"/>
      <c r="H32" s="114" t="n"/>
      <c r="I32" s="114" t="n"/>
      <c r="J32" s="114" t="n"/>
      <c r="K32" s="114" t="n"/>
    </row>
    <row r="33">
      <c r="A33" s="114" t="n"/>
      <c r="B33" s="114" t="n"/>
      <c r="C33" s="114" t="n"/>
      <c r="D33" s="114" t="n"/>
      <c r="E33" s="114" t="n"/>
      <c r="F33" s="114" t="n"/>
      <c r="G33" s="114" t="n"/>
      <c r="H33" s="114" t="n"/>
      <c r="I33" s="114" t="n"/>
      <c r="J33" s="114" t="n"/>
      <c r="K33" s="114" t="n"/>
    </row>
  </sheetData>
  <mergeCells count="2">
    <mergeCell ref="A2:K2"/>
    <mergeCell ref="A1:K1"/>
  </mergeCells>
  <conditionalFormatting sqref="D6:D33">
    <cfRule type="expression" priority="1" dxfId="16">
      <formula>$D6="Critical"</formula>
    </cfRule>
    <cfRule type="expression" priority="2" dxfId="6">
      <formula>$D6="High"</formula>
    </cfRule>
    <cfRule type="expression" priority="3" dxfId="11">
      <formula>$D6="Medium"</formula>
    </cfRule>
    <cfRule type="expression" priority="4" dxfId="18">
      <formula>$D6="Low"</formula>
    </cfRule>
  </conditionalFormatting>
  <conditionalFormatting sqref="I6:I33">
    <cfRule type="expression" priority="5" dxfId="6">
      <formula>$I6="Open"</formula>
    </cfRule>
    <cfRule type="expression" priority="6" dxfId="11">
      <formula>$I6="Monitoring"</formula>
    </cfRule>
    <cfRule type="expression" priority="7" dxfId="4">
      <formula>$I6="Mitigated"</formula>
    </cfRule>
    <cfRule type="expression" priority="8" dxfId="7">
      <formula>$I6="Closed"</formula>
    </cfRule>
    <cfRule type="expression" priority="9" dxfId="16">
      <formula>$I6="Realized"</formula>
    </cfRule>
  </conditionalFormatting>
  <dataValidations count="7">
    <dataValidation sqref="D6:D33" showDropDown="0" showInputMessage="0" showErrorMessage="1" allowBlank="1" errorTitle="Invalid value" error="Please choose a value from the dropdown list." type="list" errorStyle="stop">
      <formula1>=Lists!$I$2:$I$5</formula1>
    </dataValidation>
    <dataValidation sqref="I6:I33" showDropDown="0" showInputMessage="0" showErrorMessage="1" allowBlank="1" errorTitle="Invalid value" error="Please choose a value from the dropdown list." type="list" errorStyle="stop">
      <formula1>=Lists!$J$2:$J$6</formula1>
    </dataValidation>
    <dataValidation sqref="E6:E33" showDropDown="0" showInputMessage="0" showErrorMessage="1" allowBlank="1" errorTitle="Invalid value" error="Please choose a value from the dropdown list." type="list" errorStyle="stop">
      <formula1>=Lists!$K$2:$K$5</formula1>
    </dataValidation>
    <dataValidation sqref="B6:B33" showDropDown="0" showInputMessage="0" showErrorMessage="1" allowBlank="1" errorTitle="Custom value" error="This value is not in the list — click OK to keep it." type="list" errorStyle="information">
      <formula1>=Lists!$U$2:$U$8</formula1>
    </dataValidation>
    <dataValidation sqref="H6:H33" showDropDown="0" showInputMessage="0" showErrorMessage="1" allowBlank="1" errorTitle="Custom value" error="This value is not in the list — click OK to keep it." type="list" errorStyle="information">
      <formula1>=Lists!$T$2:$T$6</formula1>
    </dataValidation>
    <dataValidation sqref="J6:J33" showDropDown="0" showInputMessage="0" showErrorMessage="1" allowBlank="1" errorTitle="Custom value" error="This value is not in the list — click OK to keep it." type="list" errorStyle="information">
      <formula1>=Lists!$Y$2:$Y$6</formula1>
    </dataValidation>
    <dataValidation sqref="K6:K33" showDropDown="0" showInputMessage="0" showErrorMessage="1" allowBlank="1" errorTitle="Custom value" error="This value is not in the list — click OK to keep it." type="list" errorStyle="information">
      <formula1>=Lists!$S$2:$S$62</formula1>
    </dataValidation>
  </dataValidations>
  <hyperlinks>
    <hyperlink xmlns:r="http://schemas.openxmlformats.org/officeDocument/2006/relationships" ref="A3" r:id="rId1"/>
  </hyperlinks>
  <pageMargins left="0.75" right="0.75" top="1" bottom="1" header="0.5" footer="0.5"/>
  <pageSetup orientation="landscape" fitToHeight="0" fitToWidth="1"/>
  <tableParts count="1">
    <tablePart xmlns:r="http://schemas.openxmlformats.org/officeDocument/2006/relationships" r:id="rId2"/>
  </tableParts>
</worksheet>
</file>

<file path=xl/worksheets/sheet12.xml><?xml version="1.0" encoding="utf-8"?>
<worksheet xmlns="http://schemas.openxmlformats.org/spreadsheetml/2006/main">
  <sheetPr>
    <tabColor rgb="0064748B"/>
    <outlinePr summaryBelow="1" summaryRight="1"/>
    <pageSetUpPr fitToPage="1"/>
  </sheetPr>
  <dimension ref="A1:G72"/>
  <sheetViews>
    <sheetView showGridLines="0" zoomScale="90" workbookViewId="0">
      <pane ySplit="5" topLeftCell="A6" activePane="bottomLeft" state="frozen"/>
      <selection pane="bottomLeft" activeCell="A1" sqref="A1"/>
    </sheetView>
  </sheetViews>
  <sheetFormatPr baseColWidth="8" defaultRowHeight="15"/>
  <cols>
    <col width="8" customWidth="1" min="1" max="1"/>
    <col width="9" customWidth="1" min="2" max="2"/>
    <col width="52" customWidth="1" min="3" max="3"/>
    <col width="34" customWidth="1" min="4" max="4"/>
    <col width="8" customWidth="1" min="5" max="5"/>
    <col width="8" customWidth="1" min="6" max="6"/>
    <col width="16" customWidth="1" min="7" max="7"/>
  </cols>
  <sheetData>
    <row r="1" ht="34" customHeight="1">
      <c r="A1" s="1" t="inlineStr">
        <is>
          <t xml:space="preserve">  REQUIREMENT TRACEABILITY MAP</t>
        </is>
      </c>
      <c r="B1" s="2" t="n"/>
      <c r="C1" s="2" t="n"/>
      <c r="D1" s="2" t="n"/>
      <c r="E1" s="2" t="n"/>
      <c r="F1" s="2" t="n"/>
      <c r="G1" s="2" t="n"/>
    </row>
    <row r="2" ht="20" customHeight="1">
      <c r="A2" s="3" t="inlineStr">
        <is>
          <t xml:space="preserve">  Every requirement from the brief mapped to tracker tasks. Coverage updates as tasks complete.</t>
        </is>
      </c>
      <c r="B2" s="4" t="n"/>
      <c r="C2" s="4" t="n"/>
      <c r="D2" s="4" t="n"/>
      <c r="E2" s="4" t="n"/>
      <c r="F2" s="4" t="n"/>
      <c r="G2" s="4" t="n"/>
    </row>
    <row r="3">
      <c r="A3" s="87" t="inlineStr">
        <is>
          <t>← Dashboard</t>
        </is>
      </c>
    </row>
    <row r="5">
      <c r="A5" s="61" t="inlineStr">
        <is>
          <t>Req #</t>
        </is>
      </c>
      <c r="B5" s="61" t="inlineStr">
        <is>
          <t>Phase</t>
        </is>
      </c>
      <c r="C5" s="61" t="inlineStr">
        <is>
          <t>Requirement (from brief)</t>
        </is>
      </c>
      <c r="D5" s="61" t="inlineStr">
        <is>
          <t>Mapped Task IDs</t>
        </is>
      </c>
      <c r="E5" s="61" t="inlineStr">
        <is>
          <t>ƒ Tasks</t>
        </is>
      </c>
      <c r="F5" s="61" t="inlineStr">
        <is>
          <t>ƒ Done</t>
        </is>
      </c>
      <c r="G5" s="61" t="inlineStr">
        <is>
          <t>ƒ Coverage</t>
        </is>
      </c>
    </row>
    <row r="6">
      <c r="A6" s="53" t="inlineStr">
        <is>
          <t>REQ-01</t>
        </is>
      </c>
      <c r="B6" s="53" t="inlineStr">
        <is>
          <t>Phase 1</t>
        </is>
      </c>
      <c r="C6" s="114" t="inlineStr">
        <is>
          <t>Custom WordPress theme structure</t>
        </is>
      </c>
      <c r="D6" s="114" t="inlineStr">
        <is>
          <t>P1-02</t>
        </is>
      </c>
      <c r="E6" s="122">
        <f>SUMPRODUCT(('Master Tracker'!$A$6:$A$400&lt;&gt;"")*ISNUMBER(SEARCH('Master Tracker'!$A$6:$A$400,D6)))</f>
        <v/>
      </c>
      <c r="F6" s="122">
        <f>SUMPRODUCT(('Master Tracker'!$A$6:$A$400&lt;&gt;"")*ISNUMBER(SEARCH('Master Tracker'!$A$6:$A$400,D6))*('Master Tracker'!$G$6:$G$400="Completed"))</f>
        <v/>
      </c>
      <c r="G6" s="122">
        <f>IF(E6=0,"⚠ UNMAPPED",IF(F6=E6,"✓ Delivered",F6&amp;" / "&amp;E6&amp;" done"))</f>
        <v/>
      </c>
    </row>
    <row r="7">
      <c r="A7" s="53" t="inlineStr">
        <is>
          <t>REQ-02</t>
        </is>
      </c>
      <c r="B7" s="53" t="inlineStr">
        <is>
          <t>Phase 1</t>
        </is>
      </c>
      <c r="C7" s="114" t="inlineStr">
        <is>
          <t>Theme initialization</t>
        </is>
      </c>
      <c r="D7" s="114" t="inlineStr">
        <is>
          <t>P1-03</t>
        </is>
      </c>
      <c r="E7" s="122">
        <f>SUMPRODUCT(('Master Tracker'!$A$6:$A$400&lt;&gt;"")*ISNUMBER(SEARCH('Master Tracker'!$A$6:$A$400,D7)))</f>
        <v/>
      </c>
      <c r="F7" s="122">
        <f>SUMPRODUCT(('Master Tracker'!$A$6:$A$400&lt;&gt;"")*ISNUMBER(SEARCH('Master Tracker'!$A$6:$A$400,D7))*('Master Tracker'!$G$6:$G$400="Completed"))</f>
        <v/>
      </c>
      <c r="G7" s="122">
        <f>IF(E7=0,"⚠ UNMAPPED",IF(F7=E7,"✓ Delivered",F7&amp;" / "&amp;E7&amp;" done"))</f>
        <v/>
      </c>
    </row>
    <row r="8">
      <c r="A8" s="53" t="inlineStr">
        <is>
          <t>REQ-03</t>
        </is>
      </c>
      <c r="B8" s="53" t="inlineStr">
        <is>
          <t>Phase 1</t>
        </is>
      </c>
      <c r="C8" s="114" t="inlineStr">
        <is>
          <t>PHP templates and reusable components</t>
        </is>
      </c>
      <c r="D8" s="114" t="inlineStr">
        <is>
          <t>P1-05, P1-06</t>
        </is>
      </c>
      <c r="E8" s="122">
        <f>SUMPRODUCT(('Master Tracker'!$A$6:$A$400&lt;&gt;"")*ISNUMBER(SEARCH('Master Tracker'!$A$6:$A$400,D8)))</f>
        <v/>
      </c>
      <c r="F8" s="122">
        <f>SUMPRODUCT(('Master Tracker'!$A$6:$A$400&lt;&gt;"")*ISNUMBER(SEARCH('Master Tracker'!$A$6:$A$400,D8))*('Master Tracker'!$G$6:$G$400="Completed"))</f>
        <v/>
      </c>
      <c r="G8" s="122">
        <f>IF(E8=0,"⚠ UNMAPPED",IF(F8=E8,"✓ Delivered",F8&amp;" / "&amp;E8&amp;" done"))</f>
        <v/>
      </c>
    </row>
    <row r="9">
      <c r="A9" s="53" t="inlineStr">
        <is>
          <t>REQ-04</t>
        </is>
      </c>
      <c r="B9" s="53" t="inlineStr">
        <is>
          <t>Phase 1</t>
        </is>
      </c>
      <c r="C9" s="114" t="inlineStr">
        <is>
          <t>CSS and Vanilla JS architecture</t>
        </is>
      </c>
      <c r="D9" s="114" t="inlineStr">
        <is>
          <t>P1-04, P1-07, P1-08</t>
        </is>
      </c>
      <c r="E9" s="122">
        <f>SUMPRODUCT(('Master Tracker'!$A$6:$A$400&lt;&gt;"")*ISNUMBER(SEARCH('Master Tracker'!$A$6:$A$400,D9)))</f>
        <v/>
      </c>
      <c r="F9" s="122">
        <f>SUMPRODUCT(('Master Tracker'!$A$6:$A$400&lt;&gt;"")*ISNUMBER(SEARCH('Master Tracker'!$A$6:$A$400,D9))*('Master Tracker'!$G$6:$G$400="Completed"))</f>
        <v/>
      </c>
      <c r="G9" s="122">
        <f>IF(E9=0,"⚠ UNMAPPED",IF(F9=E9,"✓ Delivered",F9&amp;" / "&amp;E9&amp;" done"))</f>
        <v/>
      </c>
    </row>
    <row r="10">
      <c r="A10" s="53" t="inlineStr">
        <is>
          <t>REQ-05</t>
        </is>
      </c>
      <c r="B10" s="53" t="inlineStr">
        <is>
          <t>Phase 1</t>
        </is>
      </c>
      <c r="C10" s="114" t="inlineStr">
        <is>
          <t>RTL typography and responsive design</t>
        </is>
      </c>
      <c r="D10" s="114" t="inlineStr">
        <is>
          <t>P1-09, P1-10</t>
        </is>
      </c>
      <c r="E10" s="122">
        <f>SUMPRODUCT(('Master Tracker'!$A$6:$A$400&lt;&gt;"")*ISNUMBER(SEARCH('Master Tracker'!$A$6:$A$400,D10)))</f>
        <v/>
      </c>
      <c r="F10" s="122">
        <f>SUMPRODUCT(('Master Tracker'!$A$6:$A$400&lt;&gt;"")*ISNUMBER(SEARCH('Master Tracker'!$A$6:$A$400,D10))*('Master Tracker'!$G$6:$G$400="Completed"))</f>
        <v/>
      </c>
      <c r="G10" s="122">
        <f>IF(E10=0,"⚠ UNMAPPED",IF(F10=E10,"✓ Delivered",F10&amp;" / "&amp;E10&amp;" done"))</f>
        <v/>
      </c>
    </row>
    <row r="11">
      <c r="A11" s="53" t="inlineStr">
        <is>
          <t>REQ-06</t>
        </is>
      </c>
      <c r="B11" s="53" t="inlineStr">
        <is>
          <t>Phase 1</t>
        </is>
      </c>
      <c r="C11" s="114" t="inlineStr">
        <is>
          <t>WordPress integration</t>
        </is>
      </c>
      <c r="D11" s="114" t="inlineStr">
        <is>
          <t>P1-11, P1-12, P1-13</t>
        </is>
      </c>
      <c r="E11" s="122">
        <f>SUMPRODUCT(('Master Tracker'!$A$6:$A$400&lt;&gt;"")*ISNUMBER(SEARCH('Master Tracker'!$A$6:$A$400,D11)))</f>
        <v/>
      </c>
      <c r="F11" s="122">
        <f>SUMPRODUCT(('Master Tracker'!$A$6:$A$400&lt;&gt;"")*ISNUMBER(SEARCH('Master Tracker'!$A$6:$A$400,D11))*('Master Tracker'!$G$6:$G$400="Completed"))</f>
        <v/>
      </c>
      <c r="G11" s="122">
        <f>IF(E11=0,"⚠ UNMAPPED",IF(F11=E11,"✓ Delivered",F11&amp;" / "&amp;E11&amp;" done"))</f>
        <v/>
      </c>
    </row>
    <row r="12">
      <c r="A12" s="53" t="inlineStr">
        <is>
          <t>REQ-07</t>
        </is>
      </c>
      <c r="B12" s="53" t="inlineStr">
        <is>
          <t>Phase 1</t>
        </is>
      </c>
      <c r="C12" s="114" t="inlineStr">
        <is>
          <t>Query caching and Arabic date helpers</t>
        </is>
      </c>
      <c r="D12" s="114" t="inlineStr">
        <is>
          <t>P1-14, P1-15</t>
        </is>
      </c>
      <c r="E12" s="122">
        <f>SUMPRODUCT(('Master Tracker'!$A$6:$A$400&lt;&gt;"")*ISNUMBER(SEARCH('Master Tracker'!$A$6:$A$400,D12)))</f>
        <v/>
      </c>
      <c r="F12" s="122">
        <f>SUMPRODUCT(('Master Tracker'!$A$6:$A$400&lt;&gt;"")*ISNUMBER(SEARCH('Master Tracker'!$A$6:$A$400,D12))*('Master Tracker'!$G$6:$G$400="Completed"))</f>
        <v/>
      </c>
      <c r="G12" s="122">
        <f>IF(E12=0,"⚠ UNMAPPED",IF(F12=E12,"✓ Delivered",F12&amp;" / "&amp;E12&amp;" done"))</f>
        <v/>
      </c>
    </row>
    <row r="13">
      <c r="A13" s="53" t="inlineStr">
        <is>
          <t>REQ-08</t>
        </is>
      </c>
      <c r="B13" s="53" t="inlineStr">
        <is>
          <t>Phase 2</t>
        </is>
      </c>
      <c r="C13" s="114" t="inlineStr">
        <is>
          <t>Homepage hero</t>
        </is>
      </c>
      <c r="D13" s="114" t="inlineStr">
        <is>
          <t>P2-09</t>
        </is>
      </c>
      <c r="E13" s="122">
        <f>SUMPRODUCT(('Master Tracker'!$A$6:$A$400&lt;&gt;"")*ISNUMBER(SEARCH('Master Tracker'!$A$6:$A$400,D13)))</f>
        <v/>
      </c>
      <c r="F13" s="122">
        <f>SUMPRODUCT(('Master Tracker'!$A$6:$A$400&lt;&gt;"")*ISNUMBER(SEARCH('Master Tracker'!$A$6:$A$400,D13))*('Master Tracker'!$G$6:$G$400="Completed"))</f>
        <v/>
      </c>
      <c r="G13" s="122">
        <f>IF(E13=0,"⚠ UNMAPPED",IF(F13=E13,"✓ Delivered",F13&amp;" / "&amp;E13&amp;" done"))</f>
        <v/>
      </c>
    </row>
    <row r="14">
      <c r="A14" s="53" t="inlineStr">
        <is>
          <t>REQ-09</t>
        </is>
      </c>
      <c r="B14" s="53" t="inlineStr">
        <is>
          <t>Phase 2</t>
        </is>
      </c>
      <c r="C14" s="114" t="inlineStr">
        <is>
          <t>Breaking news ticker</t>
        </is>
      </c>
      <c r="D14" s="114" t="inlineStr">
        <is>
          <t>P2-10</t>
        </is>
      </c>
      <c r="E14" s="122">
        <f>SUMPRODUCT(('Master Tracker'!$A$6:$A$400&lt;&gt;"")*ISNUMBER(SEARCH('Master Tracker'!$A$6:$A$400,D14)))</f>
        <v/>
      </c>
      <c r="F14" s="122">
        <f>SUMPRODUCT(('Master Tracker'!$A$6:$A$400&lt;&gt;"")*ISNUMBER(SEARCH('Master Tracker'!$A$6:$A$400,D14))*('Master Tracker'!$G$6:$G$400="Completed"))</f>
        <v/>
      </c>
      <c r="G14" s="122">
        <f>IF(E14=0,"⚠ UNMAPPED",IF(F14=E14,"✓ Delivered",F14&amp;" / "&amp;E14&amp;" done"))</f>
        <v/>
      </c>
    </row>
    <row r="15">
      <c r="A15" s="53" t="inlineStr">
        <is>
          <t>REQ-10</t>
        </is>
      </c>
      <c r="B15" s="53" t="inlineStr">
        <is>
          <t>Phase 2</t>
        </is>
      </c>
      <c r="C15" s="114" t="inlineStr">
        <is>
          <t>Magazine cover slider</t>
        </is>
      </c>
      <c r="D15" s="114" t="inlineStr">
        <is>
          <t>P2-11</t>
        </is>
      </c>
      <c r="E15" s="122">
        <f>SUMPRODUCT(('Master Tracker'!$A$6:$A$400&lt;&gt;"")*ISNUMBER(SEARCH('Master Tracker'!$A$6:$A$400,D15)))</f>
        <v/>
      </c>
      <c r="F15" s="122">
        <f>SUMPRODUCT(('Master Tracker'!$A$6:$A$400&lt;&gt;"")*ISNUMBER(SEARCH('Master Tracker'!$A$6:$A$400,D15))*('Master Tracker'!$G$6:$G$400="Completed"))</f>
        <v/>
      </c>
      <c r="G15" s="122">
        <f>IF(E15=0,"⚠ UNMAPPED",IF(F15=E15,"✓ Delivered",F15&amp;" / "&amp;E15&amp;" done"))</f>
        <v/>
      </c>
    </row>
    <row r="16">
      <c r="A16" s="53" t="inlineStr">
        <is>
          <t>REQ-11</t>
        </is>
      </c>
      <c r="B16" s="53" t="inlineStr">
        <is>
          <t>Phase 2</t>
        </is>
      </c>
      <c r="C16" s="114" t="inlineStr">
        <is>
          <t>Chamber and opinion sections</t>
        </is>
      </c>
      <c r="D16" s="114" t="inlineStr">
        <is>
          <t>P2-12, P2-13</t>
        </is>
      </c>
      <c r="E16" s="122">
        <f>SUMPRODUCT(('Master Tracker'!$A$6:$A$400&lt;&gt;"")*ISNUMBER(SEARCH('Master Tracker'!$A$6:$A$400,D16)))</f>
        <v/>
      </c>
      <c r="F16" s="122">
        <f>SUMPRODUCT(('Master Tracker'!$A$6:$A$400&lt;&gt;"")*ISNUMBER(SEARCH('Master Tracker'!$A$6:$A$400,D16))*('Master Tracker'!$G$6:$G$400="Completed"))</f>
        <v/>
      </c>
      <c r="G16" s="122">
        <f>IF(E16=0,"⚠ UNMAPPED",IF(F16=E16,"✓ Delivered",F16&amp;" / "&amp;E16&amp;" done"))</f>
        <v/>
      </c>
    </row>
    <row r="17">
      <c r="A17" s="53" t="inlineStr">
        <is>
          <t>REQ-12</t>
        </is>
      </c>
      <c r="B17" s="53" t="inlineStr">
        <is>
          <t>Phase 2</t>
        </is>
      </c>
      <c r="C17" s="114" t="inlineStr">
        <is>
          <t>Reports and article grids</t>
        </is>
      </c>
      <c r="D17" s="114" t="inlineStr">
        <is>
          <t>P2-14, P2-15</t>
        </is>
      </c>
      <c r="E17" s="122">
        <f>SUMPRODUCT(('Master Tracker'!$A$6:$A$400&lt;&gt;"")*ISNUMBER(SEARCH('Master Tracker'!$A$6:$A$400,D17)))</f>
        <v/>
      </c>
      <c r="F17" s="122">
        <f>SUMPRODUCT(('Master Tracker'!$A$6:$A$400&lt;&gt;"")*ISNUMBER(SEARCH('Master Tracker'!$A$6:$A$400,D17))*('Master Tracker'!$G$6:$G$400="Completed"))</f>
        <v/>
      </c>
      <c r="G17" s="122">
        <f>IF(E17=0,"⚠ UNMAPPED",IF(F17=E17,"✓ Delivered",F17&amp;" / "&amp;E17&amp;" done"))</f>
        <v/>
      </c>
    </row>
    <row r="18">
      <c r="A18" s="53" t="inlineStr">
        <is>
          <t>REQ-13</t>
        </is>
      </c>
      <c r="B18" s="53" t="inlineStr">
        <is>
          <t>Phase 2</t>
        </is>
      </c>
      <c r="C18" s="114" t="inlineStr">
        <is>
          <t>Business, real estate, automotive, technology, healthcare, tourism sections</t>
        </is>
      </c>
      <c r="D18" s="114" t="inlineStr">
        <is>
          <t>P2-16, P2-17, P2-18, P2-19, P2-20, P2-21</t>
        </is>
      </c>
      <c r="E18" s="122">
        <f>SUMPRODUCT(('Master Tracker'!$A$6:$A$400&lt;&gt;"")*ISNUMBER(SEARCH('Master Tracker'!$A$6:$A$400,D18)))</f>
        <v/>
      </c>
      <c r="F18" s="122">
        <f>SUMPRODUCT(('Master Tracker'!$A$6:$A$400&lt;&gt;"")*ISNUMBER(SEARCH('Master Tracker'!$A$6:$A$400,D18))*('Master Tracker'!$G$6:$G$400="Completed"))</f>
        <v/>
      </c>
      <c r="G18" s="122">
        <f>IF(E18=0,"⚠ UNMAPPED",IF(F18=E18,"✓ Delivered",F18&amp;" / "&amp;E18&amp;" done"))</f>
        <v/>
      </c>
    </row>
    <row r="19">
      <c r="A19" s="53" t="inlineStr">
        <is>
          <t>REQ-14</t>
        </is>
      </c>
      <c r="B19" s="53" t="inlineStr">
        <is>
          <t>Phase 2</t>
        </is>
      </c>
      <c r="C19" s="114" t="inlineStr">
        <is>
          <t>Most-read widget</t>
        </is>
      </c>
      <c r="D19" s="114" t="inlineStr">
        <is>
          <t>P2-22</t>
        </is>
      </c>
      <c r="E19" s="122">
        <f>SUMPRODUCT(('Master Tracker'!$A$6:$A$400&lt;&gt;"")*ISNUMBER(SEARCH('Master Tracker'!$A$6:$A$400,D19)))</f>
        <v/>
      </c>
      <c r="F19" s="122">
        <f>SUMPRODUCT(('Master Tracker'!$A$6:$A$400&lt;&gt;"")*ISNUMBER(SEARCH('Master Tracker'!$A$6:$A$400,D19))*('Master Tracker'!$G$6:$G$400="Completed"))</f>
        <v/>
      </c>
      <c r="G19" s="122">
        <f>IF(E19=0,"⚠ UNMAPPED",IF(F19=E19,"✓ Delivered",F19&amp;" / "&amp;E19&amp;" done"))</f>
        <v/>
      </c>
    </row>
    <row r="20">
      <c r="A20" s="53" t="inlineStr">
        <is>
          <t>REQ-15</t>
        </is>
      </c>
      <c r="B20" s="53" t="inlineStr">
        <is>
          <t>Phase 2</t>
        </is>
      </c>
      <c r="C20" s="114" t="inlineStr">
        <is>
          <t>WordPress Customizer and Section Manager</t>
        </is>
      </c>
      <c r="D20" s="114" t="inlineStr">
        <is>
          <t>P2-01, P2-02</t>
        </is>
      </c>
      <c r="E20" s="122">
        <f>SUMPRODUCT(('Master Tracker'!$A$6:$A$400&lt;&gt;"")*ISNUMBER(SEARCH('Master Tracker'!$A$6:$A$400,D20)))</f>
        <v/>
      </c>
      <c r="F20" s="122">
        <f>SUMPRODUCT(('Master Tracker'!$A$6:$A$400&lt;&gt;"")*ISNUMBER(SEARCH('Master Tracker'!$A$6:$A$400,D20))*('Master Tracker'!$G$6:$G$400="Completed"))</f>
        <v/>
      </c>
      <c r="G20" s="122">
        <f>IF(E20=0,"⚠ UNMAPPED",IF(F20=E20,"✓ Delivered",F20&amp;" / "&amp;E20&amp;" done"))</f>
        <v/>
      </c>
    </row>
    <row r="21">
      <c r="A21" s="53" t="inlineStr">
        <is>
          <t>REQ-16</t>
        </is>
      </c>
      <c r="B21" s="53" t="inlineStr">
        <is>
          <t>Phase 2</t>
        </is>
      </c>
      <c r="C21" s="114" t="inlineStr">
        <is>
          <t>Dynamic category/tag selection</t>
        </is>
      </c>
      <c r="D21" s="114" t="inlineStr">
        <is>
          <t>P2-03</t>
        </is>
      </c>
      <c r="E21" s="122">
        <f>SUMPRODUCT(('Master Tracker'!$A$6:$A$400&lt;&gt;"")*ISNUMBER(SEARCH('Master Tracker'!$A$6:$A$400,D21)))</f>
        <v/>
      </c>
      <c r="F21" s="122">
        <f>SUMPRODUCT(('Master Tracker'!$A$6:$A$400&lt;&gt;"")*ISNUMBER(SEARCH('Master Tracker'!$A$6:$A$400,D21))*('Master Tracker'!$G$6:$G$400="Completed"))</f>
        <v/>
      </c>
      <c r="G21" s="122">
        <f>IF(E21=0,"⚠ UNMAPPED",IF(F21=E21,"✓ Delivered",F21&amp;" / "&amp;E21&amp;" done"))</f>
        <v/>
      </c>
    </row>
    <row r="22">
      <c r="A22" s="53" t="inlineStr">
        <is>
          <t>REQ-17</t>
        </is>
      </c>
      <c r="B22" s="53" t="inlineStr">
        <is>
          <t>Phase 2</t>
        </is>
      </c>
      <c r="C22" s="114" t="inlineStr">
        <is>
          <t>Post counts, sorting, offsets and manual post selection</t>
        </is>
      </c>
      <c r="D22" s="114" t="inlineStr">
        <is>
          <t>P2-04, P2-05</t>
        </is>
      </c>
      <c r="E22" s="122">
        <f>SUMPRODUCT(('Master Tracker'!$A$6:$A$400&lt;&gt;"")*ISNUMBER(SEARCH('Master Tracker'!$A$6:$A$400,D22)))</f>
        <v/>
      </c>
      <c r="F22" s="122">
        <f>SUMPRODUCT(('Master Tracker'!$A$6:$A$400&lt;&gt;"")*ISNUMBER(SEARCH('Master Tracker'!$A$6:$A$400,D22))*('Master Tracker'!$G$6:$G$400="Completed"))</f>
        <v/>
      </c>
      <c r="G22" s="122">
        <f>IF(E22=0,"⚠ UNMAPPED",IF(F22=E22,"✓ Delivered",F22&amp;" / "&amp;E22&amp;" done"))</f>
        <v/>
      </c>
    </row>
    <row r="23">
      <c r="A23" s="53" t="inlineStr">
        <is>
          <t>REQ-18</t>
        </is>
      </c>
      <c r="B23" s="53" t="inlineStr">
        <is>
          <t>Phase 2</t>
        </is>
      </c>
      <c r="C23" s="114" t="inlineStr">
        <is>
          <t>Layout switching, section visibility and cache controls</t>
        </is>
      </c>
      <c r="D23" s="114" t="inlineStr">
        <is>
          <t>P2-06, P2-07, P2-08</t>
        </is>
      </c>
      <c r="E23" s="122">
        <f>SUMPRODUCT(('Master Tracker'!$A$6:$A$400&lt;&gt;"")*ISNUMBER(SEARCH('Master Tracker'!$A$6:$A$400,D23)))</f>
        <v/>
      </c>
      <c r="F23" s="122">
        <f>SUMPRODUCT(('Master Tracker'!$A$6:$A$400&lt;&gt;"")*ISNUMBER(SEARCH('Master Tracker'!$A$6:$A$400,D23))*('Master Tracker'!$G$6:$G$400="Completed"))</f>
        <v/>
      </c>
      <c r="G23" s="122">
        <f>IF(E23=0,"⚠ UNMAPPED",IF(F23=E23,"✓ Delivered",F23&amp;" / "&amp;E23&amp;" done"))</f>
        <v/>
      </c>
    </row>
    <row r="24">
      <c r="A24" s="53" t="inlineStr">
        <is>
          <t>REQ-19</t>
        </is>
      </c>
      <c r="B24" s="53" t="inlineStr">
        <is>
          <t>Phase 3</t>
        </is>
      </c>
      <c r="C24" s="114" t="inlineStr">
        <is>
          <t>Single article template</t>
        </is>
      </c>
      <c r="D24" s="114" t="inlineStr">
        <is>
          <t>P3-01, P3-03</t>
        </is>
      </c>
      <c r="E24" s="122">
        <f>SUMPRODUCT(('Master Tracker'!$A$6:$A$400&lt;&gt;"")*ISNUMBER(SEARCH('Master Tracker'!$A$6:$A$400,D24)))</f>
        <v/>
      </c>
      <c r="F24" s="122">
        <f>SUMPRODUCT(('Master Tracker'!$A$6:$A$400&lt;&gt;"")*ISNUMBER(SEARCH('Master Tracker'!$A$6:$A$400,D24))*('Master Tracker'!$G$6:$G$400="Completed"))</f>
        <v/>
      </c>
      <c r="G24" s="122">
        <f>IF(E24=0,"⚠ UNMAPPED",IF(F24=E24,"✓ Delivered",F24&amp;" / "&amp;E24&amp;" done"))</f>
        <v/>
      </c>
    </row>
    <row r="25">
      <c r="A25" s="53" t="inlineStr">
        <is>
          <t>REQ-20</t>
        </is>
      </c>
      <c r="B25" s="53" t="inlineStr">
        <is>
          <t>Phase 3</t>
        </is>
      </c>
      <c r="C25" s="114" t="inlineStr">
        <is>
          <t>Category archives</t>
        </is>
      </c>
      <c r="D25" s="114" t="inlineStr">
        <is>
          <t>P3-09, P3-10</t>
        </is>
      </c>
      <c r="E25" s="122">
        <f>SUMPRODUCT(('Master Tracker'!$A$6:$A$400&lt;&gt;"")*ISNUMBER(SEARCH('Master Tracker'!$A$6:$A$400,D25)))</f>
        <v/>
      </c>
      <c r="F25" s="122">
        <f>SUMPRODUCT(('Master Tracker'!$A$6:$A$400&lt;&gt;"")*ISNUMBER(SEARCH('Master Tracker'!$A$6:$A$400,D25))*('Master Tracker'!$G$6:$G$400="Completed"))</f>
        <v/>
      </c>
      <c r="G25" s="122">
        <f>IF(E25=0,"⚠ UNMAPPED",IF(F25=E25,"✓ Delivered",F25&amp;" / "&amp;E25&amp;" done"))</f>
        <v/>
      </c>
    </row>
    <row r="26">
      <c r="A26" s="53" t="inlineStr">
        <is>
          <t>REQ-21</t>
        </is>
      </c>
      <c r="B26" s="53" t="inlineStr">
        <is>
          <t>Phase 3</t>
        </is>
      </c>
      <c r="C26" s="114" t="inlineStr">
        <is>
          <t>Article metadata</t>
        </is>
      </c>
      <c r="D26" s="114" t="inlineStr">
        <is>
          <t>P3-02</t>
        </is>
      </c>
      <c r="E26" s="122">
        <f>SUMPRODUCT(('Master Tracker'!$A$6:$A$400&lt;&gt;"")*ISNUMBER(SEARCH('Master Tracker'!$A$6:$A$400,D26)))</f>
        <v/>
      </c>
      <c r="F26" s="122">
        <f>SUMPRODUCT(('Master Tracker'!$A$6:$A$400&lt;&gt;"")*ISNUMBER(SEARCH('Master Tracker'!$A$6:$A$400,D26))*('Master Tracker'!$G$6:$G$400="Completed"))</f>
        <v/>
      </c>
      <c r="G26" s="122">
        <f>IF(E26=0,"⚠ UNMAPPED",IF(F26=E26,"✓ Delivered",F26&amp;" / "&amp;E26&amp;" done"))</f>
        <v/>
      </c>
    </row>
    <row r="27">
      <c r="A27" s="53" t="inlineStr">
        <is>
          <t>REQ-22</t>
        </is>
      </c>
      <c r="B27" s="53" t="inlineStr">
        <is>
          <t>Phase 3</t>
        </is>
      </c>
      <c r="C27" s="114" t="inlineStr">
        <is>
          <t>Author profiles</t>
        </is>
      </c>
      <c r="D27" s="114" t="inlineStr">
        <is>
          <t>P3-08</t>
        </is>
      </c>
      <c r="E27" s="122">
        <f>SUMPRODUCT(('Master Tracker'!$A$6:$A$400&lt;&gt;"")*ISNUMBER(SEARCH('Master Tracker'!$A$6:$A$400,D27)))</f>
        <v/>
      </c>
      <c r="F27" s="122">
        <f>SUMPRODUCT(('Master Tracker'!$A$6:$A$400&lt;&gt;"")*ISNUMBER(SEARCH('Master Tracker'!$A$6:$A$400,D27))*('Master Tracker'!$G$6:$G$400="Completed"))</f>
        <v/>
      </c>
      <c r="G27" s="122">
        <f>IF(E27=0,"⚠ UNMAPPED",IF(F27=E27,"✓ Delivered",F27&amp;" / "&amp;E27&amp;" done"))</f>
        <v/>
      </c>
    </row>
    <row r="28">
      <c r="A28" s="53" t="inlineStr">
        <is>
          <t>REQ-23</t>
        </is>
      </c>
      <c r="B28" s="53" t="inlineStr">
        <is>
          <t>Phase 3</t>
        </is>
      </c>
      <c r="C28" s="114" t="inlineStr">
        <is>
          <t>Reading progress bar</t>
        </is>
      </c>
      <c r="D28" s="114" t="inlineStr">
        <is>
          <t>P3-04</t>
        </is>
      </c>
      <c r="E28" s="122">
        <f>SUMPRODUCT(('Master Tracker'!$A$6:$A$400&lt;&gt;"")*ISNUMBER(SEARCH('Master Tracker'!$A$6:$A$400,D28)))</f>
        <v/>
      </c>
      <c r="F28" s="122">
        <f>SUMPRODUCT(('Master Tracker'!$A$6:$A$400&lt;&gt;"")*ISNUMBER(SEARCH('Master Tracker'!$A$6:$A$400,D28))*('Master Tracker'!$G$6:$G$400="Completed"))</f>
        <v/>
      </c>
      <c r="G28" s="122">
        <f>IF(E28=0,"⚠ UNMAPPED",IF(F28=E28,"✓ Delivered",F28&amp;" / "&amp;E28&amp;" done"))</f>
        <v/>
      </c>
    </row>
    <row r="29">
      <c r="A29" s="53" t="inlineStr">
        <is>
          <t>REQ-24</t>
        </is>
      </c>
      <c r="B29" s="53" t="inlineStr">
        <is>
          <t>Phase 3</t>
        </is>
      </c>
      <c r="C29" s="114" t="inlineStr">
        <is>
          <t>Social sharing</t>
        </is>
      </c>
      <c r="D29" s="114" t="inlineStr">
        <is>
          <t>P3-05</t>
        </is>
      </c>
      <c r="E29" s="122">
        <f>SUMPRODUCT(('Master Tracker'!$A$6:$A$400&lt;&gt;"")*ISNUMBER(SEARCH('Master Tracker'!$A$6:$A$400,D29)))</f>
        <v/>
      </c>
      <c r="F29" s="122">
        <f>SUMPRODUCT(('Master Tracker'!$A$6:$A$400&lt;&gt;"")*ISNUMBER(SEARCH('Master Tracker'!$A$6:$A$400,D29))*('Master Tracker'!$G$6:$G$400="Completed"))</f>
        <v/>
      </c>
      <c r="G29" s="122">
        <f>IF(E29=0,"⚠ UNMAPPED",IF(F29=E29,"✓ Delivered",F29&amp;" / "&amp;E29&amp;" done"))</f>
        <v/>
      </c>
    </row>
    <row r="30">
      <c r="A30" s="53" t="inlineStr">
        <is>
          <t>REQ-25</t>
        </is>
      </c>
      <c r="B30" s="53" t="inlineStr">
        <is>
          <t>Phase 3</t>
        </is>
      </c>
      <c r="C30" s="114" t="inlineStr">
        <is>
          <t>Advertisement injection</t>
        </is>
      </c>
      <c r="D30" s="114" t="inlineStr">
        <is>
          <t>P3-06</t>
        </is>
      </c>
      <c r="E30" s="122">
        <f>SUMPRODUCT(('Master Tracker'!$A$6:$A$400&lt;&gt;"")*ISNUMBER(SEARCH('Master Tracker'!$A$6:$A$400,D30)))</f>
        <v/>
      </c>
      <c r="F30" s="122">
        <f>SUMPRODUCT(('Master Tracker'!$A$6:$A$400&lt;&gt;"")*ISNUMBER(SEARCH('Master Tracker'!$A$6:$A$400,D30))*('Master Tracker'!$G$6:$G$400="Completed"))</f>
        <v/>
      </c>
      <c r="G30" s="122">
        <f>IF(E30=0,"⚠ UNMAPPED",IF(F30=E30,"✓ Delivered",F30&amp;" / "&amp;E30&amp;" done"))</f>
        <v/>
      </c>
    </row>
    <row r="31">
      <c r="A31" s="53" t="inlineStr">
        <is>
          <t>REQ-26</t>
        </is>
      </c>
      <c r="B31" s="53" t="inlineStr">
        <is>
          <t>Phase 3</t>
        </is>
      </c>
      <c r="C31" s="114" t="inlineStr">
        <is>
          <t>Related articles</t>
        </is>
      </c>
      <c r="D31" s="114" t="inlineStr">
        <is>
          <t>P3-07</t>
        </is>
      </c>
      <c r="E31" s="122">
        <f>SUMPRODUCT(('Master Tracker'!$A$6:$A$400&lt;&gt;"")*ISNUMBER(SEARCH('Master Tracker'!$A$6:$A$400,D31)))</f>
        <v/>
      </c>
      <c r="F31" s="122">
        <f>SUMPRODUCT(('Master Tracker'!$A$6:$A$400&lt;&gt;"")*ISNUMBER(SEARCH('Master Tracker'!$A$6:$A$400,D31))*('Master Tracker'!$G$6:$G$400="Completed"))</f>
        <v/>
      </c>
      <c r="G31" s="122">
        <f>IF(E31=0,"⚠ UNMAPPED",IF(F31=E31,"✓ Delivered",F31&amp;" / "&amp;E31&amp;" done"))</f>
        <v/>
      </c>
    </row>
    <row r="32">
      <c r="A32" s="53" t="inlineStr">
        <is>
          <t>REQ-27</t>
        </is>
      </c>
      <c r="B32" s="53" t="inlineStr">
        <is>
          <t>Phase 3</t>
        </is>
      </c>
      <c r="C32" s="114" t="inlineStr">
        <is>
          <t>AJAX filtering</t>
        </is>
      </c>
      <c r="D32" s="114" t="inlineStr">
        <is>
          <t>P3-11</t>
        </is>
      </c>
      <c r="E32" s="122">
        <f>SUMPRODUCT(('Master Tracker'!$A$6:$A$400&lt;&gt;"")*ISNUMBER(SEARCH('Master Tracker'!$A$6:$A$400,D32)))</f>
        <v/>
      </c>
      <c r="F32" s="122">
        <f>SUMPRODUCT(('Master Tracker'!$A$6:$A$400&lt;&gt;"")*ISNUMBER(SEARCH('Master Tracker'!$A$6:$A$400,D32))*('Master Tracker'!$G$6:$G$400="Completed"))</f>
        <v/>
      </c>
      <c r="G32" s="122">
        <f>IF(E32=0,"⚠ UNMAPPED",IF(F32=E32,"✓ Delivered",F32&amp;" / "&amp;E32&amp;" done"))</f>
        <v/>
      </c>
    </row>
    <row r="33">
      <c r="A33" s="53" t="inlineStr">
        <is>
          <t>REQ-28</t>
        </is>
      </c>
      <c r="B33" s="53" t="inlineStr">
        <is>
          <t>Phase 3</t>
        </is>
      </c>
      <c r="C33" s="114" t="inlineStr">
        <is>
          <t>Grid/list switching</t>
        </is>
      </c>
      <c r="D33" s="114" t="inlineStr">
        <is>
          <t>P3-12</t>
        </is>
      </c>
      <c r="E33" s="122">
        <f>SUMPRODUCT(('Master Tracker'!$A$6:$A$400&lt;&gt;"")*ISNUMBER(SEARCH('Master Tracker'!$A$6:$A$400,D33)))</f>
        <v/>
      </c>
      <c r="F33" s="122">
        <f>SUMPRODUCT(('Master Tracker'!$A$6:$A$400&lt;&gt;"")*ISNUMBER(SEARCH('Master Tracker'!$A$6:$A$400,D33))*('Master Tracker'!$G$6:$G$400="Completed"))</f>
        <v/>
      </c>
      <c r="G33" s="122">
        <f>IF(E33=0,"⚠ UNMAPPED",IF(F33=E33,"✓ Delivered",F33&amp;" / "&amp;E33&amp;" done"))</f>
        <v/>
      </c>
    </row>
    <row r="34">
      <c r="A34" s="53" t="inlineStr">
        <is>
          <t>REQ-29</t>
        </is>
      </c>
      <c r="B34" s="53" t="inlineStr">
        <is>
          <t>Phase 3</t>
        </is>
      </c>
      <c r="C34" s="114" t="inlineStr">
        <is>
          <t>Pagination</t>
        </is>
      </c>
      <c r="D34" s="114" t="inlineStr">
        <is>
          <t>P3-13</t>
        </is>
      </c>
      <c r="E34" s="122">
        <f>SUMPRODUCT(('Master Tracker'!$A$6:$A$400&lt;&gt;"")*ISNUMBER(SEARCH('Master Tracker'!$A$6:$A$400,D34)))</f>
        <v/>
      </c>
      <c r="F34" s="122">
        <f>SUMPRODUCT(('Master Tracker'!$A$6:$A$400&lt;&gt;"")*ISNUMBER(SEARCH('Master Tracker'!$A$6:$A$400,D34))*('Master Tracker'!$G$6:$G$400="Completed"))</f>
        <v/>
      </c>
      <c r="G34" s="122">
        <f>IF(E34=0,"⚠ UNMAPPED",IF(F34=E34,"✓ Delivered",F34&amp;" / "&amp;E34&amp;" done"))</f>
        <v/>
      </c>
    </row>
    <row r="35">
      <c r="A35" s="53" t="inlineStr">
        <is>
          <t>REQ-30</t>
        </is>
      </c>
      <c r="B35" s="53" t="inlineStr">
        <is>
          <t>Phase 3</t>
        </is>
      </c>
      <c r="C35" s="114" t="inlineStr">
        <is>
          <t>Print stylesheet</t>
        </is>
      </c>
      <c r="D35" s="114" t="inlineStr">
        <is>
          <t>P3-14</t>
        </is>
      </c>
      <c r="E35" s="122">
        <f>SUMPRODUCT(('Master Tracker'!$A$6:$A$400&lt;&gt;"")*ISNUMBER(SEARCH('Master Tracker'!$A$6:$A$400,D35)))</f>
        <v/>
      </c>
      <c r="F35" s="122">
        <f>SUMPRODUCT(('Master Tracker'!$A$6:$A$400&lt;&gt;"")*ISNUMBER(SEARCH('Master Tracker'!$A$6:$A$400,D35))*('Master Tracker'!$G$6:$G$400="Completed"))</f>
        <v/>
      </c>
      <c r="G35" s="122">
        <f>IF(E35=0,"⚠ UNMAPPED",IF(F35=E35,"✓ Delivered",F35&amp;" / "&amp;E35&amp;" done"))</f>
        <v/>
      </c>
    </row>
    <row r="36">
      <c r="A36" s="53" t="inlineStr">
        <is>
          <t>REQ-31</t>
        </is>
      </c>
      <c r="B36" s="53" t="inlineStr">
        <is>
          <t>Phase 3</t>
        </is>
      </c>
      <c r="C36" s="114" t="inlineStr">
        <is>
          <t>SEO compatibility</t>
        </is>
      </c>
      <c r="D36" s="114" t="inlineStr">
        <is>
          <t>P3-15</t>
        </is>
      </c>
      <c r="E36" s="122">
        <f>SUMPRODUCT(('Master Tracker'!$A$6:$A$400&lt;&gt;"")*ISNUMBER(SEARCH('Master Tracker'!$A$6:$A$400,D36)))</f>
        <v/>
      </c>
      <c r="F36" s="122">
        <f>SUMPRODUCT(('Master Tracker'!$A$6:$A$400&lt;&gt;"")*ISNUMBER(SEARCH('Master Tracker'!$A$6:$A$400,D36))*('Master Tracker'!$G$6:$G$400="Completed"))</f>
        <v/>
      </c>
      <c r="G36" s="122">
        <f>IF(E36=0,"⚠ UNMAPPED",IF(F36=E36,"✓ Delivered",F36&amp;" / "&amp;E36&amp;" done"))</f>
        <v/>
      </c>
    </row>
    <row r="37">
      <c r="A37" s="53" t="inlineStr">
        <is>
          <t>REQ-32</t>
        </is>
      </c>
      <c r="B37" s="53" t="inlineStr">
        <is>
          <t>Phase 4</t>
        </is>
      </c>
      <c r="C37" s="114" t="inlineStr">
        <is>
          <t>Magazine issue custom post type</t>
        </is>
      </c>
      <c r="D37" s="114" t="inlineStr">
        <is>
          <t>P4-01, P4-02</t>
        </is>
      </c>
      <c r="E37" s="122">
        <f>SUMPRODUCT(('Master Tracker'!$A$6:$A$400&lt;&gt;"")*ISNUMBER(SEARCH('Master Tracker'!$A$6:$A$400,D37)))</f>
        <v/>
      </c>
      <c r="F37" s="122">
        <f>SUMPRODUCT(('Master Tracker'!$A$6:$A$400&lt;&gt;"")*ISNUMBER(SEARCH('Master Tracker'!$A$6:$A$400,D37))*('Master Tracker'!$G$6:$G$400="Completed"))</f>
        <v/>
      </c>
      <c r="G37" s="122">
        <f>IF(E37=0,"⚠ UNMAPPED",IF(F37=E37,"✓ Delivered",F37&amp;" / "&amp;E37&amp;" done"))</f>
        <v/>
      </c>
    </row>
    <row r="38">
      <c r="A38" s="53" t="inlineStr">
        <is>
          <t>REQ-33</t>
        </is>
      </c>
      <c r="B38" s="53" t="inlineStr">
        <is>
          <t>Phase 4</t>
        </is>
      </c>
      <c r="C38" s="114" t="inlineStr">
        <is>
          <t>Issue archive</t>
        </is>
      </c>
      <c r="D38" s="114" t="inlineStr">
        <is>
          <t>P4-06</t>
        </is>
      </c>
      <c r="E38" s="122">
        <f>SUMPRODUCT(('Master Tracker'!$A$6:$A$400&lt;&gt;"")*ISNUMBER(SEARCH('Master Tracker'!$A$6:$A$400,D38)))</f>
        <v/>
      </c>
      <c r="F38" s="122">
        <f>SUMPRODUCT(('Master Tracker'!$A$6:$A$400&lt;&gt;"")*ISNUMBER(SEARCH('Master Tracker'!$A$6:$A$400,D38))*('Master Tracker'!$G$6:$G$400="Completed"))</f>
        <v/>
      </c>
      <c r="G38" s="122">
        <f>IF(E38=0,"⚠ UNMAPPED",IF(F38=E38,"✓ Delivered",F38&amp;" / "&amp;E38&amp;" done"))</f>
        <v/>
      </c>
    </row>
    <row r="39">
      <c r="A39" s="53" t="inlineStr">
        <is>
          <t>REQ-34</t>
        </is>
      </c>
      <c r="B39" s="53" t="inlineStr">
        <is>
          <t>Phase 4</t>
        </is>
      </c>
      <c r="C39" s="114" t="inlineStr">
        <is>
          <t>Single issue page</t>
        </is>
      </c>
      <c r="D39" s="114" t="inlineStr">
        <is>
          <t>P4-08</t>
        </is>
      </c>
      <c r="E39" s="122">
        <f>SUMPRODUCT(('Master Tracker'!$A$6:$A$400&lt;&gt;"")*ISNUMBER(SEARCH('Master Tracker'!$A$6:$A$400,D39)))</f>
        <v/>
      </c>
      <c r="F39" s="122">
        <f>SUMPRODUCT(('Master Tracker'!$A$6:$A$400&lt;&gt;"")*ISNUMBER(SEARCH('Master Tracker'!$A$6:$A$400,D39))*('Master Tracker'!$G$6:$G$400="Completed"))</f>
        <v/>
      </c>
      <c r="G39" s="122">
        <f>IF(E39=0,"⚠ UNMAPPED",IF(F39=E39,"✓ Delivered",F39&amp;" / "&amp;E39&amp;" done"))</f>
        <v/>
      </c>
    </row>
    <row r="40">
      <c r="A40" s="53" t="inlineStr">
        <is>
          <t>REQ-35</t>
        </is>
      </c>
      <c r="B40" s="53" t="inlineStr">
        <is>
          <t>Phase 4</t>
        </is>
      </c>
      <c r="C40" s="114" t="inlineStr">
        <is>
          <t>Historical issue migration</t>
        </is>
      </c>
      <c r="D40" s="114" t="inlineStr">
        <is>
          <t>P4-03, P4-04</t>
        </is>
      </c>
      <c r="E40" s="122">
        <f>SUMPRODUCT(('Master Tracker'!$A$6:$A$400&lt;&gt;"")*ISNUMBER(SEARCH('Master Tracker'!$A$6:$A$400,D40)))</f>
        <v/>
      </c>
      <c r="F40" s="122">
        <f>SUMPRODUCT(('Master Tracker'!$A$6:$A$400&lt;&gt;"")*ISNUMBER(SEARCH('Master Tracker'!$A$6:$A$400,D40))*('Master Tracker'!$G$6:$G$400="Completed"))</f>
        <v/>
      </c>
      <c r="G40" s="122">
        <f>IF(E40=0,"⚠ UNMAPPED",IF(F40=E40,"✓ Delivered",F40&amp;" / "&amp;E40&amp;" done"))</f>
        <v/>
      </c>
    </row>
    <row r="41">
      <c r="A41" s="53" t="inlineStr">
        <is>
          <t>REQ-36</t>
        </is>
      </c>
      <c r="B41" s="53" t="inlineStr">
        <is>
          <t>Phase 4</t>
        </is>
      </c>
      <c r="C41" s="114" t="inlineStr">
        <is>
          <t>All 48 magazine issues</t>
        </is>
      </c>
      <c r="D41" s="114" t="inlineStr">
        <is>
          <t>P4-04, P4-12</t>
        </is>
      </c>
      <c r="E41" s="122">
        <f>SUMPRODUCT(('Master Tracker'!$A$6:$A$400&lt;&gt;"")*ISNUMBER(SEARCH('Master Tracker'!$A$6:$A$400,D41)))</f>
        <v/>
      </c>
      <c r="F41" s="122">
        <f>SUMPRODUCT(('Master Tracker'!$A$6:$A$400&lt;&gt;"")*ISNUMBER(SEARCH('Master Tracker'!$A$6:$A$400,D41))*('Master Tracker'!$G$6:$G$400="Completed"))</f>
        <v/>
      </c>
      <c r="G41" s="122">
        <f>IF(E41=0,"⚠ UNMAPPED",IF(F41=E41,"✓ Delivered",F41&amp;" / "&amp;E41&amp;" done"))</f>
        <v/>
      </c>
    </row>
    <row r="42">
      <c r="A42" s="53" t="inlineStr">
        <is>
          <t>REQ-37</t>
        </is>
      </c>
      <c r="B42" s="53" t="inlineStr">
        <is>
          <t>Phase 4</t>
        </is>
      </c>
      <c r="C42" s="114" t="inlineStr">
        <is>
          <t>Cover images</t>
        </is>
      </c>
      <c r="D42" s="114" t="inlineStr">
        <is>
          <t>P4-05</t>
        </is>
      </c>
      <c r="E42" s="122">
        <f>SUMPRODUCT(('Master Tracker'!$A$6:$A$400&lt;&gt;"")*ISNUMBER(SEARCH('Master Tracker'!$A$6:$A$400,D42)))</f>
        <v/>
      </c>
      <c r="F42" s="122">
        <f>SUMPRODUCT(('Master Tracker'!$A$6:$A$400&lt;&gt;"")*ISNUMBER(SEARCH('Master Tracker'!$A$6:$A$400,D42))*('Master Tracker'!$G$6:$G$400="Completed"))</f>
        <v/>
      </c>
      <c r="G42" s="122">
        <f>IF(E42=0,"⚠ UNMAPPED",IF(F42=E42,"✓ Delivered",F42&amp;" / "&amp;E42&amp;" done"))</f>
        <v/>
      </c>
    </row>
    <row r="43">
      <c r="A43" s="53" t="inlineStr">
        <is>
          <t>REQ-38</t>
        </is>
      </c>
      <c r="B43" s="53" t="inlineStr">
        <is>
          <t>Phase 4</t>
        </is>
      </c>
      <c r="C43" s="114" t="inlineStr">
        <is>
          <t>Year and decade filtering</t>
        </is>
      </c>
      <c r="D43" s="114" t="inlineStr">
        <is>
          <t>P4-07</t>
        </is>
      </c>
      <c r="E43" s="122">
        <f>SUMPRODUCT(('Master Tracker'!$A$6:$A$400&lt;&gt;"")*ISNUMBER(SEARCH('Master Tracker'!$A$6:$A$400,D43)))</f>
        <v/>
      </c>
      <c r="F43" s="122">
        <f>SUMPRODUCT(('Master Tracker'!$A$6:$A$400&lt;&gt;"")*ISNUMBER(SEARCH('Master Tracker'!$A$6:$A$400,D43))*('Master Tracker'!$G$6:$G$400="Completed"))</f>
        <v/>
      </c>
      <c r="G43" s="122">
        <f>IF(E43=0,"⚠ UNMAPPED",IF(F43=E43,"✓ Delivered",F43&amp;" / "&amp;E43&amp;" done"))</f>
        <v/>
      </c>
    </row>
    <row r="44">
      <c r="A44" s="53" t="inlineStr">
        <is>
          <t>REQ-39</t>
        </is>
      </c>
      <c r="B44" s="53" t="inlineStr">
        <is>
          <t>Phase 4</t>
        </is>
      </c>
      <c r="C44" s="114" t="inlineStr">
        <is>
          <t>Flipbook reader</t>
        </is>
      </c>
      <c r="D44" s="114" t="inlineStr">
        <is>
          <t>P4-09</t>
        </is>
      </c>
      <c r="E44" s="122">
        <f>SUMPRODUCT(('Master Tracker'!$A$6:$A$400&lt;&gt;"")*ISNUMBER(SEARCH('Master Tracker'!$A$6:$A$400,D44)))</f>
        <v/>
      </c>
      <c r="F44" s="122">
        <f>SUMPRODUCT(('Master Tracker'!$A$6:$A$400&lt;&gt;"")*ISNUMBER(SEARCH('Master Tracker'!$A$6:$A$400,D44))*('Master Tracker'!$G$6:$G$400="Completed"))</f>
        <v/>
      </c>
      <c r="G44" s="122">
        <f>IF(E44=0,"⚠ UNMAPPED",IF(F44=E44,"✓ Delivered",F44&amp;" / "&amp;E44&amp;" done"))</f>
        <v/>
      </c>
    </row>
    <row r="45">
      <c r="A45" s="53" t="inlineStr">
        <is>
          <t>REQ-40</t>
        </is>
      </c>
      <c r="B45" s="53" t="inlineStr">
        <is>
          <t>Phase 4</t>
        </is>
      </c>
      <c r="C45" s="114" t="inlineStr">
        <is>
          <t>PDF downloads</t>
        </is>
      </c>
      <c r="D45" s="114" t="inlineStr">
        <is>
          <t>P4-10</t>
        </is>
      </c>
      <c r="E45" s="122">
        <f>SUMPRODUCT(('Master Tracker'!$A$6:$A$400&lt;&gt;"")*ISNUMBER(SEARCH('Master Tracker'!$A$6:$A$400,D45)))</f>
        <v/>
      </c>
      <c r="F45" s="122">
        <f>SUMPRODUCT(('Master Tracker'!$A$6:$A$400&lt;&gt;"")*ISNUMBER(SEARCH('Master Tracker'!$A$6:$A$400,D45))*('Master Tracker'!$G$6:$G$400="Completed"))</f>
        <v/>
      </c>
      <c r="G45" s="122">
        <f>IF(E45=0,"⚠ UNMAPPED",IF(F45=E45,"✓ Delivered",F45&amp;" / "&amp;E45&amp;" done"))</f>
        <v/>
      </c>
    </row>
    <row r="46">
      <c r="A46" s="53" t="inlineStr">
        <is>
          <t>REQ-41</t>
        </is>
      </c>
      <c r="B46" s="53" t="inlineStr">
        <is>
          <t>Phase 4</t>
        </is>
      </c>
      <c r="C46" s="114" t="inlineStr">
        <is>
          <t>Access restrictions</t>
        </is>
      </c>
      <c r="D46" s="114" t="inlineStr">
        <is>
          <t>P4-11</t>
        </is>
      </c>
      <c r="E46" s="122">
        <f>SUMPRODUCT(('Master Tracker'!$A$6:$A$400&lt;&gt;"")*ISNUMBER(SEARCH('Master Tracker'!$A$6:$A$400,D46)))</f>
        <v/>
      </c>
      <c r="F46" s="122">
        <f>SUMPRODUCT(('Master Tracker'!$A$6:$A$400&lt;&gt;"")*ISNUMBER(SEARCH('Master Tracker'!$A$6:$A$400,D46))*('Master Tracker'!$G$6:$G$400="Completed"))</f>
        <v/>
      </c>
      <c r="G46" s="122">
        <f>IF(E46=0,"⚠ UNMAPPED",IF(F46=E46,"✓ Delivered",F46&amp;" / "&amp;E46&amp;" done"))</f>
        <v/>
      </c>
    </row>
    <row r="47">
      <c r="A47" s="53" t="inlineStr">
        <is>
          <t>REQ-42</t>
        </is>
      </c>
      <c r="B47" s="53" t="inlineStr">
        <is>
          <t>Phase 5</t>
        </is>
      </c>
      <c r="C47" s="114" t="inlineStr">
        <is>
          <t>Login, registration and password reset</t>
        </is>
      </c>
      <c r="D47" s="114" t="inlineStr">
        <is>
          <t>P5-04</t>
        </is>
      </c>
      <c r="E47" s="122">
        <f>SUMPRODUCT(('Master Tracker'!$A$6:$A$400&lt;&gt;"")*ISNUMBER(SEARCH('Master Tracker'!$A$6:$A$400,D47)))</f>
        <v/>
      </c>
      <c r="F47" s="122">
        <f>SUMPRODUCT(('Master Tracker'!$A$6:$A$400&lt;&gt;"")*ISNUMBER(SEARCH('Master Tracker'!$A$6:$A$400,D47))*('Master Tracker'!$G$6:$G$400="Completed"))</f>
        <v/>
      </c>
      <c r="G47" s="122">
        <f>IF(E47=0,"⚠ UNMAPPED",IF(F47=E47,"✓ Delivered",F47&amp;" / "&amp;E47&amp;" done"))</f>
        <v/>
      </c>
    </row>
    <row r="48">
      <c r="A48" s="53" t="inlineStr">
        <is>
          <t>REQ-43</t>
        </is>
      </c>
      <c r="B48" s="53" t="inlineStr">
        <is>
          <t>Phase 5</t>
        </is>
      </c>
      <c r="C48" s="114" t="inlineStr">
        <is>
          <t>Google and Apple authentication</t>
        </is>
      </c>
      <c r="D48" s="114" t="inlineStr">
        <is>
          <t>P5-01, P5-02, P5-05, P5-06</t>
        </is>
      </c>
      <c r="E48" s="122">
        <f>SUMPRODUCT(('Master Tracker'!$A$6:$A$400&lt;&gt;"")*ISNUMBER(SEARCH('Master Tracker'!$A$6:$A$400,D48)))</f>
        <v/>
      </c>
      <c r="F48" s="122">
        <f>SUMPRODUCT(('Master Tracker'!$A$6:$A$400&lt;&gt;"")*ISNUMBER(SEARCH('Master Tracker'!$A$6:$A$400,D48))*('Master Tracker'!$G$6:$G$400="Completed"))</f>
        <v/>
      </c>
      <c r="G48" s="122">
        <f>IF(E48=0,"⚠ UNMAPPED",IF(F48=E48,"✓ Delivered",F48&amp;" / "&amp;E48&amp;" done"))</f>
        <v/>
      </c>
    </row>
    <row r="49">
      <c r="A49" s="53" t="inlineStr">
        <is>
          <t>REQ-44</t>
        </is>
      </c>
      <c r="B49" s="53" t="inlineStr">
        <is>
          <t>Phase 5</t>
        </is>
      </c>
      <c r="C49" s="114" t="inlineStr">
        <is>
          <t>Member dashboard</t>
        </is>
      </c>
      <c r="D49" s="114" t="inlineStr">
        <is>
          <t>P5-11</t>
        </is>
      </c>
      <c r="E49" s="122">
        <f>SUMPRODUCT(('Master Tracker'!$A$6:$A$400&lt;&gt;"")*ISNUMBER(SEARCH('Master Tracker'!$A$6:$A$400,D49)))</f>
        <v/>
      </c>
      <c r="F49" s="122">
        <f>SUMPRODUCT(('Master Tracker'!$A$6:$A$400&lt;&gt;"")*ISNUMBER(SEARCH('Master Tracker'!$A$6:$A$400,D49))*('Master Tracker'!$G$6:$G$400="Completed"))</f>
        <v/>
      </c>
      <c r="G49" s="122">
        <f>IF(E49=0,"⚠ UNMAPPED",IF(F49=E49,"✓ Delivered",F49&amp;" / "&amp;E49&amp;" done"))</f>
        <v/>
      </c>
    </row>
    <row r="50">
      <c r="A50" s="53" t="inlineStr">
        <is>
          <t>REQ-45</t>
        </is>
      </c>
      <c r="B50" s="53" t="inlineStr">
        <is>
          <t>Phase 5</t>
        </is>
      </c>
      <c r="C50" s="114" t="inlineStr">
        <is>
          <t>Security and rate limiting</t>
        </is>
      </c>
      <c r="D50" s="114" t="inlineStr">
        <is>
          <t>P5-12</t>
        </is>
      </c>
      <c r="E50" s="122">
        <f>SUMPRODUCT(('Master Tracker'!$A$6:$A$400&lt;&gt;"")*ISNUMBER(SEARCH('Master Tracker'!$A$6:$A$400,D50)))</f>
        <v/>
      </c>
      <c r="F50" s="122">
        <f>SUMPRODUCT(('Master Tracker'!$A$6:$A$400&lt;&gt;"")*ISNUMBER(SEARCH('Master Tracker'!$A$6:$A$400,D50))*('Master Tracker'!$G$6:$G$400="Completed"))</f>
        <v/>
      </c>
      <c r="G50" s="122">
        <f>IF(E50=0,"⚠ UNMAPPED",IF(F50=E50,"✓ Delivered",F50&amp;" / "&amp;E50&amp;" done"))</f>
        <v/>
      </c>
    </row>
    <row r="51">
      <c r="A51" s="53" t="inlineStr">
        <is>
          <t>REQ-46</t>
        </is>
      </c>
      <c r="B51" s="53" t="inlineStr">
        <is>
          <t>Phase 5</t>
        </is>
      </c>
      <c r="C51" s="114" t="inlineStr">
        <is>
          <t>Subscription tiers</t>
        </is>
      </c>
      <c r="D51" s="114" t="inlineStr">
        <is>
          <t>P5-07, P5-10</t>
        </is>
      </c>
      <c r="E51" s="122">
        <f>SUMPRODUCT(('Master Tracker'!$A$6:$A$400&lt;&gt;"")*ISNUMBER(SEARCH('Master Tracker'!$A$6:$A$400,D51)))</f>
        <v/>
      </c>
      <c r="F51" s="122">
        <f>SUMPRODUCT(('Master Tracker'!$A$6:$A$400&lt;&gt;"")*ISNUMBER(SEARCH('Master Tracker'!$A$6:$A$400,D51))*('Master Tracker'!$G$6:$G$400="Completed"))</f>
        <v/>
      </c>
      <c r="G51" s="122">
        <f>IF(E51=0,"⚠ UNMAPPED",IF(F51=E51,"✓ Delivered",F51&amp;" / "&amp;E51&amp;" done"))</f>
        <v/>
      </c>
    </row>
    <row r="52">
      <c r="A52" s="53" t="inlineStr">
        <is>
          <t>REQ-47</t>
        </is>
      </c>
      <c r="B52" s="53" t="inlineStr">
        <is>
          <t>Phase 5</t>
        </is>
      </c>
      <c r="C52" s="114" t="inlineStr">
        <is>
          <t>Payment gateway integration</t>
        </is>
      </c>
      <c r="D52" s="114" t="inlineStr">
        <is>
          <t>P5-03, P5-08</t>
        </is>
      </c>
      <c r="E52" s="122">
        <f>SUMPRODUCT(('Master Tracker'!$A$6:$A$400&lt;&gt;"")*ISNUMBER(SEARCH('Master Tracker'!$A$6:$A$400,D52)))</f>
        <v/>
      </c>
      <c r="F52" s="122">
        <f>SUMPRODUCT(('Master Tracker'!$A$6:$A$400&lt;&gt;"")*ISNUMBER(SEARCH('Master Tracker'!$A$6:$A$400,D52))*('Master Tracker'!$G$6:$G$400="Completed"))</f>
        <v/>
      </c>
      <c r="G52" s="122">
        <f>IF(E52=0,"⚠ UNMAPPED",IF(F52=E52,"✓ Delivered",F52&amp;" / "&amp;E52&amp;" done"))</f>
        <v/>
      </c>
    </row>
    <row r="53">
      <c r="A53" s="53" t="inlineStr">
        <is>
          <t>REQ-48</t>
        </is>
      </c>
      <c r="B53" s="53" t="inlineStr">
        <is>
          <t>Phase 5</t>
        </is>
      </c>
      <c r="C53" s="114" t="inlineStr">
        <is>
          <t>Payment webhooks</t>
        </is>
      </c>
      <c r="D53" s="114" t="inlineStr">
        <is>
          <t>P5-09</t>
        </is>
      </c>
      <c r="E53" s="122">
        <f>SUMPRODUCT(('Master Tracker'!$A$6:$A$400&lt;&gt;"")*ISNUMBER(SEARCH('Master Tracker'!$A$6:$A$400,D53)))</f>
        <v/>
      </c>
      <c r="F53" s="122">
        <f>SUMPRODUCT(('Master Tracker'!$A$6:$A$400&lt;&gt;"")*ISNUMBER(SEARCH('Master Tracker'!$A$6:$A$400,D53))*('Master Tracker'!$G$6:$G$400="Completed"))</f>
        <v/>
      </c>
      <c r="G53" s="122">
        <f>IF(E53=0,"⚠ UNMAPPED",IF(F53=E53,"✓ Delivered",F53&amp;" / "&amp;E53&amp;" done"))</f>
        <v/>
      </c>
    </row>
    <row r="54">
      <c r="A54" s="53" t="inlineStr">
        <is>
          <t>REQ-49</t>
        </is>
      </c>
      <c r="B54" s="53" t="inlineStr">
        <is>
          <t>Phase 5</t>
        </is>
      </c>
      <c r="C54" s="114" t="inlineStr">
        <is>
          <t>Advertising page</t>
        </is>
      </c>
      <c r="D54" s="114" t="inlineStr">
        <is>
          <t>P5-14</t>
        </is>
      </c>
      <c r="E54" s="122">
        <f>SUMPRODUCT(('Master Tracker'!$A$6:$A$400&lt;&gt;"")*ISNUMBER(SEARCH('Master Tracker'!$A$6:$A$400,D54)))</f>
        <v/>
      </c>
      <c r="F54" s="122">
        <f>SUMPRODUCT(('Master Tracker'!$A$6:$A$400&lt;&gt;"")*ISNUMBER(SEARCH('Master Tracker'!$A$6:$A$400,D54))*('Master Tracker'!$G$6:$G$400="Completed"))</f>
        <v/>
      </c>
      <c r="G54" s="122">
        <f>IF(E54=0,"⚠ UNMAPPED",IF(F54=E54,"✓ Delivered",F54&amp;" / "&amp;E54&amp;" done"))</f>
        <v/>
      </c>
    </row>
    <row r="55">
      <c r="A55" s="53" t="inlineStr">
        <is>
          <t>REQ-50</t>
        </is>
      </c>
      <c r="B55" s="53" t="inlineStr">
        <is>
          <t>Phase 5</t>
        </is>
      </c>
      <c r="C55" s="114" t="inlineStr">
        <is>
          <t>Advertising rate calculator</t>
        </is>
      </c>
      <c r="D55" s="114" t="inlineStr">
        <is>
          <t>P5-15</t>
        </is>
      </c>
      <c r="E55" s="122">
        <f>SUMPRODUCT(('Master Tracker'!$A$6:$A$400&lt;&gt;"")*ISNUMBER(SEARCH('Master Tracker'!$A$6:$A$400,D55)))</f>
        <v/>
      </c>
      <c r="F55" s="122">
        <f>SUMPRODUCT(('Master Tracker'!$A$6:$A$400&lt;&gt;"")*ISNUMBER(SEARCH('Master Tracker'!$A$6:$A$400,D55))*('Master Tracker'!$G$6:$G$400="Completed"))</f>
        <v/>
      </c>
      <c r="G55" s="122">
        <f>IF(E55=0,"⚠ UNMAPPED",IF(F55=E55,"✓ Delivered",F55&amp;" / "&amp;E55&amp;" done"))</f>
        <v/>
      </c>
    </row>
    <row r="56">
      <c r="A56" s="53" t="inlineStr">
        <is>
          <t>REQ-51</t>
        </is>
      </c>
      <c r="B56" s="53" t="inlineStr">
        <is>
          <t>Phase 5</t>
        </is>
      </c>
      <c r="C56" s="114" t="inlineStr">
        <is>
          <t>Media kit</t>
        </is>
      </c>
      <c r="D56" s="114" t="inlineStr">
        <is>
          <t>P5-16</t>
        </is>
      </c>
      <c r="E56" s="122">
        <f>SUMPRODUCT(('Master Tracker'!$A$6:$A$400&lt;&gt;"")*ISNUMBER(SEARCH('Master Tracker'!$A$6:$A$400,D56)))</f>
        <v/>
      </c>
      <c r="F56" s="122">
        <f>SUMPRODUCT(('Master Tracker'!$A$6:$A$400&lt;&gt;"")*ISNUMBER(SEARCH('Master Tracker'!$A$6:$A$400,D56))*('Master Tracker'!$G$6:$G$400="Completed"))</f>
        <v/>
      </c>
      <c r="G56" s="122">
        <f>IF(E56=0,"⚠ UNMAPPED",IF(F56=E56,"✓ Delivered",F56&amp;" / "&amp;E56&amp;" done"))</f>
        <v/>
      </c>
    </row>
    <row r="57">
      <c r="A57" s="53" t="inlineStr">
        <is>
          <t>REQ-52</t>
        </is>
      </c>
      <c r="B57" s="53" t="inlineStr">
        <is>
          <t>Phase 5</t>
        </is>
      </c>
      <c r="C57" s="114" t="inlineStr">
        <is>
          <t>Lead capture forms</t>
        </is>
      </c>
      <c r="D57" s="114" t="inlineStr">
        <is>
          <t>P5-17</t>
        </is>
      </c>
      <c r="E57" s="122">
        <f>SUMPRODUCT(('Master Tracker'!$A$6:$A$400&lt;&gt;"")*ISNUMBER(SEARCH('Master Tracker'!$A$6:$A$400,D57)))</f>
        <v/>
      </c>
      <c r="F57" s="122">
        <f>SUMPRODUCT(('Master Tracker'!$A$6:$A$400&lt;&gt;"")*ISNUMBER(SEARCH('Master Tracker'!$A$6:$A$400,D57))*('Master Tracker'!$G$6:$G$400="Completed"))</f>
        <v/>
      </c>
      <c r="G57" s="122">
        <f>IF(E57=0,"⚠ UNMAPPED",IF(F57=E57,"✓ Delivered",F57&amp;" / "&amp;E57&amp;" done"))</f>
        <v/>
      </c>
    </row>
    <row r="58">
      <c r="A58" s="53" t="inlineStr">
        <is>
          <t>REQ-53</t>
        </is>
      </c>
      <c r="B58" s="53" t="inlineStr">
        <is>
          <t>Phase 5</t>
        </is>
      </c>
      <c r="C58" s="114" t="inlineStr">
        <is>
          <t>About page</t>
        </is>
      </c>
      <c r="D58" s="114" t="inlineStr">
        <is>
          <t>P5-18</t>
        </is>
      </c>
      <c r="E58" s="122">
        <f>SUMPRODUCT(('Master Tracker'!$A$6:$A$400&lt;&gt;"")*ISNUMBER(SEARCH('Master Tracker'!$A$6:$A$400,D58)))</f>
        <v/>
      </c>
      <c r="F58" s="122">
        <f>SUMPRODUCT(('Master Tracker'!$A$6:$A$400&lt;&gt;"")*ISNUMBER(SEARCH('Master Tracker'!$A$6:$A$400,D58))*('Master Tracker'!$G$6:$G$400="Completed"))</f>
        <v/>
      </c>
      <c r="G58" s="122">
        <f>IF(E58=0,"⚠ UNMAPPED",IF(F58=E58,"✓ Delivered",F58&amp;" / "&amp;E58&amp;" done"))</f>
        <v/>
      </c>
    </row>
    <row r="59">
      <c r="A59" s="53" t="inlineStr">
        <is>
          <t>REQ-54</t>
        </is>
      </c>
      <c r="B59" s="53" t="inlineStr">
        <is>
          <t>Phase 5</t>
        </is>
      </c>
      <c r="C59" s="114" t="inlineStr">
        <is>
          <t>Contact page</t>
        </is>
      </c>
      <c r="D59" s="114" t="inlineStr">
        <is>
          <t>P5-19, P5-13</t>
        </is>
      </c>
      <c r="E59" s="122">
        <f>SUMPRODUCT(('Master Tracker'!$A$6:$A$400&lt;&gt;"")*ISNUMBER(SEARCH('Master Tracker'!$A$6:$A$400,D59)))</f>
        <v/>
      </c>
      <c r="F59" s="122">
        <f>SUMPRODUCT(('Master Tracker'!$A$6:$A$400&lt;&gt;"")*ISNUMBER(SEARCH('Master Tracker'!$A$6:$A$400,D59))*('Master Tracker'!$G$6:$G$400="Completed"))</f>
        <v/>
      </c>
      <c r="G59" s="122">
        <f>IF(E59=0,"⚠ UNMAPPED",IF(F59=E59,"✓ Delivered",F59&amp;" / "&amp;E59&amp;" done"))</f>
        <v/>
      </c>
    </row>
    <row r="60">
      <c r="A60" s="53" t="inlineStr">
        <is>
          <t>REQ-55</t>
        </is>
      </c>
      <c r="B60" s="53" t="inlineStr">
        <is>
          <t>Phase 5</t>
        </is>
      </c>
      <c r="C60" s="114" t="inlineStr">
        <is>
          <t>Editorial roles and permissions</t>
        </is>
      </c>
      <c r="D60" s="114" t="inlineStr">
        <is>
          <t>P5-20</t>
        </is>
      </c>
      <c r="E60" s="122">
        <f>SUMPRODUCT(('Master Tracker'!$A$6:$A$400&lt;&gt;"")*ISNUMBER(SEARCH('Master Tracker'!$A$6:$A$400,D60)))</f>
        <v/>
      </c>
      <c r="F60" s="122">
        <f>SUMPRODUCT(('Master Tracker'!$A$6:$A$400&lt;&gt;"")*ISNUMBER(SEARCH('Master Tracker'!$A$6:$A$400,D60))*('Master Tracker'!$G$6:$G$400="Completed"))</f>
        <v/>
      </c>
      <c r="G60" s="122">
        <f>IF(E60=0,"⚠ UNMAPPED",IF(F60=E60,"✓ Delivered",F60&amp;" / "&amp;E60&amp;" done"))</f>
        <v/>
      </c>
    </row>
    <row r="61">
      <c r="A61" s="53" t="inlineStr">
        <is>
          <t>REQ-56</t>
        </is>
      </c>
      <c r="B61" s="53" t="inlineStr">
        <is>
          <t>Phase 6</t>
        </is>
      </c>
      <c r="C61" s="114" t="inlineStr">
        <is>
          <t>Database backup and audit</t>
        </is>
      </c>
      <c r="D61" s="114" t="inlineStr">
        <is>
          <t>P6-01, P6-03, P6-20</t>
        </is>
      </c>
      <c r="E61" s="122">
        <f>SUMPRODUCT(('Master Tracker'!$A$6:$A$400&lt;&gt;"")*ISNUMBER(SEARCH('Master Tracker'!$A$6:$A$400,D61)))</f>
        <v/>
      </c>
      <c r="F61" s="122">
        <f>SUMPRODUCT(('Master Tracker'!$A$6:$A$400&lt;&gt;"")*ISNUMBER(SEARCH('Master Tracker'!$A$6:$A$400,D61))*('Master Tracker'!$G$6:$G$400="Completed"))</f>
        <v/>
      </c>
      <c r="G61" s="122">
        <f>IF(E61=0,"⚠ UNMAPPED",IF(F61=E61,"✓ Delivered",F61&amp;" / "&amp;E61&amp;" done"))</f>
        <v/>
      </c>
    </row>
    <row r="62">
      <c r="A62" s="53" t="inlineStr">
        <is>
          <t>REQ-57</t>
        </is>
      </c>
      <c r="B62" s="53" t="inlineStr">
        <is>
          <t>Phase 6</t>
        </is>
      </c>
      <c r="C62" s="114" t="inlineStr">
        <is>
          <t>Legacy JNews dependency review</t>
        </is>
      </c>
      <c r="D62" s="114" t="inlineStr">
        <is>
          <t>P6-04</t>
        </is>
      </c>
      <c r="E62" s="122">
        <f>SUMPRODUCT(('Master Tracker'!$A$6:$A$400&lt;&gt;"")*ISNUMBER(SEARCH('Master Tracker'!$A$6:$A$400,D62)))</f>
        <v/>
      </c>
      <c r="F62" s="122">
        <f>SUMPRODUCT(('Master Tracker'!$A$6:$A$400&lt;&gt;"")*ISNUMBER(SEARCH('Master Tracker'!$A$6:$A$400,D62))*('Master Tracker'!$G$6:$G$400="Completed"))</f>
        <v/>
      </c>
      <c r="G62" s="122">
        <f>IF(E62=0,"⚠ UNMAPPED",IF(F62=E62,"✓ Delivered",F62&amp;" / "&amp;E62&amp;" done"))</f>
        <v/>
      </c>
    </row>
    <row r="63">
      <c r="A63" s="53" t="inlineStr">
        <is>
          <t>REQ-58</t>
        </is>
      </c>
      <c r="B63" s="53" t="inlineStr">
        <is>
          <t>Phase 6</t>
        </is>
      </c>
      <c r="C63" s="114" t="inlineStr">
        <is>
          <t>Safe database optimization</t>
        </is>
      </c>
      <c r="D63" s="114" t="inlineStr">
        <is>
          <t>P6-07</t>
        </is>
      </c>
      <c r="E63" s="122">
        <f>SUMPRODUCT(('Master Tracker'!$A$6:$A$400&lt;&gt;"")*ISNUMBER(SEARCH('Master Tracker'!$A$6:$A$400,D63)))</f>
        <v/>
      </c>
      <c r="F63" s="122">
        <f>SUMPRODUCT(('Master Tracker'!$A$6:$A$400&lt;&gt;"")*ISNUMBER(SEARCH('Master Tracker'!$A$6:$A$400,D63))*('Master Tracker'!$G$6:$G$400="Completed"))</f>
        <v/>
      </c>
      <c r="G63" s="122">
        <f>IF(E63=0,"⚠ UNMAPPED",IF(F63=E63,"✓ Delivered",F63&amp;" / "&amp;E63&amp;" done"))</f>
        <v/>
      </c>
    </row>
    <row r="64">
      <c r="A64" s="53" t="inlineStr">
        <is>
          <t>REQ-59</t>
        </is>
      </c>
      <c r="B64" s="53" t="inlineStr">
        <is>
          <t>Phase 6</t>
        </is>
      </c>
      <c r="C64" s="114" t="inlineStr">
        <is>
          <t>SEO preservation</t>
        </is>
      </c>
      <c r="D64" s="114" t="inlineStr">
        <is>
          <t>P6-06, P6-09, P6-10</t>
        </is>
      </c>
      <c r="E64" s="122">
        <f>SUMPRODUCT(('Master Tracker'!$A$6:$A$400&lt;&gt;"")*ISNUMBER(SEARCH('Master Tracker'!$A$6:$A$400,D64)))</f>
        <v/>
      </c>
      <c r="F64" s="122">
        <f>SUMPRODUCT(('Master Tracker'!$A$6:$A$400&lt;&gt;"")*ISNUMBER(SEARCH('Master Tracker'!$A$6:$A$400,D64))*('Master Tracker'!$G$6:$G$400="Completed"))</f>
        <v/>
      </c>
      <c r="G64" s="122">
        <f>IF(E64=0,"⚠ UNMAPPED",IF(F64=E64,"✓ Delivered",F64&amp;" / "&amp;E64&amp;" done"))</f>
        <v/>
      </c>
    </row>
    <row r="65">
      <c r="A65" s="53" t="inlineStr">
        <is>
          <t>REQ-60</t>
        </is>
      </c>
      <c r="B65" s="53" t="inlineStr">
        <is>
          <t>Phase 6</t>
        </is>
      </c>
      <c r="C65" s="114" t="inlineStr">
        <is>
          <t>Validation of all 2,645 article URLs</t>
        </is>
      </c>
      <c r="D65" s="114" t="inlineStr">
        <is>
          <t>P6-05, P6-08</t>
        </is>
      </c>
      <c r="E65" s="122">
        <f>SUMPRODUCT(('Master Tracker'!$A$6:$A$400&lt;&gt;"")*ISNUMBER(SEARCH('Master Tracker'!$A$6:$A$400,D65)))</f>
        <v/>
      </c>
      <c r="F65" s="122">
        <f>SUMPRODUCT(('Master Tracker'!$A$6:$A$400&lt;&gt;"")*ISNUMBER(SEARCH('Master Tracker'!$A$6:$A$400,D65))*('Master Tracker'!$G$6:$G$400="Completed"))</f>
        <v/>
      </c>
      <c r="G65" s="122">
        <f>IF(E65=0,"⚠ UNMAPPED",IF(F65=E65,"✓ Delivered",F65&amp;" / "&amp;E65&amp;" done"))</f>
        <v/>
      </c>
    </row>
    <row r="66">
      <c r="A66" s="53" t="inlineStr">
        <is>
          <t>REQ-61</t>
        </is>
      </c>
      <c r="B66" s="53" t="inlineStr">
        <is>
          <t>Phase 6</t>
        </is>
      </c>
      <c r="C66" s="114" t="inlineStr">
        <is>
          <t>Performance optimization</t>
        </is>
      </c>
      <c r="D66" s="114" t="inlineStr">
        <is>
          <t>P6-11</t>
        </is>
      </c>
      <c r="E66" s="122">
        <f>SUMPRODUCT(('Master Tracker'!$A$6:$A$400&lt;&gt;"")*ISNUMBER(SEARCH('Master Tracker'!$A$6:$A$400,D66)))</f>
        <v/>
      </c>
      <c r="F66" s="122">
        <f>SUMPRODUCT(('Master Tracker'!$A$6:$A$400&lt;&gt;"")*ISNUMBER(SEARCH('Master Tracker'!$A$6:$A$400,D66))*('Master Tracker'!$G$6:$G$400="Completed"))</f>
        <v/>
      </c>
      <c r="G66" s="122">
        <f>IF(E66=0,"⚠ UNMAPPED",IF(F66=E66,"✓ Delivered",F66&amp;" / "&amp;E66&amp;" done"))</f>
        <v/>
      </c>
    </row>
    <row r="67">
      <c r="A67" s="53" t="inlineStr">
        <is>
          <t>REQ-62</t>
        </is>
      </c>
      <c r="B67" s="53" t="inlineStr">
        <is>
          <t>Phase 6</t>
        </is>
      </c>
      <c r="C67" s="114" t="inlineStr">
        <is>
          <t>LiteSpeed caching</t>
        </is>
      </c>
      <c r="D67" s="114" t="inlineStr">
        <is>
          <t>P6-12</t>
        </is>
      </c>
      <c r="E67" s="122">
        <f>SUMPRODUCT(('Master Tracker'!$A$6:$A$400&lt;&gt;"")*ISNUMBER(SEARCH('Master Tracker'!$A$6:$A$400,D67)))</f>
        <v/>
      </c>
      <c r="F67" s="122">
        <f>SUMPRODUCT(('Master Tracker'!$A$6:$A$400&lt;&gt;"")*ISNUMBER(SEARCH('Master Tracker'!$A$6:$A$400,D67))*('Master Tracker'!$G$6:$G$400="Completed"))</f>
        <v/>
      </c>
      <c r="G67" s="122">
        <f>IF(E67=0,"⚠ UNMAPPED",IF(F67=E67,"✓ Delivered",F67&amp;" / "&amp;E67&amp;" done"))</f>
        <v/>
      </c>
    </row>
    <row r="68">
      <c r="A68" s="53" t="inlineStr">
        <is>
          <t>REQ-63</t>
        </is>
      </c>
      <c r="B68" s="53" t="inlineStr">
        <is>
          <t>Phase 6</t>
        </is>
      </c>
      <c r="C68" s="114" t="inlineStr">
        <is>
          <t>Responsive and cross-browser testing</t>
        </is>
      </c>
      <c r="D68" s="114" t="inlineStr">
        <is>
          <t>P6-13, P6-14, P6-16</t>
        </is>
      </c>
      <c r="E68" s="122">
        <f>SUMPRODUCT(('Master Tracker'!$A$6:$A$400&lt;&gt;"")*ISNUMBER(SEARCH('Master Tracker'!$A$6:$A$400,D68)))</f>
        <v/>
      </c>
      <c r="F68" s="122">
        <f>SUMPRODUCT(('Master Tracker'!$A$6:$A$400&lt;&gt;"")*ISNUMBER(SEARCH('Master Tracker'!$A$6:$A$400,D68))*('Master Tracker'!$G$6:$G$400="Completed"))</f>
        <v/>
      </c>
      <c r="G68" s="122">
        <f>IF(E68=0,"⚠ UNMAPPED",IF(F68=E68,"✓ Delivered",F68&amp;" / "&amp;E68&amp;" done"))</f>
        <v/>
      </c>
    </row>
    <row r="69">
      <c r="A69" s="53" t="inlineStr">
        <is>
          <t>REQ-64</t>
        </is>
      </c>
      <c r="B69" s="53" t="inlineStr">
        <is>
          <t>Phase 6</t>
        </is>
      </c>
      <c r="C69" s="114" t="inlineStr">
        <is>
          <t>Security verification</t>
        </is>
      </c>
      <c r="D69" s="114" t="inlineStr">
        <is>
          <t>P6-15</t>
        </is>
      </c>
      <c r="E69" s="122">
        <f>SUMPRODUCT(('Master Tracker'!$A$6:$A$400&lt;&gt;"")*ISNUMBER(SEARCH('Master Tracker'!$A$6:$A$400,D69)))</f>
        <v/>
      </c>
      <c r="F69" s="122">
        <f>SUMPRODUCT(('Master Tracker'!$A$6:$A$400&lt;&gt;"")*ISNUMBER(SEARCH('Master Tracker'!$A$6:$A$400,D69))*('Master Tracker'!$G$6:$G$400="Completed"))</f>
        <v/>
      </c>
      <c r="G69" s="122">
        <f>IF(E69=0,"⚠ UNMAPPED",IF(F69=E69,"✓ Delivered",F69&amp;" / "&amp;E69&amp;" done"))</f>
        <v/>
      </c>
    </row>
    <row r="70">
      <c r="A70" s="53" t="inlineStr">
        <is>
          <t>REQ-65</t>
        </is>
      </c>
      <c r="B70" s="53" t="inlineStr">
        <is>
          <t>Phase 6</t>
        </is>
      </c>
      <c r="C70" s="114" t="inlineStr">
        <is>
          <t>Deployment readiness</t>
        </is>
      </c>
      <c r="D70" s="114" t="inlineStr">
        <is>
          <t>P6-02, P6-17, P6-18</t>
        </is>
      </c>
      <c r="E70" s="122">
        <f>SUMPRODUCT(('Master Tracker'!$A$6:$A$400&lt;&gt;"")*ISNUMBER(SEARCH('Master Tracker'!$A$6:$A$400,D70)))</f>
        <v/>
      </c>
      <c r="F70" s="122">
        <f>SUMPRODUCT(('Master Tracker'!$A$6:$A$400&lt;&gt;"")*ISNUMBER(SEARCH('Master Tracker'!$A$6:$A$400,D70))*('Master Tracker'!$G$6:$G$400="Completed"))</f>
        <v/>
      </c>
      <c r="G70" s="122">
        <f>IF(E70=0,"⚠ UNMAPPED",IF(F70=E70,"✓ Delivered",F70&amp;" / "&amp;E70&amp;" done"))</f>
        <v/>
      </c>
    </row>
    <row r="71">
      <c r="A71" s="53" t="inlineStr">
        <is>
          <t>REQ-66</t>
        </is>
      </c>
      <c r="B71" s="53" t="inlineStr">
        <is>
          <t>Phase 6</t>
        </is>
      </c>
      <c r="C71" s="114" t="inlineStr">
        <is>
          <t>Rollback plan</t>
        </is>
      </c>
      <c r="D71" s="114" t="inlineStr">
        <is>
          <t>P6-19</t>
        </is>
      </c>
      <c r="E71" s="122">
        <f>SUMPRODUCT(('Master Tracker'!$A$6:$A$400&lt;&gt;"")*ISNUMBER(SEARCH('Master Tracker'!$A$6:$A$400,D71)))</f>
        <v/>
      </c>
      <c r="F71" s="122">
        <f>SUMPRODUCT(('Master Tracker'!$A$6:$A$400&lt;&gt;"")*ISNUMBER(SEARCH('Master Tracker'!$A$6:$A$400,D71))*('Master Tracker'!$G$6:$G$400="Completed"))</f>
        <v/>
      </c>
      <c r="G71" s="122">
        <f>IF(E71=0,"⚠ UNMAPPED",IF(F71=E71,"✓ Delivered",F71&amp;" / "&amp;E71&amp;" done"))</f>
        <v/>
      </c>
    </row>
    <row r="72">
      <c r="A72" s="53" t="inlineStr">
        <is>
          <t>REQ-67</t>
        </is>
      </c>
      <c r="B72" s="53" t="inlineStr">
        <is>
          <t>Phase 6</t>
        </is>
      </c>
      <c r="C72" s="114" t="inlineStr">
        <is>
          <t>Production cutover and post-launch verification</t>
        </is>
      </c>
      <c r="D72" s="114" t="inlineStr">
        <is>
          <t>P6-21, P6-22</t>
        </is>
      </c>
      <c r="E72" s="122">
        <f>SUMPRODUCT(('Master Tracker'!$A$6:$A$400&lt;&gt;"")*ISNUMBER(SEARCH('Master Tracker'!$A$6:$A$400,D72)))</f>
        <v/>
      </c>
      <c r="F72" s="122">
        <f>SUMPRODUCT(('Master Tracker'!$A$6:$A$400&lt;&gt;"")*ISNUMBER(SEARCH('Master Tracker'!$A$6:$A$400,D72))*('Master Tracker'!$G$6:$G$400="Completed"))</f>
        <v/>
      </c>
      <c r="G72" s="122">
        <f>IF(E72=0,"⚠ UNMAPPED",IF(F72=E72,"✓ Delivered",F72&amp;" / "&amp;E72&amp;" done"))</f>
        <v/>
      </c>
    </row>
  </sheetData>
  <mergeCells count="2">
    <mergeCell ref="A2:G2"/>
    <mergeCell ref="A1:G1"/>
  </mergeCells>
  <conditionalFormatting sqref="G6:G72">
    <cfRule type="expression" priority="1" dxfId="4">
      <formula>LEFT($G6,1)="✓"</formula>
    </cfRule>
    <cfRule type="expression" priority="2" dxfId="16">
      <formula>LEFT($G6,1)="⚠"</formula>
    </cfRule>
  </conditionalFormatting>
  <hyperlinks>
    <hyperlink xmlns:r="http://schemas.openxmlformats.org/officeDocument/2006/relationships" ref="A3" r:id="rId1"/>
  </hyperlinks>
  <pageMargins left="0.75" right="0.75" top="1" bottom="1" header="0.5" footer="0.5"/>
  <pageSetup orientation="landscape" fitToHeight="0" fitToWidth="1"/>
  <tableParts count="1">
    <tablePart xmlns:r="http://schemas.openxmlformats.org/officeDocument/2006/relationships" r:id="rId2"/>
  </tableParts>
</worksheet>
</file>

<file path=xl/worksheets/sheet13.xml><?xml version="1.0" encoding="utf-8"?>
<worksheet xmlns="http://schemas.openxmlformats.org/spreadsheetml/2006/main">
  <sheetPr>
    <tabColor rgb="0064748B"/>
    <outlinePr summaryBelow="1" summaryRight="1"/>
    <pageSetUpPr fitToPage="1"/>
  </sheetPr>
  <dimension ref="A1:AA72"/>
  <sheetViews>
    <sheetView zoomScale="90" workbookViewId="0">
      <selection activeCell="A1" sqref="A1"/>
    </sheetView>
  </sheetViews>
  <sheetFormatPr baseColWidth="8" defaultRowHeight="15"/>
  <sheetData>
    <row r="1">
      <c r="A1" s="123" t="inlineStr">
        <is>
          <t>Status</t>
        </is>
      </c>
      <c r="B1" s="123" t="inlineStr">
        <is>
          <t>Priority</t>
        </is>
      </c>
      <c r="C1" s="123" t="inlineStr">
        <is>
          <t>Environment</t>
        </is>
      </c>
      <c r="D1" s="123" t="inlineStr">
        <is>
          <t>Phase</t>
        </is>
      </c>
      <c r="E1" s="123" t="inlineStr">
        <is>
          <t>ExtReq</t>
        </is>
      </c>
      <c r="F1" s="123" t="inlineStr">
        <is>
          <t>TestResult</t>
        </is>
      </c>
      <c r="G1" s="123" t="inlineStr">
        <is>
          <t>QAResult</t>
        </is>
      </c>
      <c r="H1" s="123" t="inlineStr">
        <is>
          <t>DeployStatus</t>
        </is>
      </c>
      <c r="I1" s="123" t="inlineStr">
        <is>
          <t>Severity</t>
        </is>
      </c>
      <c r="J1" s="123" t="inlineStr">
        <is>
          <t>RiskStatus</t>
        </is>
      </c>
      <c r="K1" s="123" t="inlineStr">
        <is>
          <t>Likelihood</t>
        </is>
      </c>
      <c r="M1" t="inlineStr">
        <is>
          <t>ProjectStart</t>
        </is>
      </c>
      <c r="O1" s="123" t="inlineStr">
        <is>
          <t>Completion</t>
        </is>
      </c>
      <c r="P1" s="123" t="inlineStr">
        <is>
          <t>Module</t>
        </is>
      </c>
      <c r="Q1" s="123" t="inlineStr">
        <is>
          <t>Blocker</t>
        </is>
      </c>
      <c r="R1" s="123" t="inlineStr">
        <is>
          <t>TaskNotes</t>
        </is>
      </c>
      <c r="S1" s="123" t="inlineStr">
        <is>
          <t>Dates</t>
        </is>
      </c>
      <c r="T1" s="123" t="inlineStr">
        <is>
          <t>Owner</t>
        </is>
      </c>
      <c r="U1" s="123" t="inlineStr">
        <is>
          <t>RiskPhase</t>
        </is>
      </c>
      <c r="V1" s="123" t="inlineStr">
        <is>
          <t>Device</t>
        </is>
      </c>
      <c r="W1" s="123" t="inlineStr">
        <is>
          <t>QANotes</t>
        </is>
      </c>
      <c r="X1" s="123" t="inlineStr">
        <is>
          <t>DeployNotes</t>
        </is>
      </c>
      <c r="Y1" s="123" t="inlineStr">
        <is>
          <t>Resolution</t>
        </is>
      </c>
      <c r="Z1" s="123" t="inlineStr">
        <is>
          <t>Stage</t>
        </is>
      </c>
      <c r="AA1" s="123" t="inlineStr">
        <is>
          <t>Area</t>
        </is>
      </c>
    </row>
    <row r="2">
      <c r="A2" t="inlineStr">
        <is>
          <t>Not Started</t>
        </is>
      </c>
      <c r="B2" t="inlineStr">
        <is>
          <t>P0</t>
        </is>
      </c>
      <c r="C2" t="inlineStr">
        <is>
          <t>Staging (Hostinger)</t>
        </is>
      </c>
      <c r="D2" t="inlineStr">
        <is>
          <t>Phase 1</t>
        </is>
      </c>
      <c r="E2" t="inlineStr">
        <is>
          <t>None</t>
        </is>
      </c>
      <c r="F2" t="inlineStr">
        <is>
          <t>Not Tested</t>
        </is>
      </c>
      <c r="G2" t="inlineStr">
        <is>
          <t>Not Run</t>
        </is>
      </c>
      <c r="H2" t="inlineStr">
        <is>
          <t>Not Started</t>
        </is>
      </c>
      <c r="I2" t="inlineStr">
        <is>
          <t>Critical</t>
        </is>
      </c>
      <c r="J2" t="inlineStr">
        <is>
          <t>Open</t>
        </is>
      </c>
      <c r="K2" t="inlineStr">
        <is>
          <t>Very Likely</t>
        </is>
      </c>
      <c r="M2" s="124" t="n">
        <v>46307</v>
      </c>
      <c r="O2" s="125" t="n">
        <v>0</v>
      </c>
      <c r="P2" t="inlineStr">
        <is>
          <t>Staging Setup</t>
        </is>
      </c>
      <c r="Q2" t="inlineStr">
        <is>
          <t>None</t>
        </is>
      </c>
      <c r="R2" t="inlineStr">
        <is>
          <t>Needs client review</t>
        </is>
      </c>
      <c r="S2" s="124" t="n">
        <v>46296</v>
      </c>
      <c r="T2" t="inlineStr">
        <is>
          <t>Developer</t>
        </is>
      </c>
      <c r="U2" t="inlineStr">
        <is>
          <t>All</t>
        </is>
      </c>
      <c r="V2" t="inlineStr">
        <is>
          <t>Desktop Chrome</t>
        </is>
      </c>
      <c r="W2" t="inlineStr">
        <is>
          <t>No defect</t>
        </is>
      </c>
      <c r="X2" t="inlineStr">
        <is>
          <t>OK</t>
        </is>
      </c>
      <c r="Y2" t="inlineStr">
        <is>
          <t>Mitigation in place</t>
        </is>
      </c>
      <c r="Z2" t="inlineStr">
        <is>
          <t>1. Staging Verification</t>
        </is>
      </c>
      <c r="AA2" t="inlineStr">
        <is>
          <t>Template 1: Homepage</t>
        </is>
      </c>
    </row>
    <row r="3">
      <c r="A3" t="inlineStr">
        <is>
          <t>In Progress</t>
        </is>
      </c>
      <c r="B3" t="inlineStr">
        <is>
          <t>P1</t>
        </is>
      </c>
      <c r="C3" t="inlineStr">
        <is>
          <t>Production</t>
        </is>
      </c>
      <c r="D3" t="inlineStr">
        <is>
          <t>Phase 2</t>
        </is>
      </c>
      <c r="E3" t="inlineStr">
        <is>
          <t>Credentials</t>
        </is>
      </c>
      <c r="F3" t="inlineStr">
        <is>
          <t>Pass</t>
        </is>
      </c>
      <c r="G3" t="inlineStr">
        <is>
          <t>Pass</t>
        </is>
      </c>
      <c r="H3" t="inlineStr">
        <is>
          <t>In Progress</t>
        </is>
      </c>
      <c r="I3" t="inlineStr">
        <is>
          <t>High</t>
        </is>
      </c>
      <c r="J3" t="inlineStr">
        <is>
          <t>Monitoring</t>
        </is>
      </c>
      <c r="K3" t="inlineStr">
        <is>
          <t>Likely</t>
        </is>
      </c>
      <c r="O3" s="125" t="n">
        <v>0.1</v>
      </c>
      <c r="P3" t="inlineStr">
        <is>
          <t>Theme Scaffold</t>
        </is>
      </c>
      <c r="Q3" t="inlineStr">
        <is>
          <t>Waiting on credentials</t>
        </is>
      </c>
      <c r="R3" t="inlineStr">
        <is>
          <t>Waiting for feedback</t>
        </is>
      </c>
      <c r="S3" s="124" t="n">
        <v>46297</v>
      </c>
      <c r="T3" t="inlineStr">
        <is>
          <t>Client (O2 Nations)</t>
        </is>
      </c>
      <c r="U3" t="inlineStr">
        <is>
          <t>P1</t>
        </is>
      </c>
      <c r="V3" t="inlineStr">
        <is>
          <t>Desktop + Mobile</t>
        </is>
      </c>
      <c r="W3" t="inlineStr">
        <is>
          <t>Minor visual issue – logged</t>
        </is>
      </c>
      <c r="X3" t="inlineStr">
        <is>
          <t>OK – with minor issue</t>
        </is>
      </c>
      <c r="Y3" t="inlineStr">
        <is>
          <t>Client approved deferral</t>
        </is>
      </c>
      <c r="Z3" t="inlineStr">
        <is>
          <t>2. Full Backup</t>
        </is>
      </c>
      <c r="AA3" t="inlineStr">
        <is>
          <t>Template 2: Single Article</t>
        </is>
      </c>
    </row>
    <row r="4">
      <c r="A4" t="inlineStr">
        <is>
          <t>Blocked</t>
        </is>
      </c>
      <c r="B4" t="inlineStr">
        <is>
          <t>P2</t>
        </is>
      </c>
      <c r="C4" t="inlineStr">
        <is>
          <t>Staging + Production</t>
        </is>
      </c>
      <c r="D4" t="inlineStr">
        <is>
          <t>Phase 3</t>
        </is>
      </c>
      <c r="E4" t="inlineStr">
        <is>
          <t>Payment Approval</t>
        </is>
      </c>
      <c r="F4" t="inlineStr">
        <is>
          <t>Fail</t>
        </is>
      </c>
      <c r="G4" t="inlineStr">
        <is>
          <t>Fail</t>
        </is>
      </c>
      <c r="H4" t="inlineStr">
        <is>
          <t>Done</t>
        </is>
      </c>
      <c r="I4" t="inlineStr">
        <is>
          <t>Medium</t>
        </is>
      </c>
      <c r="J4" t="inlineStr">
        <is>
          <t>Mitigated</t>
        </is>
      </c>
      <c r="K4" t="inlineStr">
        <is>
          <t>Possible</t>
        </is>
      </c>
      <c r="O4" s="125" t="n">
        <v>0.2</v>
      </c>
      <c r="P4" t="inlineStr">
        <is>
          <t>Theme Initialization</t>
        </is>
      </c>
      <c r="Q4" t="inlineStr">
        <is>
          <t>Waiting on payment provider</t>
        </is>
      </c>
      <c r="R4" t="inlineStr">
        <is>
          <t>Reconcile with Engineering Directive PDF</t>
        </is>
      </c>
      <c r="S4" s="124" t="n">
        <v>46298</v>
      </c>
      <c r="T4" t="inlineStr">
        <is>
          <t>Developer + Client</t>
        </is>
      </c>
      <c r="U4" t="inlineStr">
        <is>
          <t>P2</t>
        </is>
      </c>
      <c r="V4" t="inlineStr">
        <is>
          <t>iPhone Safari, Android Chrome</t>
        </is>
      </c>
      <c r="W4" t="inlineStr">
        <is>
          <t>Functional bug – logged</t>
        </is>
      </c>
      <c r="X4" t="inlineStr">
        <is>
          <t>Skipped (N/A)</t>
        </is>
      </c>
      <c r="Y4" t="inlineStr">
        <is>
          <t>Resolved – no impact</t>
        </is>
      </c>
      <c r="Z4" t="inlineStr">
        <is>
          <t>3. Database Backup</t>
        </is>
      </c>
      <c r="AA4" t="inlineStr">
        <is>
          <t>Template 3: Category Archive</t>
        </is>
      </c>
    </row>
    <row r="5">
      <c r="A5" t="inlineStr">
        <is>
          <t>In Review</t>
        </is>
      </c>
      <c r="C5" t="inlineStr">
        <is>
          <t>External / Third-party</t>
        </is>
      </c>
      <c r="D5" t="inlineStr">
        <is>
          <t>Phase 4</t>
        </is>
      </c>
      <c r="E5" t="inlineStr">
        <is>
          <t>Historical Assets</t>
        </is>
      </c>
      <c r="F5" t="inlineStr">
        <is>
          <t>Partial</t>
        </is>
      </c>
      <c r="G5" t="inlineStr">
        <is>
          <t>Blocked</t>
        </is>
      </c>
      <c r="H5" t="inlineStr">
        <is>
          <t>Failed</t>
        </is>
      </c>
      <c r="I5" t="inlineStr">
        <is>
          <t>Low</t>
        </is>
      </c>
      <c r="J5" t="inlineStr">
        <is>
          <t>Realized</t>
        </is>
      </c>
      <c r="K5" t="inlineStr">
        <is>
          <t>Unlikely</t>
        </is>
      </c>
      <c r="O5" s="125" t="n">
        <v>0.3</v>
      </c>
      <c r="P5" t="inlineStr">
        <is>
          <t>Asset Pipeline</t>
        </is>
      </c>
      <c r="Q5" t="inlineStr">
        <is>
          <t>Waiting on client content / feedback</t>
        </is>
      </c>
      <c r="R5" t="inlineStr">
        <is>
          <t>Partially done – continue tomorrow</t>
        </is>
      </c>
      <c r="S5" s="124" t="n">
        <v>46299</v>
      </c>
      <c r="T5" t="inlineStr">
        <is>
          <t>Hosting (Hostinger)</t>
        </is>
      </c>
      <c r="U5" t="inlineStr">
        <is>
          <t>P3</t>
        </is>
      </c>
      <c r="V5" t="inlineStr">
        <is>
          <t>iPhone + Android + Desktop</t>
        </is>
      </c>
      <c r="W5" t="inlineStr">
        <is>
          <t>Blocked by open task</t>
        </is>
      </c>
      <c r="X5" t="inlineStr">
        <is>
          <t>Failed – rollback triggered</t>
        </is>
      </c>
      <c r="Y5" t="inlineStr">
        <is>
          <t>Accepted risk</t>
        </is>
      </c>
      <c r="Z5" t="inlineStr">
        <is>
          <t>4. SEO Comparison</t>
        </is>
      </c>
      <c r="AA5" t="inlineStr">
        <is>
          <t>Template 4: Author Profile</t>
        </is>
      </c>
    </row>
    <row r="6">
      <c r="A6" t="inlineStr">
        <is>
          <t>Testing</t>
        </is>
      </c>
      <c r="D6" t="inlineStr">
        <is>
          <t>Phase 5</t>
        </is>
      </c>
      <c r="E6" t="inlineStr">
        <is>
          <t>Server Access</t>
        </is>
      </c>
      <c r="F6" t="inlineStr">
        <is>
          <t>N/A</t>
        </is>
      </c>
      <c r="G6" t="inlineStr">
        <is>
          <t>N/A</t>
        </is>
      </c>
      <c r="H6" t="inlineStr">
        <is>
          <t>N/A</t>
        </is>
      </c>
      <c r="J6" t="inlineStr">
        <is>
          <t>Closed</t>
        </is>
      </c>
      <c r="O6" s="125" t="n">
        <v>0.4</v>
      </c>
      <c r="P6" t="inlineStr">
        <is>
          <t>PHP Templates</t>
        </is>
      </c>
      <c r="Q6" t="inlineStr">
        <is>
          <t>Waiting on historical PDFs / covers</t>
        </is>
      </c>
      <c r="R6" t="inlineStr">
        <is>
          <t>Deferred to post-launch (client approved)</t>
        </is>
      </c>
      <c r="S6" s="124" t="n">
        <v>46300</v>
      </c>
      <c r="T6" t="inlineStr">
        <is>
          <t>Payment Provider</t>
        </is>
      </c>
      <c r="U6" t="inlineStr">
        <is>
          <t>P4</t>
        </is>
      </c>
      <c r="V6" t="inlineStr">
        <is>
          <t>Desktop</t>
        </is>
      </c>
      <c r="W6" t="inlineStr">
        <is>
          <t>Retest after fix</t>
        </is>
      </c>
      <c r="X6" t="inlineStr">
        <is>
          <t>Repeated successfully</t>
        </is>
      </c>
      <c r="Y6" t="inlineStr">
        <is>
          <t>Escalated to client</t>
        </is>
      </c>
      <c r="Z6" t="inlineStr">
        <is>
          <t>5. Theme Activation</t>
        </is>
      </c>
      <c r="AA6" t="inlineStr">
        <is>
          <t>Template 5: Issues Archive</t>
        </is>
      </c>
    </row>
    <row r="7">
      <c r="A7" t="inlineStr">
        <is>
          <t>Completed</t>
        </is>
      </c>
      <c r="D7" t="inlineStr">
        <is>
          <t>Phase 6</t>
        </is>
      </c>
      <c r="E7" t="inlineStr">
        <is>
          <t>Client Content</t>
        </is>
      </c>
      <c r="O7" s="125" t="n">
        <v>0.5</v>
      </c>
      <c r="P7" t="inlineStr">
        <is>
          <t>Components</t>
        </is>
      </c>
      <c r="Q7" t="inlineStr">
        <is>
          <t>Hosting / server access issue</t>
        </is>
      </c>
      <c r="R7" t="inlineStr">
        <is>
          <t>Reopened after QA</t>
        </is>
      </c>
      <c r="S7" s="124" t="n">
        <v>46301</v>
      </c>
      <c r="U7" t="inlineStr">
        <is>
          <t>P5</t>
        </is>
      </c>
      <c r="V7" t="inlineStr">
        <is>
          <t>Crawler</t>
        </is>
      </c>
      <c r="W7" t="inlineStr">
        <is>
          <t>Fixed &amp; retested</t>
        </is>
      </c>
      <c r="Z7" t="inlineStr">
        <is>
          <t>6. Cache Clearing</t>
        </is>
      </c>
      <c r="AA7" t="inlineStr">
        <is>
          <t>Template 6: Single Issue</t>
        </is>
      </c>
    </row>
    <row r="8">
      <c r="O8" s="125" t="n">
        <v>0.6</v>
      </c>
      <c r="P8" t="inlineStr">
        <is>
          <t>CSS Architecture</t>
        </is>
      </c>
      <c r="Q8" t="inlineStr">
        <is>
          <t>Dependency task not finished</t>
        </is>
      </c>
      <c r="R8" t="inlineStr">
        <is>
          <t>Done – pending retest</t>
        </is>
      </c>
      <c r="S8" s="124" t="n">
        <v>46302</v>
      </c>
      <c r="U8" t="inlineStr">
        <is>
          <t>P6</t>
        </is>
      </c>
      <c r="V8" t="inlineStr">
        <is>
          <t>PageSpeed Insights mobile</t>
        </is>
      </c>
      <c r="Z8" t="inlineStr">
        <is>
          <t>7. Smoke Testing</t>
        </is>
      </c>
      <c r="AA8" t="inlineStr">
        <is>
          <t>Template 7: Advertise</t>
        </is>
      </c>
    </row>
    <row r="9">
      <c r="O9" s="125" t="n">
        <v>0.7</v>
      </c>
      <c r="P9" t="inlineStr">
        <is>
          <t>Vanilla JS</t>
        </is>
      </c>
      <c r="Q9" t="inlineStr">
        <is>
          <t>Bug found in testing</t>
        </is>
      </c>
      <c r="S9" s="124" t="n">
        <v>46303</v>
      </c>
      <c r="V9" t="inlineStr">
        <is>
          <t>Chrome (latest, Windows/macOS)</t>
        </is>
      </c>
      <c r="Z9" t="inlineStr">
        <is>
          <t>8. Rollback Readiness</t>
        </is>
      </c>
      <c r="AA9" t="inlineStr">
        <is>
          <t>Template 8: About</t>
        </is>
      </c>
    </row>
    <row r="10">
      <c r="O10" s="125" t="n">
        <v>0.8</v>
      </c>
      <c r="P10" t="inlineStr">
        <is>
          <t>RTL Typography</t>
        </is>
      </c>
      <c r="Q10" t="inlineStr">
        <is>
          <t>Plugin / theme conflict</t>
        </is>
      </c>
      <c r="S10" s="124" t="n">
        <v>46304</v>
      </c>
      <c r="V10" t="inlineStr">
        <is>
          <t>Safari (macOS)</t>
        </is>
      </c>
      <c r="Z10" t="inlineStr">
        <is>
          <t>9. Post-launch Monitoring</t>
        </is>
      </c>
      <c r="AA10" t="inlineStr">
        <is>
          <t>Template 9: Contact</t>
        </is>
      </c>
    </row>
    <row r="11">
      <c r="O11" s="125" t="n">
        <v>0.9</v>
      </c>
      <c r="P11" t="inlineStr">
        <is>
          <t>Responsive Design</t>
        </is>
      </c>
      <c r="Q11" t="inlineStr">
        <is>
          <t>Performance issue</t>
        </is>
      </c>
      <c r="S11" s="124" t="n">
        <v>46305</v>
      </c>
      <c r="V11" t="inlineStr">
        <is>
          <t>Safari (iOS)</t>
        </is>
      </c>
      <c r="AA11" t="inlineStr">
        <is>
          <t>WordPress Dynamic Content</t>
        </is>
      </c>
    </row>
    <row r="12">
      <c r="O12" s="125" t="n">
        <v>1</v>
      </c>
      <c r="P12" t="inlineStr">
        <is>
          <t>Header &amp; Navigation</t>
        </is>
      </c>
      <c r="Q12" t="inlineStr">
        <is>
          <t>Other (see Notes)</t>
        </is>
      </c>
      <c r="S12" s="124" t="n">
        <v>46306</v>
      </c>
      <c r="V12" t="inlineStr">
        <is>
          <t>Firefox (latest)</t>
        </is>
      </c>
      <c r="AA12" t="inlineStr">
        <is>
          <t>RTL Layout</t>
        </is>
      </c>
    </row>
    <row r="13">
      <c r="P13" t="inlineStr">
        <is>
          <t>Footer</t>
        </is>
      </c>
      <c r="S13" s="124" t="n">
        <v>46307</v>
      </c>
      <c r="V13" t="inlineStr">
        <is>
          <t>Edge (latest)</t>
        </is>
      </c>
      <c r="AA13" t="inlineStr">
        <is>
          <t>Mobile Responsiveness</t>
        </is>
      </c>
    </row>
    <row r="14">
      <c r="P14" t="inlineStr">
        <is>
          <t>WordPress Integration</t>
        </is>
      </c>
      <c r="S14" s="124" t="n">
        <v>46308</v>
      </c>
      <c r="V14" t="inlineStr">
        <is>
          <t>Samsung Internet (Android)</t>
        </is>
      </c>
      <c r="AA14" t="inlineStr">
        <is>
          <t>Authentication</t>
        </is>
      </c>
    </row>
    <row r="15">
      <c r="P15" t="inlineStr">
        <is>
          <t>Query Caching</t>
        </is>
      </c>
      <c r="S15" s="124" t="n">
        <v>46309</v>
      </c>
      <c r="AA15" t="inlineStr">
        <is>
          <t>Subscription Functionality</t>
        </is>
      </c>
    </row>
    <row r="16">
      <c r="P16" t="inlineStr">
        <is>
          <t>Date Helpers</t>
        </is>
      </c>
      <c r="S16" s="124" t="n">
        <v>46310</v>
      </c>
      <c r="AA16" t="inlineStr">
        <is>
          <t>Payment Workflows</t>
        </is>
      </c>
    </row>
    <row r="17">
      <c r="P17" t="inlineStr">
        <is>
          <t>Media</t>
        </is>
      </c>
      <c r="S17" s="124" t="n">
        <v>46311</v>
      </c>
      <c r="AA17" t="inlineStr">
        <is>
          <t>SEO Metadata</t>
        </is>
      </c>
    </row>
    <row r="18">
      <c r="P18" t="inlineStr">
        <is>
          <t>Phase QA</t>
        </is>
      </c>
      <c r="S18" s="124" t="n">
        <v>46312</v>
      </c>
      <c r="AA18" t="inlineStr">
        <is>
          <t>Existing Article URLs</t>
        </is>
      </c>
    </row>
    <row r="19">
      <c r="P19" t="inlineStr">
        <is>
          <t>Section Manager</t>
        </is>
      </c>
      <c r="S19" s="124" t="n">
        <v>46313</v>
      </c>
      <c r="AA19" t="inlineStr">
        <is>
          <t>Performance</t>
        </is>
      </c>
    </row>
    <row r="20">
      <c r="P20" t="inlineStr">
        <is>
          <t>Customizer</t>
        </is>
      </c>
      <c r="S20" s="124" t="n">
        <v>46314</v>
      </c>
      <c r="AA20" t="inlineStr">
        <is>
          <t>Security</t>
        </is>
      </c>
    </row>
    <row r="21">
      <c r="P21" t="inlineStr">
        <is>
          <t>Customizer Controls</t>
        </is>
      </c>
      <c r="S21" s="124" t="n">
        <v>46315</v>
      </c>
      <c r="AA21" t="inlineStr">
        <is>
          <t>Contact Forms</t>
        </is>
      </c>
    </row>
    <row r="22">
      <c r="P22" t="inlineStr">
        <is>
          <t>Cache Controls</t>
        </is>
      </c>
      <c r="S22" s="124" t="n">
        <v>46316</v>
      </c>
      <c r="AA22" t="inlineStr">
        <is>
          <t>Magazine PDFs</t>
        </is>
      </c>
    </row>
    <row r="23">
      <c r="P23" t="inlineStr">
        <is>
          <t>Homepage Sections</t>
        </is>
      </c>
      <c r="S23" s="124" t="n">
        <v>46317</v>
      </c>
      <c r="AA23" t="inlineStr">
        <is>
          <t>Browser Compatibility</t>
        </is>
      </c>
    </row>
    <row r="24">
      <c r="P24" t="inlineStr">
        <is>
          <t>Sector Sections</t>
        </is>
      </c>
      <c r="S24" s="124" t="n">
        <v>46318</v>
      </c>
    </row>
    <row r="25">
      <c r="P25" t="inlineStr">
        <is>
          <t>Most Read</t>
        </is>
      </c>
      <c r="S25" s="124" t="n">
        <v>46319</v>
      </c>
    </row>
    <row r="26">
      <c r="P26" t="inlineStr">
        <is>
          <t>AdOps</t>
        </is>
      </c>
      <c r="S26" s="124" t="n">
        <v>46320</v>
      </c>
    </row>
    <row r="27">
      <c r="P27" t="inlineStr">
        <is>
          <t>Single Article</t>
        </is>
      </c>
      <c r="S27" s="124" t="n">
        <v>46321</v>
      </c>
    </row>
    <row r="28">
      <c r="P28" t="inlineStr">
        <is>
          <t>Article Metadata</t>
        </is>
      </c>
      <c r="S28" s="124" t="n">
        <v>46322</v>
      </c>
    </row>
    <row r="29">
      <c r="P29" t="inlineStr">
        <is>
          <t>Legacy Content</t>
        </is>
      </c>
      <c r="S29" s="124" t="n">
        <v>46323</v>
      </c>
    </row>
    <row r="30">
      <c r="P30" t="inlineStr">
        <is>
          <t>Engagement</t>
        </is>
      </c>
      <c r="S30" s="124" t="n">
        <v>46324</v>
      </c>
    </row>
    <row r="31">
      <c r="P31" t="inlineStr">
        <is>
          <t>Author Profiles</t>
        </is>
      </c>
      <c r="S31" s="124" t="n">
        <v>46325</v>
      </c>
    </row>
    <row r="32">
      <c r="P32" t="inlineStr">
        <is>
          <t>Category Archives</t>
        </is>
      </c>
      <c r="S32" s="124" t="n">
        <v>46326</v>
      </c>
    </row>
    <row r="33">
      <c r="P33" t="inlineStr">
        <is>
          <t>Taxonomy</t>
        </is>
      </c>
      <c r="S33" s="124" t="n">
        <v>46327</v>
      </c>
    </row>
    <row r="34">
      <c r="P34" t="inlineStr">
        <is>
          <t>AJAX Filtering</t>
        </is>
      </c>
      <c r="S34" s="124" t="n">
        <v>46328</v>
      </c>
    </row>
    <row r="35">
      <c r="P35" t="inlineStr">
        <is>
          <t>Archive UX</t>
        </is>
      </c>
      <c r="S35" s="124" t="n">
        <v>46329</v>
      </c>
    </row>
    <row r="36">
      <c r="P36" t="inlineStr">
        <is>
          <t>Pagination</t>
        </is>
      </c>
      <c r="S36" s="124" t="n">
        <v>46330</v>
      </c>
    </row>
    <row r="37">
      <c r="P37" t="inlineStr">
        <is>
          <t>Print</t>
        </is>
      </c>
      <c r="S37" s="124" t="n">
        <v>46331</v>
      </c>
    </row>
    <row r="38">
      <c r="P38" t="inlineStr">
        <is>
          <t>SEO</t>
        </is>
      </c>
      <c r="S38" s="124" t="n">
        <v>46332</v>
      </c>
    </row>
    <row r="39">
      <c r="P39" t="inlineStr">
        <is>
          <t>CPT Engine</t>
        </is>
      </c>
      <c r="S39" s="124" t="n">
        <v>46333</v>
      </c>
    </row>
    <row r="40">
      <c r="P40" t="inlineStr">
        <is>
          <t>Historical Assets</t>
        </is>
      </c>
      <c r="S40" s="124" t="n">
        <v>46334</v>
      </c>
    </row>
    <row r="41">
      <c r="P41" t="inlineStr">
        <is>
          <t>Migration</t>
        </is>
      </c>
      <c r="S41" s="124" t="n">
        <v>46335</v>
      </c>
    </row>
    <row r="42">
      <c r="P42" t="inlineStr">
        <is>
          <t>Cover Images</t>
        </is>
      </c>
      <c r="S42" s="124" t="n">
        <v>46336</v>
      </c>
    </row>
    <row r="43">
      <c r="P43" t="inlineStr">
        <is>
          <t>Issue Archive</t>
        </is>
      </c>
      <c r="S43" s="124" t="n">
        <v>46337</v>
      </c>
    </row>
    <row r="44">
      <c r="P44" t="inlineStr">
        <is>
          <t>Single Issue</t>
        </is>
      </c>
      <c r="S44" s="124" t="n">
        <v>46338</v>
      </c>
    </row>
    <row r="45">
      <c r="P45" t="inlineStr">
        <is>
          <t>Flipbook</t>
        </is>
      </c>
      <c r="S45" s="124" t="n">
        <v>46339</v>
      </c>
    </row>
    <row r="46">
      <c r="P46" t="inlineStr">
        <is>
          <t>PDF Downloads</t>
        </is>
      </c>
      <c r="S46" s="124" t="n">
        <v>46340</v>
      </c>
    </row>
    <row r="47">
      <c r="P47" t="inlineStr">
        <is>
          <t>Access Control</t>
        </is>
      </c>
      <c r="S47" s="124" t="n">
        <v>46341</v>
      </c>
    </row>
    <row r="48">
      <c r="P48" t="inlineStr">
        <is>
          <t>Credentials</t>
        </is>
      </c>
      <c r="S48" s="124" t="n">
        <v>46342</v>
      </c>
    </row>
    <row r="49">
      <c r="P49" t="inlineStr">
        <is>
          <t>Payments</t>
        </is>
      </c>
      <c r="S49" s="124" t="n">
        <v>46343</v>
      </c>
    </row>
    <row r="50">
      <c r="P50" t="inlineStr">
        <is>
          <t>Authentication</t>
        </is>
      </c>
      <c r="S50" s="124" t="n">
        <v>46344</v>
      </c>
    </row>
    <row r="51">
      <c r="P51" t="inlineStr">
        <is>
          <t>Subscriptions</t>
        </is>
      </c>
      <c r="S51" s="124" t="n">
        <v>46345</v>
      </c>
    </row>
    <row r="52">
      <c r="P52" t="inlineStr">
        <is>
          <t>Member Dashboard</t>
        </is>
      </c>
      <c r="S52" s="124" t="n">
        <v>46346</v>
      </c>
    </row>
    <row r="53">
      <c r="P53" t="inlineStr">
        <is>
          <t>Security</t>
        </is>
      </c>
      <c r="S53" s="124" t="n">
        <v>46347</v>
      </c>
    </row>
    <row r="54">
      <c r="P54" t="inlineStr">
        <is>
          <t>Email</t>
        </is>
      </c>
      <c r="S54" s="124" t="n">
        <v>46348</v>
      </c>
    </row>
    <row r="55">
      <c r="P55" t="inlineStr">
        <is>
          <t>Leads</t>
        </is>
      </c>
      <c r="S55" s="124" t="n">
        <v>46349</v>
      </c>
    </row>
    <row r="56">
      <c r="P56" t="inlineStr">
        <is>
          <t>Pages</t>
        </is>
      </c>
      <c r="S56" s="124" t="n">
        <v>46350</v>
      </c>
    </row>
    <row r="57">
      <c r="P57" t="inlineStr">
        <is>
          <t>Roles</t>
        </is>
      </c>
      <c r="S57" s="124" t="n">
        <v>46351</v>
      </c>
    </row>
    <row r="58">
      <c r="P58" t="inlineStr">
        <is>
          <t>Backup</t>
        </is>
      </c>
      <c r="S58" s="124" t="n">
        <v>46352</v>
      </c>
    </row>
    <row r="59">
      <c r="P59" t="inlineStr">
        <is>
          <t>DB Audit</t>
        </is>
      </c>
      <c r="S59" s="124" t="n">
        <v>46353</v>
      </c>
    </row>
    <row r="60">
      <c r="P60" t="inlineStr">
        <is>
          <t>JNews Review</t>
        </is>
      </c>
      <c r="S60" s="124" t="n">
        <v>46354</v>
      </c>
    </row>
    <row r="61">
      <c r="P61" t="inlineStr">
        <is>
          <t>URL Inventory</t>
        </is>
      </c>
      <c r="S61" s="124" t="n">
        <v>46355</v>
      </c>
    </row>
    <row r="62">
      <c r="P62" t="inlineStr">
        <is>
          <t>SEO Baseline</t>
        </is>
      </c>
      <c r="S62" s="124" t="n">
        <v>46356</v>
      </c>
    </row>
    <row r="63">
      <c r="P63" t="inlineStr">
        <is>
          <t>DB Optimization</t>
        </is>
      </c>
    </row>
    <row r="64">
      <c r="P64" t="inlineStr">
        <is>
          <t>URL Validation</t>
        </is>
      </c>
    </row>
    <row r="65">
      <c r="P65" t="inlineStr">
        <is>
          <t>Performance</t>
        </is>
      </c>
    </row>
    <row r="66">
      <c r="P66" t="inlineStr">
        <is>
          <t>Caching</t>
        </is>
      </c>
    </row>
    <row r="67">
      <c r="P67" t="inlineStr">
        <is>
          <t>Testing</t>
        </is>
      </c>
    </row>
    <row r="68">
      <c r="P68" t="inlineStr">
        <is>
          <t>Bug Fixing</t>
        </is>
      </c>
    </row>
    <row r="69">
      <c r="P69" t="inlineStr">
        <is>
          <t>Readiness</t>
        </is>
      </c>
    </row>
    <row r="70">
      <c r="P70" t="inlineStr">
        <is>
          <t>Rollback</t>
        </is>
      </c>
    </row>
    <row r="71">
      <c r="P71" t="inlineStr">
        <is>
          <t>Cutover</t>
        </is>
      </c>
    </row>
    <row r="72">
      <c r="P72" t="inlineStr">
        <is>
          <t>Post-launch</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2026-10-11T15:46:35Z</dcterms:created>
  <dcterms:modified xmlns:dcterms="http://purl.org/dc/terms/" xmlns:xsi="http://www.w3.org/2001/XMLSchema-instance" xsi:type="dcterms:W3CDTF">2026-10-11T15:46:36Z</dcterms:modified>
</cp:coreProperties>
</file>